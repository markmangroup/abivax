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O:\Commun\Support\Finance\Reporting\2026\4. Suivi Tréso 2026\Cash forecast\Version référence\"/>
    </mc:Choice>
  </mc:AlternateContent>
  <xr:revisionPtr revIDLastSave="0" documentId="8_{14D141B1-F434-4A43-8E27-AC51A40945D2}" xr6:coauthVersionLast="47" xr6:coauthVersionMax="47" xr10:uidLastSave="{00000000-0000-0000-0000-000000000000}"/>
  <bookViews>
    <workbookView xWindow="28680" yWindow="-120" windowWidth="51840" windowHeight="21120" tabRatio="1000" activeTab="4" xr2:uid="{6AA8E112-AFD0-4963-AC26-91119086EF58}"/>
  </bookViews>
  <sheets>
    <sheet name="To do" sheetId="24" r:id="rId1"/>
    <sheet name="Forecast    -&gt;" sheetId="14" r:id="rId2"/>
    <sheet name="Consolidated Forecast in €" sheetId="10" r:id="rId3"/>
    <sheet name="SA Reforecast" sheetId="26" r:id="rId4"/>
    <sheet name="LLC Reforecast" sheetId="27" r:id="rId5"/>
    <sheet name="Data Reforecast" sheetId="28" r:id="rId6"/>
    <sheet name="Risk &amp; Opp- diff budget-to do " sheetId="23" r:id="rId7"/>
    <sheet name="Actual   -&gt;" sheetId="25" r:id="rId8"/>
    <sheet name="SA Actual" sheetId="16" r:id="rId9"/>
    <sheet name="LLC actual" sheetId="20" r:id="rId10"/>
    <sheet name="Budget   -&gt;" sheetId="17" r:id="rId11"/>
    <sheet name="Consolidated Budget" sheetId="3" r:id="rId12"/>
    <sheet name="SA budget" sheetId="1" r:id="rId13"/>
    <sheet name="LLC Budget" sheetId="8" r:id="rId14"/>
    <sheet name="Data Budget" sheetId="2" r:id="rId15"/>
    <sheet name="Copie gardée -&gt;" sheetId="22" state="hidden" r:id="rId16"/>
    <sheet name="Copie Abivax LLC reforecast " sheetId="21" state="hidden" r:id="rId17"/>
    <sheet name="Copie -Abivax SA Reforecast" sheetId="19" state="hidden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9" i="27" l="1"/>
  <c r="O29" i="27"/>
  <c r="N29" i="27"/>
  <c r="M29" i="27"/>
  <c r="L29" i="27"/>
  <c r="K29" i="27"/>
  <c r="J29" i="27"/>
  <c r="AF29" i="27" s="1"/>
  <c r="I29" i="27"/>
  <c r="AE29" i="27" s="1"/>
  <c r="H29" i="27"/>
  <c r="AD29" i="27" s="1"/>
  <c r="G29" i="27"/>
  <c r="AC29" i="27" s="1"/>
  <c r="F29" i="27"/>
  <c r="AB29" i="27" s="1"/>
  <c r="P28" i="27"/>
  <c r="O28" i="27"/>
  <c r="N28" i="27"/>
  <c r="M28" i="27"/>
  <c r="L28" i="27"/>
  <c r="K28" i="27"/>
  <c r="J28" i="27"/>
  <c r="I28" i="27"/>
  <c r="H28" i="27"/>
  <c r="G28" i="27"/>
  <c r="F28" i="27"/>
  <c r="P23" i="27"/>
  <c r="O23" i="27"/>
  <c r="N23" i="27"/>
  <c r="M23" i="27"/>
  <c r="L23" i="27"/>
  <c r="K23" i="27"/>
  <c r="J23" i="27"/>
  <c r="I23" i="27"/>
  <c r="H23" i="27"/>
  <c r="G23" i="27"/>
  <c r="F23" i="27"/>
  <c r="P22" i="27"/>
  <c r="O22" i="27"/>
  <c r="N22" i="27"/>
  <c r="AJ22" i="27" s="1"/>
  <c r="AJ24" i="27" s="1"/>
  <c r="M22" i="27"/>
  <c r="L22" i="27"/>
  <c r="K22" i="27"/>
  <c r="J22" i="27"/>
  <c r="I22" i="27"/>
  <c r="H22" i="27"/>
  <c r="G22" i="27"/>
  <c r="F22" i="27"/>
  <c r="P18" i="27"/>
  <c r="O18" i="27"/>
  <c r="N18" i="27"/>
  <c r="M18" i="27"/>
  <c r="L18" i="27"/>
  <c r="K18" i="27"/>
  <c r="J18" i="27"/>
  <c r="I18" i="27"/>
  <c r="AE18" i="27" s="1"/>
  <c r="H18" i="27"/>
  <c r="AD18" i="27" s="1"/>
  <c r="G18" i="27"/>
  <c r="AC18" i="27" s="1"/>
  <c r="F18" i="27"/>
  <c r="AB18" i="27" s="1"/>
  <c r="P17" i="27"/>
  <c r="O17" i="27"/>
  <c r="AK17" i="27" s="1"/>
  <c r="N17" i="27"/>
  <c r="AJ17" i="27" s="1"/>
  <c r="M17" i="27"/>
  <c r="L17" i="27"/>
  <c r="K17" i="27"/>
  <c r="J17" i="27"/>
  <c r="I17" i="27"/>
  <c r="H17" i="27"/>
  <c r="G17" i="27"/>
  <c r="F17" i="27"/>
  <c r="P16" i="27"/>
  <c r="O16" i="27"/>
  <c r="N16" i="27"/>
  <c r="M16" i="27"/>
  <c r="L16" i="27"/>
  <c r="AH16" i="27" s="1"/>
  <c r="K16" i="27"/>
  <c r="AG16" i="27" s="1"/>
  <c r="J16" i="27"/>
  <c r="I16" i="27"/>
  <c r="H16" i="27"/>
  <c r="G16" i="27"/>
  <c r="F16" i="27"/>
  <c r="P15" i="27"/>
  <c r="O15" i="27"/>
  <c r="N15" i="27"/>
  <c r="M15" i="27"/>
  <c r="L15" i="27"/>
  <c r="K15" i="27"/>
  <c r="J15" i="27"/>
  <c r="AF15" i="27" s="1"/>
  <c r="AF19" i="27" s="1"/>
  <c r="I15" i="27"/>
  <c r="AE15" i="27" s="1"/>
  <c r="AE19" i="27" s="1"/>
  <c r="H15" i="27"/>
  <c r="AD15" i="27" s="1"/>
  <c r="G15" i="27"/>
  <c r="F15" i="27"/>
  <c r="F11" i="27"/>
  <c r="AB11" i="27" s="1"/>
  <c r="G11" i="27"/>
  <c r="H11" i="27"/>
  <c r="I11" i="27"/>
  <c r="J11" i="27"/>
  <c r="K11" i="27"/>
  <c r="L11" i="27"/>
  <c r="M11" i="27"/>
  <c r="N11" i="27"/>
  <c r="O11" i="27"/>
  <c r="P11" i="27"/>
  <c r="AL11" i="27" s="1"/>
  <c r="F12" i="27"/>
  <c r="AB12" i="27" s="1"/>
  <c r="G12" i="27"/>
  <c r="AC12" i="27" s="1"/>
  <c r="H12" i="27"/>
  <c r="AD12" i="27" s="1"/>
  <c r="I12" i="27"/>
  <c r="AE12" i="27" s="1"/>
  <c r="J12" i="27"/>
  <c r="K12" i="27"/>
  <c r="L12" i="27"/>
  <c r="M12" i="27"/>
  <c r="N12" i="27"/>
  <c r="O12" i="27"/>
  <c r="P12" i="27"/>
  <c r="G10" i="27"/>
  <c r="H10" i="27"/>
  <c r="I10" i="27"/>
  <c r="J10" i="27"/>
  <c r="K10" i="27"/>
  <c r="L10" i="27"/>
  <c r="M10" i="27"/>
  <c r="N10" i="27"/>
  <c r="O10" i="27"/>
  <c r="P10" i="27"/>
  <c r="F10" i="27"/>
  <c r="AB10" i="27" s="1"/>
  <c r="P80" i="26"/>
  <c r="O80" i="26"/>
  <c r="N80" i="26"/>
  <c r="M80" i="26"/>
  <c r="L80" i="26"/>
  <c r="K80" i="26"/>
  <c r="J80" i="26"/>
  <c r="AF80" i="26" s="1"/>
  <c r="I80" i="26"/>
  <c r="AE80" i="26" s="1"/>
  <c r="H80" i="26"/>
  <c r="AD80" i="26" s="1"/>
  <c r="G80" i="26"/>
  <c r="F80" i="26"/>
  <c r="P79" i="26"/>
  <c r="AL79" i="26" s="1"/>
  <c r="O79" i="26"/>
  <c r="AK79" i="26" s="1"/>
  <c r="N79" i="26"/>
  <c r="AJ79" i="26" s="1"/>
  <c r="M79" i="26"/>
  <c r="L79" i="26"/>
  <c r="K79" i="26"/>
  <c r="J79" i="26"/>
  <c r="I79" i="26"/>
  <c r="H79" i="26"/>
  <c r="G79" i="26"/>
  <c r="AC79" i="26" s="1"/>
  <c r="F79" i="26"/>
  <c r="AB79" i="26" s="1"/>
  <c r="P78" i="26"/>
  <c r="O78" i="26"/>
  <c r="N78" i="26"/>
  <c r="M78" i="26"/>
  <c r="AI78" i="26" s="1"/>
  <c r="L78" i="26"/>
  <c r="AH78" i="26" s="1"/>
  <c r="K78" i="26"/>
  <c r="AG78" i="26" s="1"/>
  <c r="J78" i="26"/>
  <c r="I78" i="26"/>
  <c r="H78" i="26"/>
  <c r="G78" i="26"/>
  <c r="F78" i="26"/>
  <c r="P77" i="26"/>
  <c r="O77" i="26"/>
  <c r="AK77" i="26" s="1"/>
  <c r="N77" i="26"/>
  <c r="AJ77" i="26" s="1"/>
  <c r="M77" i="26"/>
  <c r="L77" i="26"/>
  <c r="K77" i="26"/>
  <c r="J77" i="26"/>
  <c r="AF77" i="26" s="1"/>
  <c r="I77" i="26"/>
  <c r="AE77" i="26" s="1"/>
  <c r="H77" i="26"/>
  <c r="AD77" i="26" s="1"/>
  <c r="G77" i="26"/>
  <c r="F77" i="26"/>
  <c r="P76" i="26"/>
  <c r="O76" i="26"/>
  <c r="N76" i="26"/>
  <c r="M76" i="26"/>
  <c r="L76" i="26"/>
  <c r="K76" i="26"/>
  <c r="J76" i="26"/>
  <c r="I76" i="26"/>
  <c r="H76" i="26"/>
  <c r="G76" i="26"/>
  <c r="F76" i="26"/>
  <c r="P75" i="26"/>
  <c r="AL75" i="26" s="1"/>
  <c r="O75" i="26"/>
  <c r="N75" i="26"/>
  <c r="M75" i="26"/>
  <c r="L75" i="26"/>
  <c r="K75" i="26"/>
  <c r="J75" i="26"/>
  <c r="I75" i="26"/>
  <c r="H75" i="26"/>
  <c r="G75" i="26"/>
  <c r="AC75" i="26" s="1"/>
  <c r="F75" i="26"/>
  <c r="AB75" i="26" s="1"/>
  <c r="P74" i="26"/>
  <c r="AL74" i="26" s="1"/>
  <c r="O74" i="26"/>
  <c r="AK74" i="26" s="1"/>
  <c r="N74" i="26"/>
  <c r="AJ74" i="26" s="1"/>
  <c r="M74" i="26"/>
  <c r="AI74" i="26" s="1"/>
  <c r="L74" i="26"/>
  <c r="K74" i="26"/>
  <c r="J74" i="26"/>
  <c r="I74" i="26"/>
  <c r="H74" i="26"/>
  <c r="G74" i="26"/>
  <c r="F74" i="26"/>
  <c r="P73" i="26"/>
  <c r="O73" i="26"/>
  <c r="N73" i="26"/>
  <c r="M73" i="26"/>
  <c r="L73" i="26"/>
  <c r="K73" i="26"/>
  <c r="AG73" i="26" s="1"/>
  <c r="J73" i="26"/>
  <c r="AF73" i="26" s="1"/>
  <c r="I73" i="26"/>
  <c r="H73" i="26"/>
  <c r="G73" i="26"/>
  <c r="F73" i="26"/>
  <c r="P72" i="26"/>
  <c r="O72" i="26"/>
  <c r="N72" i="26"/>
  <c r="M72" i="26"/>
  <c r="L72" i="26"/>
  <c r="K72" i="26"/>
  <c r="J72" i="26"/>
  <c r="I72" i="26"/>
  <c r="AE72" i="26" s="1"/>
  <c r="H72" i="26"/>
  <c r="AD72" i="26" s="1"/>
  <c r="G72" i="26"/>
  <c r="AC72" i="26" s="1"/>
  <c r="F72" i="26"/>
  <c r="E65" i="26"/>
  <c r="F60" i="26"/>
  <c r="G60" i="26"/>
  <c r="H60" i="26"/>
  <c r="I60" i="26"/>
  <c r="J60" i="26"/>
  <c r="K60" i="26"/>
  <c r="L60" i="26"/>
  <c r="M60" i="26"/>
  <c r="N60" i="26"/>
  <c r="O60" i="26"/>
  <c r="P60" i="26"/>
  <c r="P59" i="26"/>
  <c r="O59" i="26"/>
  <c r="N59" i="26"/>
  <c r="M59" i="26"/>
  <c r="L59" i="26"/>
  <c r="K59" i="26"/>
  <c r="J59" i="26"/>
  <c r="I59" i="26"/>
  <c r="H59" i="26"/>
  <c r="G59" i="26"/>
  <c r="F59" i="26"/>
  <c r="P55" i="26"/>
  <c r="O55" i="26"/>
  <c r="N55" i="26"/>
  <c r="M55" i="26"/>
  <c r="L55" i="26"/>
  <c r="K55" i="26"/>
  <c r="J55" i="26"/>
  <c r="I55" i="26"/>
  <c r="H55" i="26"/>
  <c r="AD55" i="26" s="1"/>
  <c r="G55" i="26"/>
  <c r="AC55" i="26" s="1"/>
  <c r="F55" i="26"/>
  <c r="AB55" i="26" s="1"/>
  <c r="AN55" i="26" s="1"/>
  <c r="P54" i="26"/>
  <c r="AL54" i="26" s="1"/>
  <c r="O54" i="26"/>
  <c r="AK54" i="26" s="1"/>
  <c r="N54" i="26"/>
  <c r="M54" i="26"/>
  <c r="L54" i="26"/>
  <c r="K54" i="26"/>
  <c r="J54" i="26"/>
  <c r="I54" i="26"/>
  <c r="H54" i="26"/>
  <c r="G54" i="26"/>
  <c r="F54" i="26"/>
  <c r="P53" i="26"/>
  <c r="O53" i="26"/>
  <c r="N53" i="26"/>
  <c r="M53" i="26"/>
  <c r="L53" i="26"/>
  <c r="K53" i="26"/>
  <c r="J53" i="26"/>
  <c r="I53" i="26"/>
  <c r="H53" i="26"/>
  <c r="G53" i="26"/>
  <c r="F53" i="26"/>
  <c r="P52" i="26"/>
  <c r="O52" i="26"/>
  <c r="N52" i="26"/>
  <c r="M52" i="26"/>
  <c r="L52" i="26"/>
  <c r="K52" i="26"/>
  <c r="AG52" i="26" s="1"/>
  <c r="J52" i="26"/>
  <c r="AF52" i="26" s="1"/>
  <c r="I52" i="26"/>
  <c r="AE52" i="26" s="1"/>
  <c r="H52" i="26"/>
  <c r="G52" i="26"/>
  <c r="F52" i="26"/>
  <c r="P51" i="26"/>
  <c r="O51" i="26"/>
  <c r="N51" i="26"/>
  <c r="M51" i="26"/>
  <c r="L51" i="26"/>
  <c r="K51" i="26"/>
  <c r="J51" i="26"/>
  <c r="I51" i="26"/>
  <c r="H51" i="26"/>
  <c r="AD51" i="26" s="1"/>
  <c r="G51" i="26"/>
  <c r="AC51" i="26" s="1"/>
  <c r="F51" i="26"/>
  <c r="AB51" i="26" s="1"/>
  <c r="AN51" i="26" s="1"/>
  <c r="P50" i="26"/>
  <c r="O50" i="26"/>
  <c r="N50" i="26"/>
  <c r="M50" i="26"/>
  <c r="L50" i="26"/>
  <c r="K50" i="26"/>
  <c r="J50" i="26"/>
  <c r="I50" i="26"/>
  <c r="H50" i="26"/>
  <c r="G50" i="26"/>
  <c r="F50" i="26"/>
  <c r="AB50" i="26" s="1"/>
  <c r="P45" i="26"/>
  <c r="O45" i="26"/>
  <c r="N45" i="26"/>
  <c r="M45" i="26"/>
  <c r="L45" i="26"/>
  <c r="K45" i="26"/>
  <c r="J45" i="26"/>
  <c r="I45" i="26"/>
  <c r="H45" i="26"/>
  <c r="AD45" i="26" s="1"/>
  <c r="G45" i="26"/>
  <c r="F45" i="26"/>
  <c r="AB45" i="26" s="1"/>
  <c r="P44" i="26"/>
  <c r="AL44" i="26" s="1"/>
  <c r="O44" i="26"/>
  <c r="AK44" i="26" s="1"/>
  <c r="N44" i="26"/>
  <c r="AJ44" i="26" s="1"/>
  <c r="M44" i="26"/>
  <c r="L44" i="26"/>
  <c r="K44" i="26"/>
  <c r="J44" i="26"/>
  <c r="I44" i="26"/>
  <c r="H44" i="26"/>
  <c r="G44" i="26"/>
  <c r="F44" i="26"/>
  <c r="AB44" i="26" s="1"/>
  <c r="P43" i="26"/>
  <c r="AL43" i="26" s="1"/>
  <c r="O43" i="26"/>
  <c r="N43" i="26"/>
  <c r="AJ43" i="26" s="1"/>
  <c r="M43" i="26"/>
  <c r="AI43" i="26" s="1"/>
  <c r="L43" i="26"/>
  <c r="AH43" i="26" s="1"/>
  <c r="K43" i="26"/>
  <c r="AG43" i="26" s="1"/>
  <c r="J43" i="26"/>
  <c r="I43" i="26"/>
  <c r="H43" i="26"/>
  <c r="G43" i="26"/>
  <c r="F43" i="26"/>
  <c r="P42" i="26"/>
  <c r="AL42" i="26" s="1"/>
  <c r="O42" i="26"/>
  <c r="AK42" i="26" s="1"/>
  <c r="N42" i="26"/>
  <c r="AJ42" i="26" s="1"/>
  <c r="M42" i="26"/>
  <c r="AI42" i="26" s="1"/>
  <c r="L42" i="26"/>
  <c r="K42" i="26"/>
  <c r="J42" i="26"/>
  <c r="I42" i="26"/>
  <c r="AE42" i="26" s="1"/>
  <c r="H42" i="26"/>
  <c r="AD42" i="26" s="1"/>
  <c r="G42" i="26"/>
  <c r="F42" i="26"/>
  <c r="P39" i="26"/>
  <c r="AL39" i="26" s="1"/>
  <c r="O39" i="26"/>
  <c r="AK39" i="26" s="1"/>
  <c r="N39" i="26"/>
  <c r="AJ39" i="26" s="1"/>
  <c r="M39" i="26"/>
  <c r="AI39" i="26" s="1"/>
  <c r="L39" i="26"/>
  <c r="AH39" i="26" s="1"/>
  <c r="K39" i="26"/>
  <c r="J39" i="26"/>
  <c r="I39" i="26"/>
  <c r="H39" i="26"/>
  <c r="G39" i="26"/>
  <c r="AC39" i="26" s="1"/>
  <c r="F39" i="26"/>
  <c r="P38" i="26"/>
  <c r="AL38" i="26" s="1"/>
  <c r="O38" i="26"/>
  <c r="AK38" i="26" s="1"/>
  <c r="AK40" i="26" s="1"/>
  <c r="N38" i="26"/>
  <c r="AJ38" i="26" s="1"/>
  <c r="M38" i="26"/>
  <c r="AI38" i="26" s="1"/>
  <c r="AI40" i="26" s="1"/>
  <c r="L38" i="26"/>
  <c r="AH38" i="26" s="1"/>
  <c r="K38" i="26"/>
  <c r="AG38" i="26" s="1"/>
  <c r="J38" i="26"/>
  <c r="AF38" i="26" s="1"/>
  <c r="I38" i="26"/>
  <c r="AE38" i="26" s="1"/>
  <c r="H38" i="26"/>
  <c r="G38" i="26"/>
  <c r="F38" i="26"/>
  <c r="P36" i="26"/>
  <c r="P35" i="26"/>
  <c r="O35" i="26"/>
  <c r="N35" i="26"/>
  <c r="M35" i="26"/>
  <c r="L35" i="26"/>
  <c r="K35" i="26"/>
  <c r="J35" i="26"/>
  <c r="I35" i="26"/>
  <c r="H35" i="26"/>
  <c r="AD35" i="26" s="1"/>
  <c r="G35" i="26"/>
  <c r="AC35" i="26" s="1"/>
  <c r="F35" i="26"/>
  <c r="AB35" i="26" s="1"/>
  <c r="P34" i="26"/>
  <c r="AL34" i="26" s="1"/>
  <c r="O34" i="26"/>
  <c r="N34" i="26"/>
  <c r="AJ34" i="26" s="1"/>
  <c r="M34" i="26"/>
  <c r="L34" i="26"/>
  <c r="K34" i="26"/>
  <c r="J34" i="26"/>
  <c r="I34" i="26"/>
  <c r="H34" i="26"/>
  <c r="AD34" i="26" s="1"/>
  <c r="G34" i="26"/>
  <c r="F34" i="26"/>
  <c r="AB34" i="26" s="1"/>
  <c r="P33" i="26"/>
  <c r="AL33" i="26" s="1"/>
  <c r="O33" i="26"/>
  <c r="AK33" i="26" s="1"/>
  <c r="N33" i="26"/>
  <c r="AJ33" i="26" s="1"/>
  <c r="M33" i="26"/>
  <c r="L33" i="26"/>
  <c r="AH33" i="26" s="1"/>
  <c r="K33" i="26"/>
  <c r="AG33" i="26" s="1"/>
  <c r="J33" i="26"/>
  <c r="I33" i="26"/>
  <c r="H33" i="26"/>
  <c r="G33" i="26"/>
  <c r="F33" i="26"/>
  <c r="P32" i="26"/>
  <c r="AL32" i="26" s="1"/>
  <c r="O32" i="26"/>
  <c r="N32" i="26"/>
  <c r="AJ32" i="26" s="1"/>
  <c r="M32" i="26"/>
  <c r="AI32" i="26" s="1"/>
  <c r="L32" i="26"/>
  <c r="AH32" i="26" s="1"/>
  <c r="K32" i="26"/>
  <c r="J32" i="26"/>
  <c r="I32" i="26"/>
  <c r="AE32" i="26" s="1"/>
  <c r="H32" i="26"/>
  <c r="AD32" i="26" s="1"/>
  <c r="G32" i="26"/>
  <c r="F32" i="26"/>
  <c r="P31" i="26"/>
  <c r="O31" i="26"/>
  <c r="N31" i="26"/>
  <c r="M31" i="26"/>
  <c r="AI31" i="26" s="1"/>
  <c r="L31" i="26"/>
  <c r="K31" i="26"/>
  <c r="AG31" i="26" s="1"/>
  <c r="J31" i="26"/>
  <c r="AF31" i="26" s="1"/>
  <c r="I31" i="26"/>
  <c r="H31" i="26"/>
  <c r="G31" i="26"/>
  <c r="AC31" i="26" s="1"/>
  <c r="F31" i="26"/>
  <c r="AB31" i="26" s="1"/>
  <c r="P30" i="26"/>
  <c r="AL30" i="26" s="1"/>
  <c r="O30" i="26"/>
  <c r="N30" i="26"/>
  <c r="M30" i="26"/>
  <c r="L30" i="26"/>
  <c r="K30" i="26"/>
  <c r="J30" i="26"/>
  <c r="AF30" i="26" s="1"/>
  <c r="I30" i="26"/>
  <c r="H30" i="26"/>
  <c r="AD30" i="26" s="1"/>
  <c r="G30" i="26"/>
  <c r="F30" i="26"/>
  <c r="P29" i="26"/>
  <c r="O29" i="26"/>
  <c r="AK29" i="26" s="1"/>
  <c r="N29" i="26"/>
  <c r="AJ29" i="26" s="1"/>
  <c r="M29" i="26"/>
  <c r="AI29" i="26" s="1"/>
  <c r="L29" i="26"/>
  <c r="K29" i="26"/>
  <c r="J29" i="26"/>
  <c r="I29" i="26"/>
  <c r="H29" i="26"/>
  <c r="G29" i="26"/>
  <c r="F29" i="26"/>
  <c r="P27" i="26"/>
  <c r="O27" i="26"/>
  <c r="N27" i="26"/>
  <c r="M27" i="26"/>
  <c r="L27" i="26"/>
  <c r="K27" i="26"/>
  <c r="J27" i="26"/>
  <c r="I27" i="26"/>
  <c r="H27" i="26"/>
  <c r="G27" i="26"/>
  <c r="F27" i="26"/>
  <c r="AB27" i="26" s="1"/>
  <c r="AN27" i="26" s="1"/>
  <c r="P24" i="26"/>
  <c r="O24" i="26"/>
  <c r="N24" i="26"/>
  <c r="M24" i="26"/>
  <c r="L24" i="26"/>
  <c r="K24" i="26"/>
  <c r="J24" i="26"/>
  <c r="I24" i="26"/>
  <c r="H24" i="26"/>
  <c r="AD24" i="26" s="1"/>
  <c r="G24" i="26"/>
  <c r="AC24" i="26" s="1"/>
  <c r="AC25" i="26" s="1"/>
  <c r="F24" i="26"/>
  <c r="AB24" i="26" s="1"/>
  <c r="P23" i="26"/>
  <c r="AL23" i="26" s="1"/>
  <c r="O23" i="26"/>
  <c r="AK23" i="26" s="1"/>
  <c r="N23" i="26"/>
  <c r="AJ23" i="26" s="1"/>
  <c r="M23" i="26"/>
  <c r="L23" i="26"/>
  <c r="K23" i="26"/>
  <c r="J23" i="26"/>
  <c r="I23" i="26"/>
  <c r="H23" i="26"/>
  <c r="G23" i="26"/>
  <c r="F23" i="26"/>
  <c r="AB23" i="26" s="1"/>
  <c r="P22" i="26"/>
  <c r="AL22" i="26" s="1"/>
  <c r="O22" i="26"/>
  <c r="AK22" i="26" s="1"/>
  <c r="N22" i="26"/>
  <c r="AJ22" i="26" s="1"/>
  <c r="M22" i="26"/>
  <c r="AI22" i="26" s="1"/>
  <c r="L22" i="26"/>
  <c r="AH22" i="26" s="1"/>
  <c r="K22" i="26"/>
  <c r="AG22" i="26" s="1"/>
  <c r="J22" i="26"/>
  <c r="I22" i="26"/>
  <c r="H22" i="26"/>
  <c r="G22" i="26"/>
  <c r="F22" i="26"/>
  <c r="F11" i="26"/>
  <c r="AB11" i="26" s="1"/>
  <c r="G11" i="26"/>
  <c r="H11" i="26"/>
  <c r="I11" i="26"/>
  <c r="AE11" i="26" s="1"/>
  <c r="J11" i="26"/>
  <c r="K11" i="26"/>
  <c r="L11" i="26"/>
  <c r="M11" i="26"/>
  <c r="N11" i="26"/>
  <c r="O11" i="26"/>
  <c r="P11" i="26"/>
  <c r="F12" i="26"/>
  <c r="G12" i="26"/>
  <c r="H12" i="26"/>
  <c r="I12" i="26"/>
  <c r="J12" i="26"/>
  <c r="K12" i="26"/>
  <c r="L12" i="26"/>
  <c r="AH12" i="26" s="1"/>
  <c r="M12" i="26"/>
  <c r="N12" i="26"/>
  <c r="O12" i="26"/>
  <c r="P12" i="26"/>
  <c r="F13" i="26"/>
  <c r="G13" i="26"/>
  <c r="H13" i="26"/>
  <c r="I13" i="26"/>
  <c r="J13" i="26"/>
  <c r="K13" i="26"/>
  <c r="L13" i="26"/>
  <c r="M13" i="26"/>
  <c r="N13" i="26"/>
  <c r="O13" i="26"/>
  <c r="AK13" i="26" s="1"/>
  <c r="P13" i="26"/>
  <c r="F14" i="26"/>
  <c r="G14" i="26"/>
  <c r="H14" i="26"/>
  <c r="I14" i="26"/>
  <c r="J14" i="26"/>
  <c r="K14" i="26"/>
  <c r="L14" i="26"/>
  <c r="M14" i="26"/>
  <c r="N14" i="26"/>
  <c r="O14" i="26"/>
  <c r="P14" i="26"/>
  <c r="F15" i="26"/>
  <c r="G15" i="26"/>
  <c r="AC15" i="26" s="1"/>
  <c r="H15" i="26"/>
  <c r="I15" i="26"/>
  <c r="J15" i="26"/>
  <c r="K15" i="26"/>
  <c r="L15" i="26"/>
  <c r="M15" i="26"/>
  <c r="N15" i="26"/>
  <c r="O15" i="26"/>
  <c r="P15" i="26"/>
  <c r="F16" i="26"/>
  <c r="G16" i="26"/>
  <c r="H16" i="26"/>
  <c r="I16" i="26"/>
  <c r="J16" i="26"/>
  <c r="AF16" i="26" s="1"/>
  <c r="K16" i="26"/>
  <c r="L16" i="26"/>
  <c r="M16" i="26"/>
  <c r="N16" i="26"/>
  <c r="O16" i="26"/>
  <c r="P16" i="26"/>
  <c r="F17" i="26"/>
  <c r="G17" i="26"/>
  <c r="H17" i="26"/>
  <c r="I17" i="26"/>
  <c r="J17" i="26"/>
  <c r="K17" i="26"/>
  <c r="L17" i="26"/>
  <c r="M17" i="26"/>
  <c r="AI17" i="26" s="1"/>
  <c r="N17" i="26"/>
  <c r="O17" i="26"/>
  <c r="P17" i="26"/>
  <c r="F18" i="26"/>
  <c r="G18" i="26"/>
  <c r="H18" i="26"/>
  <c r="I18" i="26"/>
  <c r="J18" i="26"/>
  <c r="K18" i="26"/>
  <c r="L18" i="26"/>
  <c r="M18" i="26"/>
  <c r="N18" i="26"/>
  <c r="O18" i="26"/>
  <c r="P18" i="26"/>
  <c r="AL18" i="26" s="1"/>
  <c r="F19" i="26"/>
  <c r="G19" i="26"/>
  <c r="H19" i="26"/>
  <c r="I19" i="26"/>
  <c r="J19" i="26"/>
  <c r="K19" i="26"/>
  <c r="L19" i="26"/>
  <c r="M19" i="26"/>
  <c r="N19" i="26"/>
  <c r="O19" i="26"/>
  <c r="P19" i="26"/>
  <c r="G10" i="26"/>
  <c r="AC10" i="26" s="1"/>
  <c r="H10" i="26"/>
  <c r="AD10" i="26" s="1"/>
  <c r="I10" i="26"/>
  <c r="AE10" i="26" s="1"/>
  <c r="J10" i="26"/>
  <c r="AF10" i="26" s="1"/>
  <c r="K10" i="26"/>
  <c r="AG10" i="26" s="1"/>
  <c r="L10" i="26"/>
  <c r="M10" i="26"/>
  <c r="N10" i="26"/>
  <c r="O10" i="26"/>
  <c r="P10" i="26"/>
  <c r="F10" i="26"/>
  <c r="E37" i="27"/>
  <c r="E29" i="27"/>
  <c r="AA29" i="27" s="1"/>
  <c r="E28" i="27"/>
  <c r="E23" i="27"/>
  <c r="E22" i="27"/>
  <c r="AA22" i="27" s="1"/>
  <c r="AA24" i="27" s="1"/>
  <c r="E16" i="27"/>
  <c r="E17" i="27"/>
  <c r="AA17" i="27" s="1"/>
  <c r="E18" i="27"/>
  <c r="E15" i="27"/>
  <c r="E11" i="27"/>
  <c r="AA11" i="27" s="1"/>
  <c r="E12" i="27"/>
  <c r="AA12" i="27" s="1"/>
  <c r="E10" i="27"/>
  <c r="E85" i="26"/>
  <c r="E73" i="26"/>
  <c r="E74" i="26"/>
  <c r="E75" i="26"/>
  <c r="E76" i="26"/>
  <c r="E77" i="26"/>
  <c r="E78" i="26"/>
  <c r="AA78" i="26" s="1"/>
  <c r="E79" i="26"/>
  <c r="AA79" i="26" s="1"/>
  <c r="E80" i="26"/>
  <c r="E72" i="26"/>
  <c r="E64" i="26"/>
  <c r="E60" i="26"/>
  <c r="E59" i="26"/>
  <c r="E51" i="26"/>
  <c r="E52" i="26"/>
  <c r="E53" i="26"/>
  <c r="E54" i="26"/>
  <c r="E55" i="26"/>
  <c r="E50" i="26"/>
  <c r="E43" i="26"/>
  <c r="E44" i="26"/>
  <c r="E45" i="26"/>
  <c r="E42" i="26"/>
  <c r="E39" i="26"/>
  <c r="E38" i="26"/>
  <c r="E30" i="26"/>
  <c r="E31" i="26"/>
  <c r="E32" i="26"/>
  <c r="E33" i="26"/>
  <c r="E34" i="26"/>
  <c r="E35" i="26"/>
  <c r="E29" i="26"/>
  <c r="E27" i="26"/>
  <c r="E23" i="26"/>
  <c r="E24" i="26"/>
  <c r="E22" i="26"/>
  <c r="E11" i="26"/>
  <c r="AA11" i="26" s="1"/>
  <c r="E12" i="26"/>
  <c r="AA12" i="26" s="1"/>
  <c r="E13" i="26"/>
  <c r="E14" i="26"/>
  <c r="E15" i="26"/>
  <c r="E16" i="26"/>
  <c r="AA16" i="26" s="1"/>
  <c r="E17" i="26"/>
  <c r="AA17" i="26" s="1"/>
  <c r="E18" i="26"/>
  <c r="E19" i="26"/>
  <c r="AA19" i="26" s="1"/>
  <c r="E10" i="26"/>
  <c r="AA10" i="26" s="1"/>
  <c r="AA18" i="26"/>
  <c r="E25" i="26"/>
  <c r="E92" i="16"/>
  <c r="AA37" i="27"/>
  <c r="AL29" i="27"/>
  <c r="AK29" i="27"/>
  <c r="AJ29" i="27"/>
  <c r="AI29" i="27"/>
  <c r="AH29" i="27"/>
  <c r="AG29" i="27"/>
  <c r="AL23" i="27"/>
  <c r="AK23" i="27"/>
  <c r="AJ23" i="27"/>
  <c r="AI23" i="27"/>
  <c r="AH23" i="27"/>
  <c r="AG23" i="27"/>
  <c r="AF23" i="27"/>
  <c r="AE23" i="27"/>
  <c r="AD23" i="27"/>
  <c r="AC23" i="27"/>
  <c r="AB23" i="27"/>
  <c r="AA23" i="27"/>
  <c r="AL22" i="27"/>
  <c r="AL24" i="27" s="1"/>
  <c r="AK22" i="27"/>
  <c r="AK24" i="27" s="1"/>
  <c r="AI22" i="27"/>
  <c r="AI24" i="27" s="1"/>
  <c r="AH22" i="27"/>
  <c r="AH24" i="27" s="1"/>
  <c r="AG22" i="27"/>
  <c r="AG24" i="27" s="1"/>
  <c r="AF22" i="27"/>
  <c r="AF24" i="27" s="1"/>
  <c r="AE22" i="27"/>
  <c r="AE24" i="27" s="1"/>
  <c r="AD22" i="27"/>
  <c r="AD24" i="27" s="1"/>
  <c r="AC22" i="27"/>
  <c r="AC24" i="27" s="1"/>
  <c r="AB22" i="27"/>
  <c r="AA18" i="27"/>
  <c r="AF18" i="27"/>
  <c r="AG18" i="27"/>
  <c r="AH18" i="27"/>
  <c r="AI18" i="27"/>
  <c r="AJ18" i="27"/>
  <c r="AK18" i="27"/>
  <c r="AL18" i="27"/>
  <c r="AL17" i="27"/>
  <c r="AI17" i="27"/>
  <c r="AH17" i="27"/>
  <c r="AG17" i="27"/>
  <c r="AF17" i="27"/>
  <c r="AE17" i="27"/>
  <c r="AD17" i="27"/>
  <c r="AC17" i="27"/>
  <c r="AB17" i="27"/>
  <c r="AL16" i="27"/>
  <c r="AK16" i="27"/>
  <c r="AJ16" i="27"/>
  <c r="AI16" i="27"/>
  <c r="AF16" i="27"/>
  <c r="AE16" i="27"/>
  <c r="AD16" i="27"/>
  <c r="AC16" i="27"/>
  <c r="AB16" i="27"/>
  <c r="AA16" i="27"/>
  <c r="AL15" i="27"/>
  <c r="AK15" i="27"/>
  <c r="AJ15" i="27"/>
  <c r="AI15" i="27"/>
  <c r="AH15" i="27"/>
  <c r="AG15" i="27"/>
  <c r="AC15" i="27"/>
  <c r="AB15" i="27"/>
  <c r="AA15" i="27"/>
  <c r="AC11" i="27"/>
  <c r="AC13" i="27" s="1"/>
  <c r="AD11" i="27"/>
  <c r="AD13" i="27" s="1"/>
  <c r="AE11" i="27"/>
  <c r="AE13" i="27" s="1"/>
  <c r="AF11" i="27"/>
  <c r="AG11" i="27"/>
  <c r="AH11" i="27"/>
  <c r="AI11" i="27"/>
  <c r="AJ11" i="27"/>
  <c r="AK11" i="27"/>
  <c r="AF12" i="27"/>
  <c r="AG12" i="27"/>
  <c r="AH12" i="27"/>
  <c r="AI12" i="27"/>
  <c r="AJ12" i="27"/>
  <c r="AK12" i="27"/>
  <c r="AL12" i="27"/>
  <c r="AC10" i="27"/>
  <c r="AD10" i="27"/>
  <c r="AE10" i="27"/>
  <c r="AF10" i="27"/>
  <c r="AG10" i="27"/>
  <c r="AH10" i="27"/>
  <c r="AI10" i="27"/>
  <c r="AJ10" i="27"/>
  <c r="AK10" i="27"/>
  <c r="AL10" i="27"/>
  <c r="AA10" i="27"/>
  <c r="AB7" i="27"/>
  <c r="AC7" i="27" s="1"/>
  <c r="AD7" i="27" s="1"/>
  <c r="AE7" i="27" s="1"/>
  <c r="AF7" i="27" s="1"/>
  <c r="AG7" i="27" s="1"/>
  <c r="AH7" i="27" s="1"/>
  <c r="AI7" i="27" s="1"/>
  <c r="AJ7" i="27" s="1"/>
  <c r="AK7" i="27" s="1"/>
  <c r="AL7" i="27" s="1"/>
  <c r="AL89" i="26"/>
  <c r="AK89" i="26"/>
  <c r="AJ89" i="26"/>
  <c r="AI89" i="26"/>
  <c r="AH89" i="26"/>
  <c r="AG89" i="26"/>
  <c r="AF89" i="26"/>
  <c r="AE89" i="26"/>
  <c r="AD89" i="26"/>
  <c r="AC89" i="26"/>
  <c r="AB89" i="26"/>
  <c r="AA89" i="26"/>
  <c r="AL88" i="26"/>
  <c r="AK88" i="26"/>
  <c r="AJ88" i="26"/>
  <c r="AI88" i="26"/>
  <c r="AH88" i="26"/>
  <c r="AG88" i="26"/>
  <c r="AF88" i="26"/>
  <c r="AE88" i="26"/>
  <c r="AD88" i="26"/>
  <c r="AC88" i="26"/>
  <c r="AB88" i="26"/>
  <c r="AA88" i="26"/>
  <c r="AA85" i="26"/>
  <c r="AA64" i="26"/>
  <c r="AA74" i="26"/>
  <c r="AB74" i="26"/>
  <c r="AC74" i="26"/>
  <c r="AD74" i="26"/>
  <c r="AE74" i="26"/>
  <c r="AF74" i="26"/>
  <c r="AG74" i="26"/>
  <c r="AH74" i="26"/>
  <c r="AA75" i="26"/>
  <c r="AD75" i="26"/>
  <c r="AE75" i="26"/>
  <c r="AF75" i="26"/>
  <c r="AG75" i="26"/>
  <c r="AH75" i="26"/>
  <c r="AI75" i="26"/>
  <c r="AJ75" i="26"/>
  <c r="AK75" i="26"/>
  <c r="AA76" i="26"/>
  <c r="AA77" i="26"/>
  <c r="AB77" i="26"/>
  <c r="AC77" i="26"/>
  <c r="AG77" i="26"/>
  <c r="AH77" i="26"/>
  <c r="AI77" i="26"/>
  <c r="AL77" i="26"/>
  <c r="AB78" i="26"/>
  <c r="AC78" i="26"/>
  <c r="AD78" i="26"/>
  <c r="AE78" i="26"/>
  <c r="AF78" i="26"/>
  <c r="AJ78" i="26"/>
  <c r="AK78" i="26"/>
  <c r="AL78" i="26"/>
  <c r="AD79" i="26"/>
  <c r="AE79" i="26"/>
  <c r="AF79" i="26"/>
  <c r="AG79" i="26"/>
  <c r="AH79" i="26"/>
  <c r="AI79" i="26"/>
  <c r="AA80" i="26"/>
  <c r="AB80" i="26"/>
  <c r="AC80" i="26"/>
  <c r="AG80" i="26"/>
  <c r="AH80" i="26"/>
  <c r="AI80" i="26"/>
  <c r="AJ80" i="26"/>
  <c r="AK80" i="26"/>
  <c r="AL80" i="26"/>
  <c r="AL73" i="26"/>
  <c r="AK73" i="26"/>
  <c r="AJ73" i="26"/>
  <c r="AI73" i="26"/>
  <c r="AH73" i="26"/>
  <c r="AE73" i="26"/>
  <c r="AD73" i="26"/>
  <c r="AC73" i="26"/>
  <c r="AB73" i="26"/>
  <c r="AA73" i="26"/>
  <c r="AL72" i="26"/>
  <c r="AK72" i="26"/>
  <c r="AJ72" i="26"/>
  <c r="AI72" i="26"/>
  <c r="AH72" i="26"/>
  <c r="AG72" i="26"/>
  <c r="AF72" i="26"/>
  <c r="AB72" i="26"/>
  <c r="AA72" i="26"/>
  <c r="AB60" i="26"/>
  <c r="AA60" i="26"/>
  <c r="AL55" i="26"/>
  <c r="AK55" i="26"/>
  <c r="AJ55" i="26"/>
  <c r="AI55" i="26"/>
  <c r="AH55" i="26"/>
  <c r="AG55" i="26"/>
  <c r="AF55" i="26"/>
  <c r="AE55" i="26"/>
  <c r="AA55" i="26"/>
  <c r="AJ54" i="26"/>
  <c r="AI54" i="26"/>
  <c r="AH54" i="26"/>
  <c r="AG54" i="26"/>
  <c r="AF54" i="26"/>
  <c r="AE54" i="26"/>
  <c r="AD54" i="26"/>
  <c r="AC54" i="26"/>
  <c r="AB54" i="26"/>
  <c r="AA54" i="26"/>
  <c r="AL52" i="26"/>
  <c r="AK52" i="26"/>
  <c r="AJ52" i="26"/>
  <c r="AI52" i="26"/>
  <c r="AH52" i="26"/>
  <c r="AD52" i="26"/>
  <c r="AC52" i="26"/>
  <c r="AB52" i="26"/>
  <c r="AA52" i="26"/>
  <c r="AL51" i="26"/>
  <c r="AK51" i="26"/>
  <c r="AJ51" i="26"/>
  <c r="AI51" i="26"/>
  <c r="AH51" i="26"/>
  <c r="AG51" i="26"/>
  <c r="AF51" i="26"/>
  <c r="AE51" i="26"/>
  <c r="AA51" i="26"/>
  <c r="AL50" i="26"/>
  <c r="AK50" i="26"/>
  <c r="AJ50" i="26"/>
  <c r="AI50" i="26"/>
  <c r="AH50" i="26"/>
  <c r="AG50" i="26"/>
  <c r="AF50" i="26"/>
  <c r="AE50" i="26"/>
  <c r="AD50" i="26"/>
  <c r="AC50" i="26"/>
  <c r="AA50" i="26"/>
  <c r="AL45" i="26"/>
  <c r="AK45" i="26"/>
  <c r="AJ45" i="26"/>
  <c r="AI45" i="26"/>
  <c r="AH45" i="26"/>
  <c r="AG45" i="26"/>
  <c r="AF45" i="26"/>
  <c r="AE45" i="26"/>
  <c r="AC45" i="26"/>
  <c r="AA45" i="26"/>
  <c r="AI44" i="26"/>
  <c r="AH44" i="26"/>
  <c r="AG44" i="26"/>
  <c r="AF44" i="26"/>
  <c r="AE44" i="26"/>
  <c r="AD44" i="26"/>
  <c r="AC44" i="26"/>
  <c r="AC46" i="26" s="1"/>
  <c r="AA44" i="26"/>
  <c r="AK43" i="26"/>
  <c r="AF43" i="26"/>
  <c r="AE43" i="26"/>
  <c r="AD43" i="26"/>
  <c r="AC43" i="26"/>
  <c r="AB43" i="26"/>
  <c r="AA43" i="26"/>
  <c r="AH42" i="26"/>
  <c r="AG42" i="26"/>
  <c r="AF42" i="26"/>
  <c r="AC42" i="26"/>
  <c r="AB42" i="26"/>
  <c r="AA42" i="26"/>
  <c r="AG39" i="26"/>
  <c r="AF39" i="26"/>
  <c r="AE39" i="26"/>
  <c r="AD39" i="26"/>
  <c r="AB39" i="26"/>
  <c r="AA39" i="26"/>
  <c r="AD38" i="26"/>
  <c r="AC38" i="26"/>
  <c r="AB38" i="26"/>
  <c r="AB40" i="26" s="1"/>
  <c r="AA38" i="26"/>
  <c r="AA30" i="26"/>
  <c r="AB30" i="26"/>
  <c r="AC30" i="26"/>
  <c r="AE30" i="26"/>
  <c r="AG30" i="26"/>
  <c r="AH30" i="26"/>
  <c r="AI30" i="26"/>
  <c r="AJ30" i="26"/>
  <c r="AK30" i="26"/>
  <c r="AA31" i="26"/>
  <c r="AD31" i="26"/>
  <c r="AE31" i="26"/>
  <c r="AH31" i="26"/>
  <c r="AJ31" i="26"/>
  <c r="AK31" i="26"/>
  <c r="AL31" i="26"/>
  <c r="AA32" i="26"/>
  <c r="AB32" i="26"/>
  <c r="AC32" i="26"/>
  <c r="AF32" i="26"/>
  <c r="AG32" i="26"/>
  <c r="AK32" i="26"/>
  <c r="AA33" i="26"/>
  <c r="AB33" i="26"/>
  <c r="AC33" i="26"/>
  <c r="AD33" i="26"/>
  <c r="AE33" i="26"/>
  <c r="AF33" i="26"/>
  <c r="AI33" i="26"/>
  <c r="AA34" i="26"/>
  <c r="AC34" i="26"/>
  <c r="AE34" i="26"/>
  <c r="AF34" i="26"/>
  <c r="AG34" i="26"/>
  <c r="AH34" i="26"/>
  <c r="AI34" i="26"/>
  <c r="AK34" i="26"/>
  <c r="AA35" i="26"/>
  <c r="AE35" i="26"/>
  <c r="AF35" i="26"/>
  <c r="AG35" i="26"/>
  <c r="AH35" i="26"/>
  <c r="AI35" i="26"/>
  <c r="AJ35" i="26"/>
  <c r="AK35" i="26"/>
  <c r="AL35" i="26"/>
  <c r="AL29" i="26"/>
  <c r="AH29" i="26"/>
  <c r="AG29" i="26"/>
  <c r="AF29" i="26"/>
  <c r="AE29" i="26"/>
  <c r="AD29" i="26"/>
  <c r="AC29" i="26"/>
  <c r="AB29" i="26"/>
  <c r="AA29" i="26"/>
  <c r="AL27" i="26"/>
  <c r="AK27" i="26"/>
  <c r="AJ27" i="26"/>
  <c r="AI27" i="26"/>
  <c r="AH27" i="26"/>
  <c r="AG27" i="26"/>
  <c r="AF27" i="26"/>
  <c r="AE27" i="26"/>
  <c r="AD27" i="26"/>
  <c r="AC27" i="26"/>
  <c r="AA27" i="26"/>
  <c r="AL24" i="26"/>
  <c r="AK24" i="26"/>
  <c r="AJ24" i="26"/>
  <c r="AI24" i="26"/>
  <c r="AH24" i="26"/>
  <c r="AG24" i="26"/>
  <c r="AF24" i="26"/>
  <c r="AE24" i="26"/>
  <c r="AA24" i="26"/>
  <c r="AI23" i="26"/>
  <c r="AH23" i="26"/>
  <c r="AG23" i="26"/>
  <c r="AF23" i="26"/>
  <c r="AE23" i="26"/>
  <c r="AD23" i="26"/>
  <c r="AC23" i="26"/>
  <c r="AA23" i="26"/>
  <c r="AF22" i="26"/>
  <c r="AE22" i="26"/>
  <c r="AE25" i="26" s="1"/>
  <c r="AD22" i="26"/>
  <c r="AC22" i="26"/>
  <c r="AB22" i="26"/>
  <c r="AA22" i="26"/>
  <c r="AB10" i="26"/>
  <c r="AH10" i="26"/>
  <c r="AI10" i="26"/>
  <c r="AJ10" i="26"/>
  <c r="AK10" i="26"/>
  <c r="AL10" i="26"/>
  <c r="AC11" i="26"/>
  <c r="AD11" i="26"/>
  <c r="AF11" i="26"/>
  <c r="AG11" i="26"/>
  <c r="AH11" i="26"/>
  <c r="AI11" i="26"/>
  <c r="AJ11" i="26"/>
  <c r="AK11" i="26"/>
  <c r="AL11" i="26"/>
  <c r="AB12" i="26"/>
  <c r="AC12" i="26"/>
  <c r="AD12" i="26"/>
  <c r="AE12" i="26"/>
  <c r="AF12" i="26"/>
  <c r="AG12" i="26"/>
  <c r="AI12" i="26"/>
  <c r="AJ12" i="26"/>
  <c r="AK12" i="26"/>
  <c r="AL12" i="26"/>
  <c r="AB13" i="26"/>
  <c r="AC13" i="26"/>
  <c r="AD13" i="26"/>
  <c r="AE13" i="26"/>
  <c r="AF13" i="26"/>
  <c r="AG13" i="26"/>
  <c r="AH13" i="26"/>
  <c r="AI13" i="26"/>
  <c r="AJ13" i="26"/>
  <c r="AL13" i="26"/>
  <c r="AB14" i="26"/>
  <c r="AC14" i="26"/>
  <c r="AD14" i="26"/>
  <c r="AE14" i="26"/>
  <c r="AF14" i="26"/>
  <c r="AG14" i="26"/>
  <c r="AH14" i="26"/>
  <c r="AI14" i="26"/>
  <c r="AJ14" i="26"/>
  <c r="AK14" i="26"/>
  <c r="AL14" i="26"/>
  <c r="AB15" i="26"/>
  <c r="AD15" i="26"/>
  <c r="AE15" i="26"/>
  <c r="AF15" i="26"/>
  <c r="AG15" i="26"/>
  <c r="AH15" i="26"/>
  <c r="AI15" i="26"/>
  <c r="AJ15" i="26"/>
  <c r="AK15" i="26"/>
  <c r="AL15" i="26"/>
  <c r="AB16" i="26"/>
  <c r="AC16" i="26"/>
  <c r="AD16" i="26"/>
  <c r="AE16" i="26"/>
  <c r="AG16" i="26"/>
  <c r="AH16" i="26"/>
  <c r="AI16" i="26"/>
  <c r="AJ16" i="26"/>
  <c r="AK16" i="26"/>
  <c r="AL16" i="26"/>
  <c r="AB17" i="26"/>
  <c r="AC17" i="26"/>
  <c r="AD17" i="26"/>
  <c r="AE17" i="26"/>
  <c r="AF17" i="26"/>
  <c r="AG17" i="26"/>
  <c r="AH17" i="26"/>
  <c r="AJ17" i="26"/>
  <c r="AK17" i="26"/>
  <c r="AL17" i="26"/>
  <c r="AB18" i="26"/>
  <c r="AC18" i="26"/>
  <c r="AD18" i="26"/>
  <c r="AE18" i="26"/>
  <c r="AF18" i="26"/>
  <c r="AG18" i="26"/>
  <c r="AH18" i="26"/>
  <c r="AI18" i="26"/>
  <c r="AJ18" i="26"/>
  <c r="AK18" i="26"/>
  <c r="AB19" i="26"/>
  <c r="AC19" i="26"/>
  <c r="AD19" i="26"/>
  <c r="AE19" i="26"/>
  <c r="AF19" i="26"/>
  <c r="AG19" i="26"/>
  <c r="AH19" i="26"/>
  <c r="AI19" i="26"/>
  <c r="AJ19" i="26"/>
  <c r="AK19" i="26"/>
  <c r="AL19" i="26"/>
  <c r="AA13" i="26"/>
  <c r="AA14" i="26"/>
  <c r="AA15" i="26"/>
  <c r="AB70" i="26"/>
  <c r="AC70" i="26" s="1"/>
  <c r="AD70" i="26" s="1"/>
  <c r="AE70" i="26" s="1"/>
  <c r="AF70" i="26" s="1"/>
  <c r="AG70" i="26" s="1"/>
  <c r="AH70" i="26" s="1"/>
  <c r="AI70" i="26" s="1"/>
  <c r="AJ70" i="26" s="1"/>
  <c r="AK70" i="26" s="1"/>
  <c r="AL70" i="26" s="1"/>
  <c r="AB7" i="26"/>
  <c r="AC7" i="26" s="1"/>
  <c r="AD7" i="26" s="1"/>
  <c r="AE7" i="26" s="1"/>
  <c r="AF7" i="26" s="1"/>
  <c r="AG7" i="26" s="1"/>
  <c r="AH7" i="26" s="1"/>
  <c r="AI7" i="26" s="1"/>
  <c r="AJ7" i="26" s="1"/>
  <c r="AK7" i="26" s="1"/>
  <c r="AL7" i="26" s="1"/>
  <c r="J40" i="23"/>
  <c r="J28" i="23"/>
  <c r="J20" i="23"/>
  <c r="J33" i="23"/>
  <c r="J32" i="23"/>
  <c r="F37" i="23"/>
  <c r="AN29" i="27" l="1"/>
  <c r="AB19" i="27"/>
  <c r="AJ19" i="27"/>
  <c r="AI19" i="27"/>
  <c r="AK13" i="27"/>
  <c r="AJ13" i="27"/>
  <c r="AI13" i="27"/>
  <c r="AF13" i="27"/>
  <c r="AL13" i="27"/>
  <c r="AH13" i="27"/>
  <c r="AG13" i="27"/>
  <c r="AN74" i="26"/>
  <c r="AN78" i="26"/>
  <c r="AK46" i="26"/>
  <c r="AL46" i="26"/>
  <c r="AD46" i="26"/>
  <c r="AF46" i="26"/>
  <c r="AG46" i="26"/>
  <c r="AH40" i="26"/>
  <c r="AC40" i="26"/>
  <c r="AG40" i="26"/>
  <c r="AN31" i="26"/>
  <c r="AN35" i="26"/>
  <c r="AE36" i="26"/>
  <c r="AB36" i="26"/>
  <c r="AH25" i="26"/>
  <c r="AI25" i="26"/>
  <c r="AK25" i="26"/>
  <c r="M25" i="26"/>
  <c r="AF25" i="26"/>
  <c r="AF20" i="26"/>
  <c r="AI20" i="26"/>
  <c r="AA19" i="27"/>
  <c r="AN73" i="26"/>
  <c r="AN54" i="26"/>
  <c r="AN52" i="26"/>
  <c r="AA40" i="26"/>
  <c r="AN39" i="26"/>
  <c r="AA25" i="26"/>
  <c r="AN18" i="26"/>
  <c r="AK19" i="27"/>
  <c r="AK26" i="27" s="1"/>
  <c r="AL19" i="27"/>
  <c r="AL26" i="27" s="1"/>
  <c r="AC19" i="27"/>
  <c r="AN18" i="27"/>
  <c r="AN16" i="27"/>
  <c r="AB13" i="27"/>
  <c r="AN22" i="27"/>
  <c r="AN15" i="27"/>
  <c r="AN17" i="27"/>
  <c r="AN79" i="26"/>
  <c r="AN80" i="26"/>
  <c r="AN72" i="26"/>
  <c r="AN81" i="26" s="1"/>
  <c r="AN75" i="26"/>
  <c r="AN77" i="26"/>
  <c r="AH46" i="26"/>
  <c r="AN45" i="26"/>
  <c r="AN43" i="26"/>
  <c r="AJ46" i="26"/>
  <c r="AI46" i="26"/>
  <c r="AI48" i="26" s="1"/>
  <c r="AB46" i="26"/>
  <c r="AE46" i="26"/>
  <c r="AJ40" i="26"/>
  <c r="AN34" i="26"/>
  <c r="AL36" i="26"/>
  <c r="AN30" i="26"/>
  <c r="AF36" i="26"/>
  <c r="AI36" i="26"/>
  <c r="AN33" i="26"/>
  <c r="AD36" i="26"/>
  <c r="AN24" i="26"/>
  <c r="AB25" i="26"/>
  <c r="AN23" i="26"/>
  <c r="AG25" i="26"/>
  <c r="AN15" i="26"/>
  <c r="AN14" i="26"/>
  <c r="AJ20" i="26"/>
  <c r="AC20" i="26"/>
  <c r="AE20" i="26"/>
  <c r="AD20" i="26"/>
  <c r="AG20" i="26"/>
  <c r="AK20" i="26"/>
  <c r="AB20" i="26"/>
  <c r="AL20" i="26"/>
  <c r="AN19" i="26"/>
  <c r="AH20" i="26"/>
  <c r="AN50" i="26"/>
  <c r="AN44" i="26"/>
  <c r="AA46" i="26"/>
  <c r="AN38" i="26"/>
  <c r="AN32" i="26"/>
  <c r="AA36" i="26"/>
  <c r="AN22" i="26"/>
  <c r="AN11" i="26"/>
  <c r="AN17" i="26"/>
  <c r="AB24" i="27"/>
  <c r="AN24" i="27" s="1"/>
  <c r="AF26" i="27"/>
  <c r="AE26" i="27"/>
  <c r="AJ26" i="27"/>
  <c r="AC26" i="27"/>
  <c r="AG19" i="27"/>
  <c r="AH19" i="27"/>
  <c r="AA26" i="27"/>
  <c r="AI26" i="27"/>
  <c r="AD19" i="27"/>
  <c r="AD26" i="27" s="1"/>
  <c r="AG26" i="27"/>
  <c r="AH26" i="27"/>
  <c r="AN11" i="27"/>
  <c r="AN10" i="27"/>
  <c r="AA13" i="27"/>
  <c r="AN42" i="26"/>
  <c r="AD40" i="26"/>
  <c r="AE40" i="26"/>
  <c r="AL40" i="26"/>
  <c r="AL48" i="26" s="1"/>
  <c r="AF40" i="26"/>
  <c r="AF48" i="26" s="1"/>
  <c r="AB48" i="26"/>
  <c r="AG36" i="26"/>
  <c r="AH36" i="26"/>
  <c r="AJ36" i="26"/>
  <c r="AJ48" i="26" s="1"/>
  <c r="AC36" i="26"/>
  <c r="AC48" i="26" s="1"/>
  <c r="AK36" i="26"/>
  <c r="AK48" i="26" s="1"/>
  <c r="AN29" i="26"/>
  <c r="AD25" i="26"/>
  <c r="AL25" i="26"/>
  <c r="AJ25" i="26"/>
  <c r="AN13" i="26"/>
  <c r="AN10" i="26"/>
  <c r="AN12" i="26"/>
  <c r="AN16" i="26"/>
  <c r="AA20" i="26"/>
  <c r="AN13" i="27" l="1"/>
  <c r="AH48" i="26"/>
  <c r="AD48" i="26"/>
  <c r="AN20" i="26"/>
  <c r="AN46" i="26"/>
  <c r="AA48" i="26"/>
  <c r="AN36" i="26"/>
  <c r="AE48" i="26"/>
  <c r="AG48" i="26"/>
  <c r="AN25" i="26"/>
  <c r="AB26" i="27"/>
  <c r="AN26" i="27" s="1"/>
  <c r="AN19" i="27"/>
  <c r="AN40" i="26"/>
  <c r="AA81" i="26"/>
  <c r="AN48" i="26" l="1"/>
  <c r="E40" i="8"/>
  <c r="P62" i="16"/>
  <c r="O62" i="16"/>
  <c r="N62" i="16"/>
  <c r="M62" i="16"/>
  <c r="L62" i="16"/>
  <c r="K62" i="16"/>
  <c r="J62" i="16"/>
  <c r="I62" i="16"/>
  <c r="H62" i="16"/>
  <c r="G62" i="16"/>
  <c r="F62" i="16"/>
  <c r="E62" i="16"/>
  <c r="R27" i="26"/>
  <c r="R27" i="16"/>
  <c r="I27" i="1"/>
  <c r="R27" i="1" s="1"/>
  <c r="J27" i="1"/>
  <c r="K27" i="1"/>
  <c r="L27" i="1"/>
  <c r="M27" i="1"/>
  <c r="N27" i="1"/>
  <c r="O27" i="1"/>
  <c r="P27" i="1"/>
  <c r="H27" i="1"/>
  <c r="R45" i="1" l="1"/>
  <c r="P38" i="1" l="1"/>
  <c r="J38" i="1"/>
  <c r="R30" i="8"/>
  <c r="F41" i="20"/>
  <c r="E41" i="20"/>
  <c r="E40" i="20"/>
  <c r="H97" i="28" l="1"/>
  <c r="H96" i="28"/>
  <c r="I96" i="28" s="1"/>
  <c r="H95" i="28"/>
  <c r="O79" i="28"/>
  <c r="P79" i="28" s="1"/>
  <c r="L79" i="28"/>
  <c r="M79" i="28" s="1"/>
  <c r="N79" i="28" s="1"/>
  <c r="I79" i="28"/>
  <c r="E79" i="28"/>
  <c r="F79" i="28" s="1"/>
  <c r="F78" i="28"/>
  <c r="G78" i="28" s="1"/>
  <c r="H78" i="28" s="1"/>
  <c r="I78" i="28" s="1"/>
  <c r="J78" i="28" s="1"/>
  <c r="K78" i="28" s="1"/>
  <c r="L78" i="28" s="1"/>
  <c r="M78" i="28" s="1"/>
  <c r="N78" i="28" s="1"/>
  <c r="O78" i="28" s="1"/>
  <c r="P78" i="28" s="1"/>
  <c r="J75" i="28"/>
  <c r="J74" i="28"/>
  <c r="O69" i="28"/>
  <c r="P69" i="28" s="1"/>
  <c r="M69" i="28"/>
  <c r="N69" i="28" s="1"/>
  <c r="L69" i="28"/>
  <c r="J69" i="28"/>
  <c r="I69" i="28"/>
  <c r="E69" i="28"/>
  <c r="F68" i="28"/>
  <c r="G68" i="28" s="1"/>
  <c r="H68" i="28" s="1"/>
  <c r="I68" i="28" s="1"/>
  <c r="J68" i="28" s="1"/>
  <c r="K68" i="28" s="1"/>
  <c r="L68" i="28" s="1"/>
  <c r="M68" i="28" s="1"/>
  <c r="N68" i="28" s="1"/>
  <c r="O68" i="28" s="1"/>
  <c r="P68" i="28" s="1"/>
  <c r="J66" i="28"/>
  <c r="J65" i="28"/>
  <c r="O61" i="28"/>
  <c r="P61" i="28" s="1"/>
  <c r="L61" i="28"/>
  <c r="M61" i="28" s="1"/>
  <c r="I61" i="28"/>
  <c r="E61" i="28"/>
  <c r="F60" i="28"/>
  <c r="G60" i="28" s="1"/>
  <c r="H60" i="28" s="1"/>
  <c r="I60" i="28" s="1"/>
  <c r="J60" i="28" s="1"/>
  <c r="K60" i="28" s="1"/>
  <c r="L60" i="28" s="1"/>
  <c r="M60" i="28" s="1"/>
  <c r="N60" i="28" s="1"/>
  <c r="O60" i="28" s="1"/>
  <c r="P60" i="28" s="1"/>
  <c r="J57" i="28"/>
  <c r="J56" i="28"/>
  <c r="F6" i="28" s="1"/>
  <c r="O48" i="28"/>
  <c r="P48" i="28" s="1"/>
  <c r="L48" i="28"/>
  <c r="J48" i="28"/>
  <c r="K48" i="28" s="1"/>
  <c r="I48" i="28"/>
  <c r="E48" i="28"/>
  <c r="O47" i="28"/>
  <c r="P47" i="28" s="1"/>
  <c r="L47" i="28"/>
  <c r="M47" i="28" s="1"/>
  <c r="I47" i="28"/>
  <c r="J47" i="28" s="1"/>
  <c r="G47" i="28"/>
  <c r="F47" i="28"/>
  <c r="E47" i="28"/>
  <c r="O46" i="28"/>
  <c r="M46" i="28"/>
  <c r="L46" i="28"/>
  <c r="I46" i="28"/>
  <c r="J46" i="28" s="1"/>
  <c r="K46" i="28" s="1"/>
  <c r="F46" i="28"/>
  <c r="E46" i="28"/>
  <c r="F45" i="28"/>
  <c r="G45" i="28" s="1"/>
  <c r="H45" i="28" s="1"/>
  <c r="I45" i="28" s="1"/>
  <c r="J45" i="28" s="1"/>
  <c r="K45" i="28" s="1"/>
  <c r="L45" i="28" s="1"/>
  <c r="M45" i="28" s="1"/>
  <c r="N45" i="28" s="1"/>
  <c r="O45" i="28" s="1"/>
  <c r="P45" i="28" s="1"/>
  <c r="J41" i="28"/>
  <c r="M41" i="28" s="1"/>
  <c r="J40" i="28"/>
  <c r="K40" i="28" s="1"/>
  <c r="J39" i="28"/>
  <c r="K39" i="28" s="1"/>
  <c r="F9" i="28"/>
  <c r="F8" i="28"/>
  <c r="D1" i="28"/>
  <c r="P41" i="27"/>
  <c r="AL41" i="27" s="1"/>
  <c r="O41" i="27"/>
  <c r="AK41" i="27" s="1"/>
  <c r="N41" i="27"/>
  <c r="AJ41" i="27" s="1"/>
  <c r="M41" i="27"/>
  <c r="AI41" i="27" s="1"/>
  <c r="L41" i="27"/>
  <c r="AH41" i="27" s="1"/>
  <c r="K41" i="27"/>
  <c r="AG41" i="27" s="1"/>
  <c r="J41" i="27"/>
  <c r="AF41" i="27" s="1"/>
  <c r="I41" i="27"/>
  <c r="AE41" i="27" s="1"/>
  <c r="H41" i="27"/>
  <c r="AD41" i="27" s="1"/>
  <c r="G41" i="27"/>
  <c r="AC41" i="27" s="1"/>
  <c r="F41" i="27"/>
  <c r="AB41" i="27" s="1"/>
  <c r="E41" i="27"/>
  <c r="AA41" i="27" s="1"/>
  <c r="P40" i="27"/>
  <c r="AL40" i="27" s="1"/>
  <c r="O40" i="27"/>
  <c r="AK40" i="27" s="1"/>
  <c r="N40" i="27"/>
  <c r="AJ40" i="27" s="1"/>
  <c r="M40" i="27"/>
  <c r="AI40" i="27" s="1"/>
  <c r="L40" i="27"/>
  <c r="AH40" i="27" s="1"/>
  <c r="K40" i="27"/>
  <c r="AG40" i="27" s="1"/>
  <c r="J40" i="27"/>
  <c r="AF40" i="27" s="1"/>
  <c r="I40" i="27"/>
  <c r="AE40" i="27" s="1"/>
  <c r="H40" i="27"/>
  <c r="AD40" i="27" s="1"/>
  <c r="G40" i="27"/>
  <c r="AC40" i="27" s="1"/>
  <c r="F40" i="27"/>
  <c r="AB40" i="27" s="1"/>
  <c r="E40" i="27"/>
  <c r="R29" i="27"/>
  <c r="P24" i="27"/>
  <c r="O24" i="27"/>
  <c r="N24" i="27"/>
  <c r="M24" i="27"/>
  <c r="L24" i="27"/>
  <c r="K24" i="27"/>
  <c r="J24" i="27"/>
  <c r="I24" i="27"/>
  <c r="H24" i="27"/>
  <c r="G24" i="27"/>
  <c r="F24" i="27"/>
  <c r="F26" i="27" s="1"/>
  <c r="E24" i="27"/>
  <c r="R22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R18" i="27"/>
  <c r="R17" i="27"/>
  <c r="R16" i="27"/>
  <c r="R15" i="27"/>
  <c r="L13" i="27"/>
  <c r="E13" i="27"/>
  <c r="F7" i="27"/>
  <c r="G7" i="27" s="1"/>
  <c r="H7" i="27" s="1"/>
  <c r="I7" i="27" s="1"/>
  <c r="J7" i="27" s="1"/>
  <c r="K7" i="27" s="1"/>
  <c r="L7" i="27" s="1"/>
  <c r="M7" i="27" s="1"/>
  <c r="N7" i="27" s="1"/>
  <c r="O7" i="27" s="1"/>
  <c r="P7" i="27" s="1"/>
  <c r="E91" i="26"/>
  <c r="F70" i="26"/>
  <c r="G70" i="26" s="1"/>
  <c r="H70" i="26" s="1"/>
  <c r="I70" i="26" s="1"/>
  <c r="J70" i="26" s="1"/>
  <c r="K70" i="26" s="1"/>
  <c r="L70" i="26" s="1"/>
  <c r="M70" i="26" s="1"/>
  <c r="N70" i="26" s="1"/>
  <c r="O70" i="26" s="1"/>
  <c r="P70" i="26" s="1"/>
  <c r="R50" i="26"/>
  <c r="P46" i="26"/>
  <c r="O46" i="26"/>
  <c r="N46" i="26"/>
  <c r="M46" i="26"/>
  <c r="L46" i="26"/>
  <c r="K46" i="26"/>
  <c r="J46" i="26"/>
  <c r="I46" i="26"/>
  <c r="H46" i="26"/>
  <c r="G46" i="26"/>
  <c r="F46" i="26"/>
  <c r="E46" i="26"/>
  <c r="R45" i="26"/>
  <c r="R44" i="26"/>
  <c r="R43" i="26"/>
  <c r="R42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R39" i="26"/>
  <c r="R38" i="26"/>
  <c r="G37" i="23" s="1"/>
  <c r="J37" i="23" s="1"/>
  <c r="J47" i="23" s="1"/>
  <c r="O36" i="26"/>
  <c r="N36" i="26"/>
  <c r="M36" i="26"/>
  <c r="L36" i="26"/>
  <c r="K36" i="26"/>
  <c r="J36" i="26"/>
  <c r="I36" i="26"/>
  <c r="H36" i="26"/>
  <c r="G36" i="26"/>
  <c r="F36" i="26"/>
  <c r="E36" i="26"/>
  <c r="R35" i="26"/>
  <c r="R34" i="26"/>
  <c r="R33" i="26"/>
  <c r="R32" i="26"/>
  <c r="R31" i="26"/>
  <c r="R30" i="26"/>
  <c r="R29" i="26"/>
  <c r="I25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R19" i="26"/>
  <c r="R18" i="26"/>
  <c r="R17" i="26"/>
  <c r="R16" i="26"/>
  <c r="R15" i="26"/>
  <c r="R14" i="26"/>
  <c r="R13" i="26"/>
  <c r="R12" i="26"/>
  <c r="R11" i="26"/>
  <c r="R10" i="26"/>
  <c r="F7" i="26"/>
  <c r="G7" i="26" s="1"/>
  <c r="H7" i="26" s="1"/>
  <c r="I7" i="26" s="1"/>
  <c r="J7" i="26" s="1"/>
  <c r="K7" i="26" s="1"/>
  <c r="L7" i="26" s="1"/>
  <c r="M7" i="26" s="1"/>
  <c r="N7" i="26" s="1"/>
  <c r="O7" i="26" s="1"/>
  <c r="P7" i="26" s="1"/>
  <c r="I26" i="27" l="1"/>
  <c r="E26" i="27"/>
  <c r="E48" i="26"/>
  <c r="P26" i="27"/>
  <c r="H26" i="27"/>
  <c r="E45" i="27"/>
  <c r="AA40" i="27"/>
  <c r="E101" i="26"/>
  <c r="AA91" i="26"/>
  <c r="N61" i="28"/>
  <c r="F61" i="28"/>
  <c r="K69" i="28"/>
  <c r="M40" i="28"/>
  <c r="K41" i="28"/>
  <c r="M48" i="28"/>
  <c r="N46" i="28"/>
  <c r="N13" i="27" s="1"/>
  <c r="J61" i="28"/>
  <c r="H47" i="28"/>
  <c r="L25" i="26"/>
  <c r="L48" i="26"/>
  <c r="K48" i="26"/>
  <c r="R36" i="26"/>
  <c r="G17" i="28" s="1"/>
  <c r="J48" i="26"/>
  <c r="I48" i="26"/>
  <c r="R20" i="26"/>
  <c r="G7" i="28" s="1"/>
  <c r="H7" i="28" s="1"/>
  <c r="M48" i="26"/>
  <c r="R40" i="26"/>
  <c r="G10" i="28" s="1"/>
  <c r="P25" i="26"/>
  <c r="AL59" i="26" s="1"/>
  <c r="N26" i="27"/>
  <c r="M26" i="27"/>
  <c r="G26" i="27"/>
  <c r="O26" i="27"/>
  <c r="J26" i="27"/>
  <c r="K26" i="27"/>
  <c r="L26" i="27"/>
  <c r="K47" i="28"/>
  <c r="AA28" i="27"/>
  <c r="G79" i="28"/>
  <c r="R46" i="26"/>
  <c r="G20" i="28" s="1"/>
  <c r="J79" i="28"/>
  <c r="O25" i="26"/>
  <c r="AK59" i="26" s="1"/>
  <c r="F48" i="26"/>
  <c r="M13" i="27"/>
  <c r="F48" i="28"/>
  <c r="F69" i="28"/>
  <c r="R19" i="27"/>
  <c r="G18" i="28" s="1"/>
  <c r="O48" i="26"/>
  <c r="H48" i="26"/>
  <c r="O13" i="27"/>
  <c r="N48" i="26"/>
  <c r="R24" i="27"/>
  <c r="G19" i="28" s="1"/>
  <c r="P46" i="28"/>
  <c r="P13" i="27" s="1"/>
  <c r="G46" i="28"/>
  <c r="G48" i="26"/>
  <c r="P48" i="26"/>
  <c r="N47" i="28"/>
  <c r="N48" i="28"/>
  <c r="N25" i="26" s="1"/>
  <c r="J25" i="26"/>
  <c r="K61" i="28"/>
  <c r="K25" i="26" s="1"/>
  <c r="M39" i="28"/>
  <c r="E15" i="10" l="1"/>
  <c r="AA101" i="26"/>
  <c r="E19" i="10"/>
  <c r="AA45" i="27"/>
  <c r="AA32" i="27"/>
  <c r="AJ60" i="26"/>
  <c r="AH59" i="26"/>
  <c r="AK60" i="26"/>
  <c r="AI59" i="26"/>
  <c r="AI60" i="26"/>
  <c r="AG59" i="26"/>
  <c r="AL60" i="26"/>
  <c r="AJ59" i="26"/>
  <c r="AH60" i="26"/>
  <c r="AF59" i="26"/>
  <c r="AG60" i="26"/>
  <c r="AE59" i="26"/>
  <c r="G61" i="28"/>
  <c r="I13" i="27"/>
  <c r="R26" i="27"/>
  <c r="AA59" i="26"/>
  <c r="E32" i="27"/>
  <c r="E81" i="26"/>
  <c r="E86" i="26" s="1"/>
  <c r="AA86" i="26" s="1"/>
  <c r="G48" i="28"/>
  <c r="F25" i="26"/>
  <c r="J13" i="27"/>
  <c r="K79" i="28"/>
  <c r="K13" i="27" s="1"/>
  <c r="R48" i="26"/>
  <c r="R73" i="26"/>
  <c r="F5" i="28"/>
  <c r="F14" i="28" s="1"/>
  <c r="N41" i="28"/>
  <c r="F13" i="27"/>
  <c r="G69" i="28"/>
  <c r="H46" i="28"/>
  <c r="H79" i="28"/>
  <c r="R47" i="28"/>
  <c r="S47" i="28" s="1"/>
  <c r="AD60" i="26" l="1"/>
  <c r="AB59" i="26"/>
  <c r="E62" i="26"/>
  <c r="AA53" i="26"/>
  <c r="H61" i="28"/>
  <c r="G13" i="27"/>
  <c r="AC60" i="26"/>
  <c r="E38" i="27"/>
  <c r="AA38" i="27" s="1"/>
  <c r="F16" i="28"/>
  <c r="F22" i="28"/>
  <c r="R46" i="28"/>
  <c r="S46" i="28" s="1"/>
  <c r="H69" i="28"/>
  <c r="H48" i="28"/>
  <c r="E92" i="26"/>
  <c r="AA92" i="26" s="1"/>
  <c r="F85" i="26"/>
  <c r="AB85" i="26" s="1"/>
  <c r="R11" i="27"/>
  <c r="R10" i="27"/>
  <c r="R79" i="28"/>
  <c r="F64" i="26" l="1"/>
  <c r="AB64" i="26" s="1"/>
  <c r="AA65" i="26"/>
  <c r="AA62" i="26"/>
  <c r="R61" i="28"/>
  <c r="S61" i="28" s="1"/>
  <c r="R22" i="26"/>
  <c r="H25" i="26"/>
  <c r="R48" i="28"/>
  <c r="S48" i="28" s="1"/>
  <c r="H13" i="27"/>
  <c r="R13" i="27" s="1"/>
  <c r="R69" i="28"/>
  <c r="S69" i="28" s="1"/>
  <c r="G25" i="26"/>
  <c r="R25" i="26" s="1"/>
  <c r="F91" i="26"/>
  <c r="AB76" i="26"/>
  <c r="E46" i="27"/>
  <c r="F37" i="27"/>
  <c r="AB37" i="27" s="1"/>
  <c r="R72" i="26"/>
  <c r="R81" i="26" s="1"/>
  <c r="E102" i="26"/>
  <c r="AB81" i="26" l="1"/>
  <c r="F62" i="26"/>
  <c r="AB53" i="26"/>
  <c r="E20" i="10"/>
  <c r="AA46" i="27"/>
  <c r="F101" i="26"/>
  <c r="AB91" i="26"/>
  <c r="E16" i="10"/>
  <c r="AA102" i="26"/>
  <c r="R23" i="26"/>
  <c r="F81" i="26"/>
  <c r="F86" i="26" s="1"/>
  <c r="AB86" i="26" s="1"/>
  <c r="AC59" i="26"/>
  <c r="AB28" i="27"/>
  <c r="F45" i="27"/>
  <c r="AB32" i="27" l="1"/>
  <c r="AF60" i="26"/>
  <c r="AD59" i="26"/>
  <c r="AN59" i="26" s="1"/>
  <c r="AB62" i="26"/>
  <c r="F19" i="10"/>
  <c r="AB45" i="27"/>
  <c r="F15" i="10"/>
  <c r="AB101" i="26"/>
  <c r="R59" i="26"/>
  <c r="F32" i="27"/>
  <c r="G85" i="26"/>
  <c r="AC85" i="26" s="1"/>
  <c r="F92" i="26"/>
  <c r="AB92" i="26" s="1"/>
  <c r="F65" i="26"/>
  <c r="R60" i="26" l="1"/>
  <c r="AE60" i="26"/>
  <c r="AN60" i="26" s="1"/>
  <c r="G64" i="26"/>
  <c r="AC64" i="26" s="1"/>
  <c r="AB65" i="26"/>
  <c r="F38" i="27"/>
  <c r="AB38" i="27" s="1"/>
  <c r="F102" i="26"/>
  <c r="G91" i="26"/>
  <c r="AC76" i="26"/>
  <c r="AC81" i="26" l="1"/>
  <c r="G101" i="26"/>
  <c r="AC91" i="26"/>
  <c r="F16" i="10"/>
  <c r="AB102" i="26"/>
  <c r="F46" i="27"/>
  <c r="G37" i="27"/>
  <c r="AC37" i="27" s="1"/>
  <c r="G81" i="26"/>
  <c r="G86" i="26" s="1"/>
  <c r="AC86" i="26" s="1"/>
  <c r="G62" i="26" l="1"/>
  <c r="G65" i="26" s="1"/>
  <c r="AC53" i="26"/>
  <c r="F20" i="10"/>
  <c r="AB46" i="27"/>
  <c r="G15" i="10"/>
  <c r="AC101" i="26"/>
  <c r="H85" i="26"/>
  <c r="AD85" i="26" s="1"/>
  <c r="G92" i="26"/>
  <c r="AC28" i="27"/>
  <c r="G45" i="27"/>
  <c r="AC32" i="27" l="1"/>
  <c r="H64" i="26"/>
  <c r="AD64" i="26" s="1"/>
  <c r="AC65" i="26"/>
  <c r="AC62" i="26"/>
  <c r="G19" i="10"/>
  <c r="AC45" i="27"/>
  <c r="G102" i="26"/>
  <c r="AC92" i="26"/>
  <c r="AD76" i="26"/>
  <c r="H91" i="26"/>
  <c r="G32" i="27"/>
  <c r="AD81" i="26" l="1"/>
  <c r="H62" i="26"/>
  <c r="AD53" i="26"/>
  <c r="H101" i="26"/>
  <c r="AD91" i="26"/>
  <c r="G16" i="10"/>
  <c r="AC102" i="26"/>
  <c r="G38" i="27"/>
  <c r="AC38" i="27" s="1"/>
  <c r="H81" i="26"/>
  <c r="H86" i="26" s="1"/>
  <c r="AD86" i="26" s="1"/>
  <c r="AD62" i="26" l="1"/>
  <c r="H15" i="10"/>
  <c r="AD101" i="26"/>
  <c r="I85" i="26"/>
  <c r="AE85" i="26" s="1"/>
  <c r="H92" i="26"/>
  <c r="AD92" i="26" s="1"/>
  <c r="G46" i="27"/>
  <c r="H37" i="27"/>
  <c r="AD37" i="27" s="1"/>
  <c r="H65" i="26"/>
  <c r="I64" i="26" l="1"/>
  <c r="AE64" i="26" s="1"/>
  <c r="AD65" i="26"/>
  <c r="G20" i="10"/>
  <c r="AC46" i="27"/>
  <c r="H45" i="27"/>
  <c r="AD28" i="27"/>
  <c r="H102" i="26"/>
  <c r="I91" i="26"/>
  <c r="AD32" i="27" l="1"/>
  <c r="I62" i="26"/>
  <c r="I65" i="26" s="1"/>
  <c r="I81" i="26"/>
  <c r="I86" i="26" s="1"/>
  <c r="AE86" i="26" s="1"/>
  <c r="AE76" i="26"/>
  <c r="AE81" i="26" s="1"/>
  <c r="H19" i="10"/>
  <c r="AD45" i="27"/>
  <c r="I101" i="26"/>
  <c r="AE91" i="26"/>
  <c r="H16" i="10"/>
  <c r="AD102" i="26"/>
  <c r="J85" i="26"/>
  <c r="AF85" i="26" s="1"/>
  <c r="I92" i="26"/>
  <c r="AE92" i="26" s="1"/>
  <c r="H32" i="27"/>
  <c r="AE53" i="26" l="1"/>
  <c r="J64" i="26"/>
  <c r="AF64" i="26" s="1"/>
  <c r="AE65" i="26"/>
  <c r="AE62" i="26"/>
  <c r="I15" i="10"/>
  <c r="AE101" i="26"/>
  <c r="H38" i="27"/>
  <c r="AD38" i="27" s="1"/>
  <c r="I102" i="26"/>
  <c r="J91" i="26"/>
  <c r="AF53" i="26" l="1"/>
  <c r="AF62" i="26" s="1"/>
  <c r="J81" i="26"/>
  <c r="J86" i="26" s="1"/>
  <c r="AF86" i="26" s="1"/>
  <c r="AF76" i="26"/>
  <c r="AF81" i="26" s="1"/>
  <c r="J101" i="26"/>
  <c r="AF91" i="26"/>
  <c r="I16" i="10"/>
  <c r="AE102" i="26"/>
  <c r="J62" i="26"/>
  <c r="J65" i="26" s="1"/>
  <c r="J92" i="26"/>
  <c r="AF92" i="26" s="1"/>
  <c r="K85" i="26"/>
  <c r="AG85" i="26" s="1"/>
  <c r="H46" i="27"/>
  <c r="I37" i="27"/>
  <c r="AE37" i="27" s="1"/>
  <c r="K64" i="26" l="1"/>
  <c r="AF65" i="26"/>
  <c r="H20" i="10"/>
  <c r="AD46" i="27"/>
  <c r="J15" i="10"/>
  <c r="AF101" i="26"/>
  <c r="J102" i="26"/>
  <c r="K91" i="26"/>
  <c r="I45" i="27"/>
  <c r="AE28" i="27"/>
  <c r="AE32" i="27" l="1"/>
  <c r="K81" i="26"/>
  <c r="K86" i="26" s="1"/>
  <c r="AG86" i="26" s="1"/>
  <c r="AG76" i="26"/>
  <c r="AG81" i="26" s="1"/>
  <c r="AG64" i="26"/>
  <c r="I19" i="10"/>
  <c r="AE45" i="27"/>
  <c r="K101" i="26"/>
  <c r="AG91" i="26"/>
  <c r="J16" i="10"/>
  <c r="AF102" i="26"/>
  <c r="I32" i="27"/>
  <c r="L85" i="26" l="1"/>
  <c r="AH85" i="26" s="1"/>
  <c r="K92" i="26"/>
  <c r="AG92" i="26" s="1"/>
  <c r="AG53" i="26"/>
  <c r="AG62" i="26" s="1"/>
  <c r="K62" i="26"/>
  <c r="K65" i="26" s="1"/>
  <c r="K15" i="10"/>
  <c r="AG101" i="26"/>
  <c r="L91" i="26"/>
  <c r="I38" i="27"/>
  <c r="AE38" i="27" s="1"/>
  <c r="K102" i="26" l="1"/>
  <c r="L81" i="26"/>
  <c r="L86" i="26" s="1"/>
  <c r="AH86" i="26" s="1"/>
  <c r="AH76" i="26"/>
  <c r="AH81" i="26" s="1"/>
  <c r="L64" i="26"/>
  <c r="L101" i="26" s="1"/>
  <c r="AG65" i="26"/>
  <c r="AH91" i="26"/>
  <c r="K16" i="10"/>
  <c r="AG102" i="26"/>
  <c r="I46" i="27"/>
  <c r="J37" i="27"/>
  <c r="AF37" i="27" s="1"/>
  <c r="M85" i="26" l="1"/>
  <c r="AI85" i="26" s="1"/>
  <c r="L92" i="26"/>
  <c r="AH64" i="26"/>
  <c r="I20" i="10"/>
  <c r="AE46" i="27"/>
  <c r="L15" i="10"/>
  <c r="AH101" i="26"/>
  <c r="AH92" i="26"/>
  <c r="J45" i="27"/>
  <c r="M91" i="26" l="1"/>
  <c r="J32" i="27"/>
  <c r="J38" i="27" s="1"/>
  <c r="AF38" i="27" s="1"/>
  <c r="AF28" i="27"/>
  <c r="AF32" i="27" s="1"/>
  <c r="M81" i="26"/>
  <c r="M86" i="26" s="1"/>
  <c r="AI86" i="26" s="1"/>
  <c r="AI76" i="26"/>
  <c r="AI81" i="26" s="1"/>
  <c r="AH53" i="26"/>
  <c r="AH62" i="26" s="1"/>
  <c r="L62" i="26"/>
  <c r="L65" i="26" s="1"/>
  <c r="J19" i="10"/>
  <c r="AF45" i="27"/>
  <c r="AI91" i="26"/>
  <c r="M92" i="26"/>
  <c r="N85" i="26"/>
  <c r="AJ85" i="26" s="1"/>
  <c r="J46" i="27" l="1"/>
  <c r="AF46" i="27" s="1"/>
  <c r="K37" i="27"/>
  <c r="AG37" i="27" s="1"/>
  <c r="M64" i="26"/>
  <c r="AH65" i="26"/>
  <c r="L102" i="26"/>
  <c r="AI92" i="26"/>
  <c r="N91" i="26"/>
  <c r="K45" i="27" l="1"/>
  <c r="K19" i="10" s="1"/>
  <c r="J20" i="10"/>
  <c r="K32" i="27"/>
  <c r="K38" i="27" s="1"/>
  <c r="AG38" i="27" s="1"/>
  <c r="AG28" i="27"/>
  <c r="AG32" i="27" s="1"/>
  <c r="N81" i="26"/>
  <c r="N86" i="26" s="1"/>
  <c r="AJ86" i="26" s="1"/>
  <c r="AJ76" i="26"/>
  <c r="AJ81" i="26" s="1"/>
  <c r="AH102" i="26"/>
  <c r="L16" i="10"/>
  <c r="AI64" i="26"/>
  <c r="M101" i="26"/>
  <c r="AJ91" i="26"/>
  <c r="K46" i="27" l="1"/>
  <c r="K20" i="10" s="1"/>
  <c r="L37" i="27"/>
  <c r="AH37" i="27" s="1"/>
  <c r="AG45" i="27"/>
  <c r="O85" i="26"/>
  <c r="AK85" i="26" s="1"/>
  <c r="N92" i="26"/>
  <c r="AJ92" i="26" s="1"/>
  <c r="M15" i="10"/>
  <c r="AI101" i="26"/>
  <c r="AI53" i="26"/>
  <c r="AI62" i="26" s="1"/>
  <c r="M62" i="26"/>
  <c r="O91" i="26"/>
  <c r="L45" i="27" l="1"/>
  <c r="AG46" i="27"/>
  <c r="L32" i="27"/>
  <c r="L38" i="27" s="1"/>
  <c r="AH38" i="27" s="1"/>
  <c r="AH28" i="27"/>
  <c r="AH32" i="27" s="1"/>
  <c r="O81" i="26"/>
  <c r="O86" i="26" s="1"/>
  <c r="AK86" i="26" s="1"/>
  <c r="AK76" i="26"/>
  <c r="AK81" i="26" s="1"/>
  <c r="M65" i="26"/>
  <c r="L19" i="10"/>
  <c r="AH45" i="27"/>
  <c r="AK91" i="26"/>
  <c r="P85" i="26"/>
  <c r="AL85" i="26" s="1"/>
  <c r="O92" i="26"/>
  <c r="L46" i="27" l="1"/>
  <c r="L20" i="10" s="1"/>
  <c r="M37" i="27"/>
  <c r="AI37" i="27" s="1"/>
  <c r="N64" i="26"/>
  <c r="AI65" i="26"/>
  <c r="M102" i="26"/>
  <c r="AK92" i="26"/>
  <c r="AL76" i="26"/>
  <c r="P91" i="26"/>
  <c r="AH46" i="27" l="1"/>
  <c r="M45" i="27"/>
  <c r="M19" i="10" s="1"/>
  <c r="M32" i="27"/>
  <c r="M38" i="27" s="1"/>
  <c r="AI38" i="27" s="1"/>
  <c r="AI28" i="27"/>
  <c r="AI32" i="27" s="1"/>
  <c r="AL81" i="26"/>
  <c r="AN76" i="26"/>
  <c r="AI102" i="26"/>
  <c r="M16" i="10"/>
  <c r="AJ64" i="26"/>
  <c r="N101" i="26"/>
  <c r="AL91" i="26"/>
  <c r="P81" i="26"/>
  <c r="P86" i="26" s="1"/>
  <c r="AL86" i="26" s="1"/>
  <c r="R76" i="26"/>
  <c r="M46" i="27" l="1"/>
  <c r="N37" i="27"/>
  <c r="AJ37" i="27" s="1"/>
  <c r="AI45" i="27"/>
  <c r="AJ53" i="26"/>
  <c r="AJ62" i="26" s="1"/>
  <c r="N62" i="26"/>
  <c r="AJ101" i="26"/>
  <c r="N15" i="10"/>
  <c r="M20" i="10"/>
  <c r="AI46" i="27"/>
  <c r="P92" i="26"/>
  <c r="N45" i="27"/>
  <c r="N32" i="27" l="1"/>
  <c r="N38" i="27" s="1"/>
  <c r="AJ38" i="27" s="1"/>
  <c r="AJ28" i="27"/>
  <c r="AJ32" i="27" s="1"/>
  <c r="N65" i="26"/>
  <c r="N19" i="10"/>
  <c r="AJ45" i="27"/>
  <c r="AL92" i="26"/>
  <c r="O37" i="27" l="1"/>
  <c r="AK37" i="27" s="1"/>
  <c r="N46" i="27"/>
  <c r="AJ46" i="27" s="1"/>
  <c r="O64" i="26"/>
  <c r="AJ65" i="26"/>
  <c r="N102" i="26"/>
  <c r="O45" i="27" l="1"/>
  <c r="O19" i="10" s="1"/>
  <c r="N20" i="10"/>
  <c r="O32" i="27"/>
  <c r="O38" i="27" s="1"/>
  <c r="AK38" i="27" s="1"/>
  <c r="AK28" i="27"/>
  <c r="AK32" i="27" s="1"/>
  <c r="AJ102" i="26"/>
  <c r="N16" i="10"/>
  <c r="AK64" i="26"/>
  <c r="O101" i="26"/>
  <c r="P37" i="27" l="1"/>
  <c r="AL37" i="27" s="1"/>
  <c r="AK45" i="27"/>
  <c r="O46" i="27"/>
  <c r="O20" i="10" s="1"/>
  <c r="AK53" i="26"/>
  <c r="AK62" i="26" s="1"/>
  <c r="O62" i="26"/>
  <c r="AK101" i="26"/>
  <c r="O15" i="10"/>
  <c r="P45" i="27"/>
  <c r="AL28" i="27"/>
  <c r="AK46" i="27" l="1"/>
  <c r="AL32" i="27"/>
  <c r="AN32" i="27" s="1"/>
  <c r="AN33" i="27" s="1"/>
  <c r="AN28" i="27"/>
  <c r="O65" i="26"/>
  <c r="P19" i="10"/>
  <c r="AL45" i="27"/>
  <c r="P32" i="27"/>
  <c r="R28" i="27"/>
  <c r="P64" i="26" l="1"/>
  <c r="AK65" i="26"/>
  <c r="O102" i="26"/>
  <c r="R32" i="27"/>
  <c r="R33" i="27" s="1"/>
  <c r="P38" i="27"/>
  <c r="AL38" i="27" s="1"/>
  <c r="AN86" i="26" s="1"/>
  <c r="AK102" i="26" l="1"/>
  <c r="O16" i="10"/>
  <c r="AL64" i="26"/>
  <c r="P101" i="26"/>
  <c r="P46" i="27"/>
  <c r="R86" i="26"/>
  <c r="P15" i="10" l="1"/>
  <c r="AL101" i="26"/>
  <c r="P62" i="26"/>
  <c r="AL53" i="26"/>
  <c r="R53" i="26"/>
  <c r="P20" i="10"/>
  <c r="AL46" i="27"/>
  <c r="H102" i="2"/>
  <c r="H101" i="2"/>
  <c r="I101" i="2" s="1"/>
  <c r="P51" i="1" s="1"/>
  <c r="H100" i="2"/>
  <c r="AL62" i="26" l="1"/>
  <c r="AN62" i="26" s="1"/>
  <c r="AN63" i="26" s="1"/>
  <c r="AN53" i="26"/>
  <c r="R62" i="26"/>
  <c r="R63" i="26" s="1"/>
  <c r="P65" i="26"/>
  <c r="F88" i="16"/>
  <c r="F40" i="20" s="1"/>
  <c r="AL65" i="26" l="1"/>
  <c r="P102" i="26"/>
  <c r="D1" i="2"/>
  <c r="AL102" i="26" l="1"/>
  <c r="P16" i="10"/>
  <c r="R16" i="1"/>
  <c r="R17" i="1"/>
  <c r="R18" i="1"/>
  <c r="R19" i="1"/>
  <c r="E91" i="1" l="1"/>
  <c r="R16" i="8" l="1"/>
  <c r="R17" i="8"/>
  <c r="R18" i="8"/>
  <c r="F19" i="8"/>
  <c r="G19" i="8"/>
  <c r="H19" i="8"/>
  <c r="I19" i="8"/>
  <c r="J19" i="8"/>
  <c r="K19" i="8"/>
  <c r="L19" i="8"/>
  <c r="M19" i="8"/>
  <c r="N19" i="8"/>
  <c r="O19" i="8"/>
  <c r="P19" i="8"/>
  <c r="E19" i="8"/>
  <c r="O79" i="2"/>
  <c r="O10" i="8" s="1"/>
  <c r="L79" i="2"/>
  <c r="L10" i="8" s="1"/>
  <c r="I79" i="2"/>
  <c r="I10" i="8" s="1"/>
  <c r="E79" i="2"/>
  <c r="E10" i="8" s="1"/>
  <c r="O69" i="2"/>
  <c r="L69" i="2"/>
  <c r="I69" i="2"/>
  <c r="E69" i="2"/>
  <c r="O61" i="2"/>
  <c r="O22" i="1" s="1"/>
  <c r="L61" i="2"/>
  <c r="L22" i="1" s="1"/>
  <c r="I61" i="2"/>
  <c r="I22" i="1" s="1"/>
  <c r="E61" i="2"/>
  <c r="J41" i="2"/>
  <c r="J40" i="2"/>
  <c r="M40" i="2" s="1"/>
  <c r="J39" i="2"/>
  <c r="E47" i="2"/>
  <c r="F47" i="2" s="1"/>
  <c r="G47" i="2" s="1"/>
  <c r="H47" i="2" s="1"/>
  <c r="I47" i="2"/>
  <c r="J47" i="2" s="1"/>
  <c r="K47" i="2" s="1"/>
  <c r="L47" i="2"/>
  <c r="M47" i="2" s="1"/>
  <c r="N47" i="2" s="1"/>
  <c r="O47" i="2"/>
  <c r="P47" i="2" s="1"/>
  <c r="E48" i="2"/>
  <c r="I48" i="2"/>
  <c r="L48" i="2"/>
  <c r="O48" i="2"/>
  <c r="O46" i="2"/>
  <c r="O11" i="8" s="1"/>
  <c r="L46" i="2"/>
  <c r="L11" i="8" s="1"/>
  <c r="I46" i="2"/>
  <c r="I11" i="8" s="1"/>
  <c r="E46" i="2"/>
  <c r="E11" i="8" s="1"/>
  <c r="P48" i="2" l="1"/>
  <c r="P23" i="1" s="1"/>
  <c r="O23" i="1"/>
  <c r="J48" i="2"/>
  <c r="I23" i="1"/>
  <c r="M48" i="2"/>
  <c r="L23" i="1"/>
  <c r="F48" i="2"/>
  <c r="E23" i="1"/>
  <c r="F61" i="2"/>
  <c r="E22" i="1"/>
  <c r="R43" i="1"/>
  <c r="R44" i="1"/>
  <c r="F19" i="20"/>
  <c r="G19" i="20"/>
  <c r="H19" i="20"/>
  <c r="I19" i="20"/>
  <c r="J19" i="20"/>
  <c r="K19" i="20"/>
  <c r="L19" i="20"/>
  <c r="M19" i="20"/>
  <c r="N19" i="20"/>
  <c r="O19" i="20"/>
  <c r="P19" i="20"/>
  <c r="E19" i="20"/>
  <c r="N24" i="20"/>
  <c r="O24" i="20"/>
  <c r="P24" i="20"/>
  <c r="N48" i="2" l="1"/>
  <c r="N23" i="1" s="1"/>
  <c r="M23" i="1"/>
  <c r="K48" i="2"/>
  <c r="K23" i="1" s="1"/>
  <c r="J23" i="1"/>
  <c r="G48" i="2"/>
  <c r="F23" i="1"/>
  <c r="G61" i="2"/>
  <c r="F22" i="1"/>
  <c r="H48" i="2" l="1"/>
  <c r="H23" i="1" s="1"/>
  <c r="G23" i="1"/>
  <c r="H61" i="2"/>
  <c r="H22" i="1" s="1"/>
  <c r="G22" i="1"/>
  <c r="O40" i="16"/>
  <c r="O46" i="16"/>
  <c r="R10" i="20" l="1"/>
  <c r="R57" i="16" l="1"/>
  <c r="R52" i="16"/>
  <c r="R53" i="16"/>
  <c r="R54" i="16"/>
  <c r="R55" i="16"/>
  <c r="G81" i="16" l="1"/>
  <c r="M24" i="20" l="1"/>
  <c r="M20" i="16" l="1"/>
  <c r="M25" i="16"/>
  <c r="M36" i="16"/>
  <c r="M40" i="16"/>
  <c r="M46" i="16"/>
  <c r="M48" i="16" l="1"/>
  <c r="L81" i="16" l="1"/>
  <c r="K81" i="16"/>
  <c r="F81" i="16"/>
  <c r="H81" i="16"/>
  <c r="I81" i="16"/>
  <c r="J81" i="16"/>
  <c r="M81" i="16"/>
  <c r="N81" i="16"/>
  <c r="O81" i="16"/>
  <c r="P81" i="16"/>
  <c r="E81" i="16"/>
  <c r="F46" i="10" l="1"/>
  <c r="G46" i="10" s="1"/>
  <c r="H46" i="10" s="1"/>
  <c r="I46" i="10" s="1"/>
  <c r="J46" i="10" s="1"/>
  <c r="K46" i="10" s="1"/>
  <c r="L46" i="10" s="1"/>
  <c r="M46" i="10" s="1"/>
  <c r="N46" i="10" s="1"/>
  <c r="O46" i="10" s="1"/>
  <c r="P46" i="10" s="1"/>
  <c r="F53" i="10"/>
  <c r="G53" i="10" s="1"/>
  <c r="H53" i="10" s="1"/>
  <c r="I53" i="10" s="1"/>
  <c r="J53" i="10" s="1"/>
  <c r="K53" i="10" s="1"/>
  <c r="L53" i="10" s="1"/>
  <c r="M53" i="10" s="1"/>
  <c r="N53" i="10" s="1"/>
  <c r="O53" i="10" s="1"/>
  <c r="P53" i="10" s="1"/>
  <c r="F33" i="10"/>
  <c r="G33" i="10" s="1"/>
  <c r="H33" i="10" s="1"/>
  <c r="I33" i="10" s="1"/>
  <c r="J33" i="10" s="1"/>
  <c r="K33" i="10" s="1"/>
  <c r="L33" i="10" s="1"/>
  <c r="M33" i="10" s="1"/>
  <c r="N33" i="10" s="1"/>
  <c r="O33" i="10" s="1"/>
  <c r="P33" i="10" s="1"/>
  <c r="F26" i="10"/>
  <c r="G26" i="10" s="1"/>
  <c r="H26" i="10" s="1"/>
  <c r="I26" i="10" s="1"/>
  <c r="J26" i="10" s="1"/>
  <c r="K26" i="10" s="1"/>
  <c r="L26" i="10" s="1"/>
  <c r="M26" i="10" s="1"/>
  <c r="N26" i="10" s="1"/>
  <c r="O26" i="10" s="1"/>
  <c r="P26" i="10" s="1"/>
  <c r="F14" i="10"/>
  <c r="G14" i="10" s="1"/>
  <c r="H14" i="10" s="1"/>
  <c r="I14" i="10" s="1"/>
  <c r="J14" i="10" s="1"/>
  <c r="K14" i="10" s="1"/>
  <c r="L14" i="10" s="1"/>
  <c r="M14" i="10" s="1"/>
  <c r="N14" i="10" s="1"/>
  <c r="O14" i="10" s="1"/>
  <c r="P14" i="10" s="1"/>
  <c r="I20" i="16" l="1"/>
  <c r="I25" i="16"/>
  <c r="I36" i="16"/>
  <c r="I40" i="16"/>
  <c r="I46" i="16"/>
  <c r="I48" i="16" l="1"/>
  <c r="I113" i="16" l="1"/>
  <c r="F7" i="10"/>
  <c r="G7" i="10" s="1"/>
  <c r="H7" i="10" s="1"/>
  <c r="I7" i="10" s="1"/>
  <c r="J7" i="10" s="1"/>
  <c r="K7" i="10" s="1"/>
  <c r="L7" i="10" s="1"/>
  <c r="M7" i="10" s="1"/>
  <c r="N7" i="10" s="1"/>
  <c r="O7" i="10" s="1"/>
  <c r="P7" i="10" s="1"/>
  <c r="F7" i="8"/>
  <c r="G7" i="8" s="1"/>
  <c r="H7" i="8" s="1"/>
  <c r="I7" i="8" s="1"/>
  <c r="J7" i="8" s="1"/>
  <c r="K7" i="8" s="1"/>
  <c r="L7" i="8" s="1"/>
  <c r="M7" i="8" s="1"/>
  <c r="N7" i="8" s="1"/>
  <c r="O7" i="8" s="1"/>
  <c r="P7" i="8" s="1"/>
  <c r="F70" i="1"/>
  <c r="G70" i="1" s="1"/>
  <c r="H70" i="1" s="1"/>
  <c r="I70" i="1" s="1"/>
  <c r="J70" i="1" s="1"/>
  <c r="K70" i="1" s="1"/>
  <c r="L70" i="1" s="1"/>
  <c r="M70" i="1" s="1"/>
  <c r="N70" i="1" s="1"/>
  <c r="O70" i="1" s="1"/>
  <c r="P70" i="1" s="1"/>
  <c r="F7" i="3"/>
  <c r="G7" i="3" s="1"/>
  <c r="H7" i="3" s="1"/>
  <c r="I7" i="3" s="1"/>
  <c r="J7" i="3" s="1"/>
  <c r="K7" i="3" s="1"/>
  <c r="L7" i="3" s="1"/>
  <c r="M7" i="3" s="1"/>
  <c r="N7" i="3" s="1"/>
  <c r="O7" i="3" s="1"/>
  <c r="P7" i="3" s="1"/>
  <c r="G13" i="20"/>
  <c r="G24" i="20"/>
  <c r="H13" i="20"/>
  <c r="I13" i="20"/>
  <c r="J13" i="20"/>
  <c r="K13" i="20"/>
  <c r="L13" i="20"/>
  <c r="M13" i="20"/>
  <c r="N13" i="20"/>
  <c r="O13" i="20"/>
  <c r="P13" i="20"/>
  <c r="G88" i="16"/>
  <c r="G40" i="20" s="1"/>
  <c r="R27" i="21"/>
  <c r="R26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R19" i="21"/>
  <c r="F7" i="21"/>
  <c r="G7" i="21"/>
  <c r="H7" i="21"/>
  <c r="I7" i="21"/>
  <c r="J7" i="21"/>
  <c r="K7" i="21"/>
  <c r="L7" i="21"/>
  <c r="M7" i="21"/>
  <c r="N7" i="21"/>
  <c r="O7" i="21"/>
  <c r="P7" i="21"/>
  <c r="R20" i="21"/>
  <c r="F13" i="20"/>
  <c r="E13" i="20"/>
  <c r="H24" i="20"/>
  <c r="L24" i="20"/>
  <c r="K24" i="20"/>
  <c r="J24" i="20"/>
  <c r="I24" i="20"/>
  <c r="F24" i="20"/>
  <c r="E24" i="20"/>
  <c r="F7" i="20"/>
  <c r="G7" i="20" s="1"/>
  <c r="H7" i="20" s="1"/>
  <c r="I7" i="20" s="1"/>
  <c r="J7" i="20" s="1"/>
  <c r="K7" i="20" s="1"/>
  <c r="L7" i="20" s="1"/>
  <c r="M7" i="20" s="1"/>
  <c r="N7" i="20" s="1"/>
  <c r="O7" i="20" s="1"/>
  <c r="P7" i="20" s="1"/>
  <c r="R22" i="20"/>
  <c r="S116" i="19"/>
  <c r="AO115" i="19"/>
  <c r="AM115" i="19"/>
  <c r="AL115" i="19"/>
  <c r="AJ115" i="19"/>
  <c r="W109" i="19"/>
  <c r="W110" i="19" s="1"/>
  <c r="E100" i="19"/>
  <c r="AB90" i="19"/>
  <c r="AB100" i="19"/>
  <c r="E90" i="19"/>
  <c r="AM88" i="19"/>
  <c r="AL88" i="19"/>
  <c r="AK88" i="19"/>
  <c r="AJ88" i="19"/>
  <c r="AI88" i="19"/>
  <c r="AH88" i="19"/>
  <c r="AG88" i="19"/>
  <c r="AF88" i="19"/>
  <c r="AE88" i="19"/>
  <c r="AD88" i="19"/>
  <c r="AC88" i="19"/>
  <c r="AB88" i="19"/>
  <c r="AB93" i="19"/>
  <c r="AB94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E93" i="19"/>
  <c r="E94" i="19"/>
  <c r="AM87" i="19"/>
  <c r="AL87" i="19"/>
  <c r="AK87" i="19"/>
  <c r="AJ87" i="19"/>
  <c r="AI87" i="19"/>
  <c r="AH87" i="19"/>
  <c r="AG87" i="19"/>
  <c r="AF87" i="19"/>
  <c r="AE87" i="19"/>
  <c r="AD87" i="19"/>
  <c r="AC87" i="19"/>
  <c r="P87" i="19"/>
  <c r="O87" i="19"/>
  <c r="N87" i="19"/>
  <c r="M87" i="19"/>
  <c r="L87" i="19"/>
  <c r="K87" i="19"/>
  <c r="J87" i="19"/>
  <c r="I87" i="19"/>
  <c r="H87" i="19"/>
  <c r="G87" i="19"/>
  <c r="F87" i="19"/>
  <c r="W80" i="19"/>
  <c r="W106" i="19"/>
  <c r="AM77" i="19"/>
  <c r="AL77" i="19"/>
  <c r="AK77" i="19"/>
  <c r="AJ77" i="19"/>
  <c r="AI77" i="19"/>
  <c r="AH77" i="19"/>
  <c r="AG77" i="19"/>
  <c r="AF77" i="19"/>
  <c r="AE77" i="19"/>
  <c r="AD77" i="19"/>
  <c r="AC77" i="19"/>
  <c r="AB77" i="19"/>
  <c r="AM76" i="19"/>
  <c r="AM80" i="19" s="1"/>
  <c r="AM114" i="19" s="1"/>
  <c r="AL76" i="19"/>
  <c r="AL80" i="19" s="1"/>
  <c r="AL114" i="19" s="1"/>
  <c r="AK76" i="19"/>
  <c r="AK80" i="19" s="1"/>
  <c r="AK114" i="19" s="1"/>
  <c r="AJ76" i="19"/>
  <c r="AJ80" i="19" s="1"/>
  <c r="AJ114" i="19" s="1"/>
  <c r="AI76" i="19"/>
  <c r="AI80" i="19" s="1"/>
  <c r="AI114" i="19" s="1"/>
  <c r="AH76" i="19"/>
  <c r="AH80" i="19" s="1"/>
  <c r="AH114" i="19" s="1"/>
  <c r="AG76" i="19"/>
  <c r="AG80" i="19" s="1"/>
  <c r="AG114" i="19" s="1"/>
  <c r="AF76" i="19"/>
  <c r="AF80" i="19" s="1"/>
  <c r="AF114" i="19" s="1"/>
  <c r="AE76" i="19"/>
  <c r="AE80" i="19" s="1"/>
  <c r="AE114" i="19" s="1"/>
  <c r="AD76" i="19"/>
  <c r="AD80" i="19" s="1"/>
  <c r="AD114" i="19" s="1"/>
  <c r="AC76" i="19"/>
  <c r="AC80" i="19" s="1"/>
  <c r="AB76" i="19"/>
  <c r="AB80" i="19" s="1"/>
  <c r="AJ74" i="19"/>
  <c r="AK74" i="19"/>
  <c r="AL74" i="19"/>
  <c r="AM74" i="19"/>
  <c r="AC74" i="19"/>
  <c r="AD74" i="19"/>
  <c r="AE74" i="19"/>
  <c r="AF74" i="19"/>
  <c r="AG74" i="19"/>
  <c r="AH74" i="19"/>
  <c r="AI74" i="19"/>
  <c r="H74" i="19"/>
  <c r="I74" i="19"/>
  <c r="J74" i="19"/>
  <c r="K74" i="19"/>
  <c r="L74" i="19"/>
  <c r="M74" i="19"/>
  <c r="N74" i="19"/>
  <c r="O74" i="19"/>
  <c r="P74" i="19"/>
  <c r="F74" i="19"/>
  <c r="G74" i="19"/>
  <c r="AB69" i="19"/>
  <c r="E69" i="19"/>
  <c r="AO65" i="19"/>
  <c r="R65" i="19"/>
  <c r="AO64" i="19"/>
  <c r="R64" i="19"/>
  <c r="AO60" i="19"/>
  <c r="W60" i="19"/>
  <c r="V60" i="19"/>
  <c r="R60" i="19"/>
  <c r="AM58" i="19"/>
  <c r="AL58" i="19"/>
  <c r="AK58" i="19"/>
  <c r="AJ58" i="19"/>
  <c r="AI58" i="19"/>
  <c r="AH58" i="19"/>
  <c r="AG58" i="19"/>
  <c r="AF58" i="19"/>
  <c r="AE58" i="19"/>
  <c r="AD58" i="19"/>
  <c r="AC58" i="19"/>
  <c r="AB58" i="19"/>
  <c r="X58" i="19"/>
  <c r="W58" i="19"/>
  <c r="P58" i="19"/>
  <c r="O58" i="19"/>
  <c r="N58" i="19"/>
  <c r="M58" i="19"/>
  <c r="L58" i="19"/>
  <c r="K58" i="19"/>
  <c r="J58" i="19"/>
  <c r="I58" i="19"/>
  <c r="H58" i="19"/>
  <c r="G58" i="19"/>
  <c r="F58" i="19"/>
  <c r="E58" i="19"/>
  <c r="R58" i="19"/>
  <c r="V58" i="19"/>
  <c r="AO57" i="19"/>
  <c r="R57" i="19"/>
  <c r="AO56" i="19"/>
  <c r="R56" i="19"/>
  <c r="AO55" i="19"/>
  <c r="R55" i="19"/>
  <c r="AO54" i="19"/>
  <c r="R54" i="19"/>
  <c r="AO53" i="19"/>
  <c r="R53" i="19"/>
  <c r="AO52" i="19"/>
  <c r="R52" i="19"/>
  <c r="AO51" i="19"/>
  <c r="R51" i="19"/>
  <c r="AO50" i="19"/>
  <c r="R50" i="19"/>
  <c r="AL45" i="19"/>
  <c r="AI45" i="19"/>
  <c r="AI47" i="19"/>
  <c r="AH45" i="19"/>
  <c r="AH47" i="19"/>
  <c r="AD45" i="19"/>
  <c r="W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AO44" i="19"/>
  <c r="R44" i="19"/>
  <c r="AO43" i="19"/>
  <c r="AM43" i="19"/>
  <c r="AM45" i="19"/>
  <c r="AM47" i="19"/>
  <c r="AL43" i="19"/>
  <c r="AK43" i="19"/>
  <c r="AK45" i="19"/>
  <c r="AK47" i="19"/>
  <c r="AJ43" i="19"/>
  <c r="AJ45" i="19"/>
  <c r="AJ47" i="19"/>
  <c r="AI43" i="19"/>
  <c r="AH43" i="19"/>
  <c r="AG43" i="19"/>
  <c r="AG45" i="19"/>
  <c r="AG47" i="19"/>
  <c r="AF43" i="19"/>
  <c r="AF45" i="19"/>
  <c r="AF47" i="19"/>
  <c r="AE43" i="19"/>
  <c r="AE45" i="19"/>
  <c r="AE47" i="19"/>
  <c r="AD43" i="19"/>
  <c r="AC43" i="19"/>
  <c r="AC45" i="19"/>
  <c r="AC47" i="19"/>
  <c r="AB43" i="19"/>
  <c r="AB45" i="19"/>
  <c r="R43" i="19"/>
  <c r="AO42" i="19"/>
  <c r="R42" i="19"/>
  <c r="AM40" i="19"/>
  <c r="AL40" i="19"/>
  <c r="AK40" i="19"/>
  <c r="AJ40" i="19"/>
  <c r="AI40" i="19"/>
  <c r="AH40" i="19"/>
  <c r="AG40" i="19"/>
  <c r="AF40" i="19"/>
  <c r="AO40" i="19"/>
  <c r="AE40" i="19"/>
  <c r="AD40" i="19"/>
  <c r="AC40" i="19"/>
  <c r="AB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R40" i="19"/>
  <c r="AO39" i="19"/>
  <c r="R39" i="19"/>
  <c r="AO38" i="19"/>
  <c r="R38" i="19"/>
  <c r="AM36" i="19"/>
  <c r="AL36" i="19"/>
  <c r="AK36" i="19"/>
  <c r="AJ36" i="19"/>
  <c r="AI36" i="19"/>
  <c r="AH36" i="19"/>
  <c r="AG36" i="19"/>
  <c r="AF36" i="19"/>
  <c r="AE36" i="19"/>
  <c r="AD36" i="19"/>
  <c r="AC36" i="19"/>
  <c r="AB36" i="19"/>
  <c r="W36" i="19"/>
  <c r="P36" i="19"/>
  <c r="O36" i="19"/>
  <c r="N36" i="19"/>
  <c r="M36" i="19"/>
  <c r="M47" i="19"/>
  <c r="L36" i="19"/>
  <c r="K36" i="19"/>
  <c r="J36" i="19"/>
  <c r="I36" i="19"/>
  <c r="H36" i="19"/>
  <c r="G36" i="19"/>
  <c r="F36" i="19"/>
  <c r="F47" i="19"/>
  <c r="E36" i="19"/>
  <c r="E47" i="19"/>
  <c r="AO35" i="19"/>
  <c r="R35" i="19"/>
  <c r="AO34" i="19"/>
  <c r="R34" i="19"/>
  <c r="AO33" i="19"/>
  <c r="R33" i="19"/>
  <c r="AO32" i="19"/>
  <c r="R32" i="19"/>
  <c r="AO31" i="19"/>
  <c r="R31" i="19"/>
  <c r="AO30" i="19"/>
  <c r="R30" i="19"/>
  <c r="AO29" i="19"/>
  <c r="R29" i="19"/>
  <c r="AM27" i="19"/>
  <c r="AL27" i="19"/>
  <c r="AK27" i="19"/>
  <c r="AJ27" i="19"/>
  <c r="AI27" i="19"/>
  <c r="AH27" i="19"/>
  <c r="AG27" i="19"/>
  <c r="AF27" i="19"/>
  <c r="AE27" i="19"/>
  <c r="AD27" i="19"/>
  <c r="AC27" i="19"/>
  <c r="AB27" i="19"/>
  <c r="W27" i="19"/>
  <c r="AO25" i="19"/>
  <c r="AO24" i="19"/>
  <c r="AM22" i="19"/>
  <c r="AL22" i="19"/>
  <c r="AK22" i="19"/>
  <c r="AJ22" i="19"/>
  <c r="AI22" i="19"/>
  <c r="AH22" i="19"/>
  <c r="AG22" i="19"/>
  <c r="AF22" i="19"/>
  <c r="AE22" i="19"/>
  <c r="AD22" i="19"/>
  <c r="AC22" i="19"/>
  <c r="AB22" i="19"/>
  <c r="P22" i="19"/>
  <c r="O22" i="19"/>
  <c r="N22" i="19"/>
  <c r="M22" i="19"/>
  <c r="L22" i="19"/>
  <c r="K22" i="19"/>
  <c r="J22" i="19"/>
  <c r="I22" i="19"/>
  <c r="R22" i="19"/>
  <c r="H22" i="19"/>
  <c r="G22" i="19"/>
  <c r="F22" i="19"/>
  <c r="E22" i="19"/>
  <c r="AO21" i="19"/>
  <c r="R21" i="19"/>
  <c r="AO20" i="19"/>
  <c r="R20" i="19"/>
  <c r="V13" i="19"/>
  <c r="AO19" i="19"/>
  <c r="R19" i="19"/>
  <c r="AO18" i="19"/>
  <c r="R18" i="19"/>
  <c r="AO17" i="19"/>
  <c r="R17" i="19"/>
  <c r="AO16" i="19"/>
  <c r="R16" i="19"/>
  <c r="AO15" i="19"/>
  <c r="R15" i="19"/>
  <c r="AO14" i="19"/>
  <c r="R14" i="19"/>
  <c r="AO13" i="19"/>
  <c r="R13" i="19"/>
  <c r="AO12" i="19"/>
  <c r="R12" i="19"/>
  <c r="AO11" i="19"/>
  <c r="R11" i="19"/>
  <c r="AO10" i="19"/>
  <c r="R10" i="19"/>
  <c r="AC7" i="19"/>
  <c r="AD7" i="19"/>
  <c r="AE7" i="19"/>
  <c r="AF7" i="19"/>
  <c r="AG7" i="19"/>
  <c r="AH7" i="19"/>
  <c r="AI7" i="19"/>
  <c r="AJ7" i="19"/>
  <c r="AK7" i="19"/>
  <c r="AL7" i="19"/>
  <c r="AM7" i="19"/>
  <c r="F7" i="19"/>
  <c r="G7" i="19"/>
  <c r="H7" i="19"/>
  <c r="I7" i="19"/>
  <c r="J7" i="19"/>
  <c r="K7" i="19"/>
  <c r="L7" i="19"/>
  <c r="M7" i="19"/>
  <c r="N7" i="19"/>
  <c r="O7" i="19"/>
  <c r="P7" i="19"/>
  <c r="K47" i="19"/>
  <c r="I47" i="19"/>
  <c r="J47" i="19"/>
  <c r="N47" i="19"/>
  <c r="L47" i="19"/>
  <c r="AO27" i="19"/>
  <c r="AD47" i="19"/>
  <c r="X60" i="19"/>
  <c r="AO36" i="19"/>
  <c r="G47" i="19"/>
  <c r="O47" i="19"/>
  <c r="R45" i="19"/>
  <c r="V45" i="19"/>
  <c r="X45" i="19"/>
  <c r="AO22" i="19"/>
  <c r="AO45" i="19"/>
  <c r="AB47" i="19"/>
  <c r="R36" i="19"/>
  <c r="V36" i="19"/>
  <c r="X36" i="19"/>
  <c r="AL47" i="19"/>
  <c r="W105" i="19"/>
  <c r="W101" i="19"/>
  <c r="V12" i="19"/>
  <c r="V14" i="19"/>
  <c r="X14" i="19"/>
  <c r="H47" i="19"/>
  <c r="P47" i="19"/>
  <c r="AO58" i="19"/>
  <c r="F46" i="1"/>
  <c r="G46" i="1"/>
  <c r="H46" i="1"/>
  <c r="K46" i="1"/>
  <c r="R47" i="19"/>
  <c r="AB62" i="19"/>
  <c r="AO47" i="19"/>
  <c r="AB67" i="19"/>
  <c r="AB70" i="19"/>
  <c r="AC69" i="19"/>
  <c r="AC62" i="19"/>
  <c r="AC67" i="19"/>
  <c r="AC70" i="19"/>
  <c r="AD69" i="19"/>
  <c r="AD62" i="19"/>
  <c r="AD67" i="19"/>
  <c r="AD70" i="19"/>
  <c r="AE69" i="19"/>
  <c r="AE62" i="19"/>
  <c r="AE67" i="19"/>
  <c r="AE70" i="19"/>
  <c r="AF69" i="19"/>
  <c r="AF62" i="19"/>
  <c r="AF67" i="19"/>
  <c r="AF70" i="19"/>
  <c r="AG69" i="19"/>
  <c r="AG62" i="19"/>
  <c r="AG67" i="19"/>
  <c r="AG70" i="19"/>
  <c r="AH69" i="19"/>
  <c r="AH62" i="19"/>
  <c r="AH67" i="19"/>
  <c r="AH70" i="19"/>
  <c r="AI69" i="19"/>
  <c r="AI62" i="19"/>
  <c r="AI67" i="19"/>
  <c r="AI70" i="19"/>
  <c r="AJ69" i="19"/>
  <c r="AJ62" i="19"/>
  <c r="AJ67" i="19"/>
  <c r="AJ70" i="19"/>
  <c r="AK69" i="19"/>
  <c r="AK62" i="19"/>
  <c r="AK67" i="19"/>
  <c r="AK70" i="19"/>
  <c r="AL69" i="19"/>
  <c r="AL62" i="19"/>
  <c r="AL67" i="19"/>
  <c r="AL70" i="19"/>
  <c r="AM69" i="19"/>
  <c r="AM62" i="19"/>
  <c r="AM67" i="19"/>
  <c r="AO62" i="19"/>
  <c r="AO67" i="19"/>
  <c r="AO68" i="19"/>
  <c r="AM70" i="19"/>
  <c r="R72" i="16"/>
  <c r="R81" i="16" s="1"/>
  <c r="R73" i="16"/>
  <c r="E91" i="16"/>
  <c r="F70" i="16"/>
  <c r="G70" i="16" s="1"/>
  <c r="H70" i="16" s="1"/>
  <c r="I70" i="16" s="1"/>
  <c r="J70" i="16" s="1"/>
  <c r="K70" i="16" s="1"/>
  <c r="L70" i="16" s="1"/>
  <c r="M70" i="16" s="1"/>
  <c r="N70" i="16" s="1"/>
  <c r="O70" i="16" s="1"/>
  <c r="P70" i="16" s="1"/>
  <c r="R60" i="16"/>
  <c r="R59" i="16"/>
  <c r="R50" i="16"/>
  <c r="P46" i="16"/>
  <c r="N46" i="16"/>
  <c r="L46" i="16"/>
  <c r="K46" i="16"/>
  <c r="J46" i="16"/>
  <c r="H46" i="16"/>
  <c r="G46" i="16"/>
  <c r="F46" i="16"/>
  <c r="E46" i="16"/>
  <c r="R45" i="16"/>
  <c r="R42" i="16"/>
  <c r="P40" i="16"/>
  <c r="N40" i="16"/>
  <c r="L40" i="16"/>
  <c r="K40" i="16"/>
  <c r="J40" i="16"/>
  <c r="H40" i="16"/>
  <c r="G40" i="16"/>
  <c r="F40" i="16"/>
  <c r="E40" i="16"/>
  <c r="R39" i="16"/>
  <c r="R38" i="16"/>
  <c r="P36" i="16"/>
  <c r="O36" i="16"/>
  <c r="O48" i="16" s="1"/>
  <c r="N36" i="16"/>
  <c r="L36" i="16"/>
  <c r="K36" i="16"/>
  <c r="J36" i="16"/>
  <c r="H36" i="16"/>
  <c r="G36" i="16"/>
  <c r="F36" i="16"/>
  <c r="E36" i="16"/>
  <c r="R35" i="16"/>
  <c r="R34" i="16"/>
  <c r="R33" i="16"/>
  <c r="R31" i="16"/>
  <c r="R30" i="16"/>
  <c r="R29" i="16"/>
  <c r="E25" i="16"/>
  <c r="K25" i="16"/>
  <c r="R23" i="16"/>
  <c r="P25" i="16"/>
  <c r="O25" i="16"/>
  <c r="N25" i="16"/>
  <c r="L25" i="16"/>
  <c r="J25" i="16"/>
  <c r="H25" i="16"/>
  <c r="G25" i="16"/>
  <c r="F25" i="16"/>
  <c r="P20" i="16"/>
  <c r="O20" i="16"/>
  <c r="N20" i="16"/>
  <c r="L20" i="16"/>
  <c r="K20" i="16"/>
  <c r="J20" i="16"/>
  <c r="H20" i="16"/>
  <c r="G20" i="16"/>
  <c r="F20" i="16"/>
  <c r="E20" i="16"/>
  <c r="R19" i="16"/>
  <c r="R18" i="16"/>
  <c r="R17" i="16"/>
  <c r="R15" i="16"/>
  <c r="R14" i="16"/>
  <c r="R13" i="16"/>
  <c r="R12" i="16"/>
  <c r="R11" i="16"/>
  <c r="R10" i="16"/>
  <c r="F7" i="16"/>
  <c r="G7" i="16" s="1"/>
  <c r="H7" i="16" s="1"/>
  <c r="I7" i="16" s="1"/>
  <c r="J7" i="16" s="1"/>
  <c r="K7" i="16" s="1"/>
  <c r="L7" i="16" s="1"/>
  <c r="M7" i="16" s="1"/>
  <c r="N7" i="16" s="1"/>
  <c r="O7" i="16" s="1"/>
  <c r="P7" i="16" s="1"/>
  <c r="E86" i="16"/>
  <c r="F85" i="16" s="1"/>
  <c r="R22" i="16"/>
  <c r="O77" i="19"/>
  <c r="R76" i="16"/>
  <c r="E45" i="8"/>
  <c r="E19" i="3" s="1"/>
  <c r="E38" i="10" s="1"/>
  <c r="F41" i="8"/>
  <c r="G41" i="8"/>
  <c r="H41" i="8"/>
  <c r="K41" i="8"/>
  <c r="L41" i="8"/>
  <c r="M41" i="8"/>
  <c r="N41" i="8"/>
  <c r="P41" i="8"/>
  <c r="F40" i="8"/>
  <c r="G40" i="8"/>
  <c r="H40" i="8"/>
  <c r="I40" i="8"/>
  <c r="K40" i="8"/>
  <c r="L40" i="8"/>
  <c r="N40" i="8"/>
  <c r="J56" i="2"/>
  <c r="F6" i="2" s="1"/>
  <c r="J57" i="2"/>
  <c r="M39" i="2"/>
  <c r="M41" i="2"/>
  <c r="I73" i="1"/>
  <c r="J46" i="2"/>
  <c r="J11" i="8" s="1"/>
  <c r="F46" i="2"/>
  <c r="F11" i="8" s="1"/>
  <c r="P69" i="2"/>
  <c r="P72" i="1" s="1"/>
  <c r="M69" i="2"/>
  <c r="I72" i="1"/>
  <c r="F68" i="2"/>
  <c r="G68" i="2" s="1"/>
  <c r="H68" i="2" s="1"/>
  <c r="I68" i="2" s="1"/>
  <c r="J68" i="2" s="1"/>
  <c r="K68" i="2" s="1"/>
  <c r="L68" i="2" s="1"/>
  <c r="M68" i="2" s="1"/>
  <c r="N68" i="2" s="1"/>
  <c r="O68" i="2" s="1"/>
  <c r="P68" i="2" s="1"/>
  <c r="J65" i="2"/>
  <c r="F8" i="2" s="1"/>
  <c r="J66" i="2"/>
  <c r="F14" i="3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F69" i="2"/>
  <c r="O24" i="8"/>
  <c r="N24" i="8"/>
  <c r="M24" i="8"/>
  <c r="L24" i="8"/>
  <c r="K24" i="8"/>
  <c r="I24" i="8"/>
  <c r="G24" i="8"/>
  <c r="F24" i="8"/>
  <c r="E24" i="8"/>
  <c r="R50" i="1"/>
  <c r="J75" i="2"/>
  <c r="K39" i="2"/>
  <c r="K40" i="2"/>
  <c r="K41" i="2"/>
  <c r="F45" i="2"/>
  <c r="G45" i="2" s="1"/>
  <c r="H45" i="2" s="1"/>
  <c r="I45" i="2" s="1"/>
  <c r="J45" i="2" s="1"/>
  <c r="K45" i="2" s="1"/>
  <c r="L45" i="2" s="1"/>
  <c r="M45" i="2" s="1"/>
  <c r="N45" i="2" s="1"/>
  <c r="O45" i="2" s="1"/>
  <c r="P45" i="2" s="1"/>
  <c r="J79" i="2"/>
  <c r="M79" i="2"/>
  <c r="M10" i="8" s="1"/>
  <c r="P79" i="2"/>
  <c r="P10" i="8" s="1"/>
  <c r="F78" i="2"/>
  <c r="G78" i="2" s="1"/>
  <c r="H78" i="2" s="1"/>
  <c r="I78" i="2" s="1"/>
  <c r="J78" i="2" s="1"/>
  <c r="K78" i="2" s="1"/>
  <c r="L78" i="2" s="1"/>
  <c r="M78" i="2" s="1"/>
  <c r="N78" i="2" s="1"/>
  <c r="O78" i="2" s="1"/>
  <c r="P78" i="2" s="1"/>
  <c r="J74" i="2"/>
  <c r="F9" i="2" s="1"/>
  <c r="F60" i="2"/>
  <c r="G60" i="2" s="1"/>
  <c r="H60" i="2" s="1"/>
  <c r="I60" i="2" s="1"/>
  <c r="J60" i="2" s="1"/>
  <c r="K60" i="2" s="1"/>
  <c r="L60" i="2" s="1"/>
  <c r="M60" i="2" s="1"/>
  <c r="N60" i="2" s="1"/>
  <c r="O60" i="2" s="1"/>
  <c r="P60" i="2" s="1"/>
  <c r="R10" i="1"/>
  <c r="R11" i="1"/>
  <c r="R12" i="1"/>
  <c r="R13" i="1"/>
  <c r="R14" i="1"/>
  <c r="R15" i="1"/>
  <c r="R29" i="1"/>
  <c r="R30" i="1"/>
  <c r="R31" i="1"/>
  <c r="R32" i="1"/>
  <c r="R33" i="1"/>
  <c r="R34" i="1"/>
  <c r="R35" i="1"/>
  <c r="R38" i="1"/>
  <c r="R39" i="1"/>
  <c r="R42" i="1"/>
  <c r="M46" i="1"/>
  <c r="N46" i="1"/>
  <c r="E46" i="1"/>
  <c r="F40" i="1"/>
  <c r="G40" i="1"/>
  <c r="H40" i="1"/>
  <c r="I40" i="1"/>
  <c r="J40" i="1"/>
  <c r="K40" i="1"/>
  <c r="L40" i="1"/>
  <c r="M40" i="1"/>
  <c r="N40" i="1"/>
  <c r="O40" i="1"/>
  <c r="P40" i="1"/>
  <c r="E40" i="1"/>
  <c r="F36" i="1"/>
  <c r="G36" i="1"/>
  <c r="H36" i="1"/>
  <c r="I36" i="1"/>
  <c r="J36" i="1"/>
  <c r="K36" i="1"/>
  <c r="L36" i="1"/>
  <c r="M36" i="1"/>
  <c r="N36" i="1"/>
  <c r="O36" i="1"/>
  <c r="P36" i="1"/>
  <c r="E36" i="1"/>
  <c r="F20" i="1"/>
  <c r="E20" i="1"/>
  <c r="P20" i="1"/>
  <c r="O20" i="1"/>
  <c r="N20" i="1"/>
  <c r="M20" i="1"/>
  <c r="L20" i="1"/>
  <c r="K20" i="1"/>
  <c r="J20" i="1"/>
  <c r="I20" i="1"/>
  <c r="H20" i="1"/>
  <c r="G20" i="1"/>
  <c r="F7" i="1"/>
  <c r="G7" i="1" s="1"/>
  <c r="H7" i="1" s="1"/>
  <c r="I7" i="1" s="1"/>
  <c r="J7" i="1" s="1"/>
  <c r="K7" i="1" s="1"/>
  <c r="L7" i="1" s="1"/>
  <c r="M7" i="1" s="1"/>
  <c r="N7" i="1" s="1"/>
  <c r="O7" i="1" s="1"/>
  <c r="P7" i="1" s="1"/>
  <c r="R15" i="20"/>
  <c r="R11" i="20"/>
  <c r="R28" i="20"/>
  <c r="E32" i="20" l="1"/>
  <c r="G89" i="16"/>
  <c r="G41" i="20" s="1"/>
  <c r="N41" i="2"/>
  <c r="F5" i="2"/>
  <c r="F14" i="2" s="1"/>
  <c r="K79" i="2"/>
  <c r="K10" i="8" s="1"/>
  <c r="J10" i="8"/>
  <c r="J13" i="8" s="1"/>
  <c r="J73" i="1"/>
  <c r="E72" i="1"/>
  <c r="M72" i="1"/>
  <c r="N69" i="2"/>
  <c r="N72" i="1" s="1"/>
  <c r="J69" i="2"/>
  <c r="O72" i="1"/>
  <c r="L72" i="1"/>
  <c r="M26" i="8"/>
  <c r="O26" i="8"/>
  <c r="M46" i="2"/>
  <c r="M11" i="8" s="1"/>
  <c r="L13" i="8"/>
  <c r="N79" i="2"/>
  <c r="N10" i="8" s="1"/>
  <c r="P46" i="2"/>
  <c r="J61" i="2"/>
  <c r="K73" i="1"/>
  <c r="E26" i="8"/>
  <c r="M61" i="2"/>
  <c r="M22" i="1" s="1"/>
  <c r="N26" i="8"/>
  <c r="G69" i="2"/>
  <c r="F72" i="1"/>
  <c r="L25" i="1"/>
  <c r="L59" i="1" s="1"/>
  <c r="N60" i="1" s="1"/>
  <c r="O25" i="1"/>
  <c r="O59" i="1" s="1"/>
  <c r="E73" i="1"/>
  <c r="L73" i="1"/>
  <c r="G46" i="2"/>
  <c r="G11" i="8" s="1"/>
  <c r="O73" i="1"/>
  <c r="P73" i="1"/>
  <c r="G25" i="1"/>
  <c r="G59" i="1" s="1"/>
  <c r="I60" i="1" s="1"/>
  <c r="K46" i="2"/>
  <c r="G26" i="8"/>
  <c r="P61" i="2"/>
  <c r="P22" i="1" s="1"/>
  <c r="P25" i="1" s="1"/>
  <c r="P59" i="1" s="1"/>
  <c r="K26" i="8"/>
  <c r="F79" i="2"/>
  <c r="F10" i="8" s="1"/>
  <c r="L26" i="8"/>
  <c r="P32" i="20"/>
  <c r="N32" i="20"/>
  <c r="M32" i="20"/>
  <c r="P48" i="16"/>
  <c r="F26" i="20"/>
  <c r="F36" i="21"/>
  <c r="O113" i="16"/>
  <c r="N26" i="20"/>
  <c r="G32" i="20"/>
  <c r="L32" i="20"/>
  <c r="K32" i="20"/>
  <c r="R13" i="20"/>
  <c r="E26" i="20"/>
  <c r="G26" i="20"/>
  <c r="H32" i="20"/>
  <c r="F32" i="20"/>
  <c r="O32" i="20"/>
  <c r="M26" i="20"/>
  <c r="P26" i="20"/>
  <c r="H26" i="20"/>
  <c r="I46" i="1"/>
  <c r="I48" i="1" s="1"/>
  <c r="G48" i="1"/>
  <c r="H48" i="16"/>
  <c r="H25" i="1"/>
  <c r="H59" i="1" s="1"/>
  <c r="J60" i="1" s="1"/>
  <c r="E101" i="1"/>
  <c r="E15" i="3" s="1"/>
  <c r="E34" i="10" s="1"/>
  <c r="K48" i="1"/>
  <c r="P40" i="8"/>
  <c r="J46" i="1"/>
  <c r="J48" i="1" s="1"/>
  <c r="J40" i="8"/>
  <c r="E41" i="8"/>
  <c r="L46" i="1"/>
  <c r="L48" i="1" s="1"/>
  <c r="M48" i="1"/>
  <c r="H48" i="1"/>
  <c r="P46" i="1"/>
  <c r="P48" i="1" s="1"/>
  <c r="M40" i="8"/>
  <c r="O41" i="8"/>
  <c r="I41" i="8"/>
  <c r="E48" i="1"/>
  <c r="R20" i="1"/>
  <c r="G7" i="2" s="1"/>
  <c r="H7" i="2" s="1"/>
  <c r="E101" i="16"/>
  <c r="E48" i="16"/>
  <c r="N48" i="16"/>
  <c r="L48" i="16"/>
  <c r="F48" i="16"/>
  <c r="M113" i="16"/>
  <c r="R46" i="16"/>
  <c r="K48" i="16"/>
  <c r="J32" i="20"/>
  <c r="J26" i="20"/>
  <c r="J48" i="16"/>
  <c r="K15" i="21"/>
  <c r="K16" i="21" s="1"/>
  <c r="K22" i="21" s="1"/>
  <c r="J15" i="21"/>
  <c r="J16" i="21" s="1"/>
  <c r="J22" i="21" s="1"/>
  <c r="N15" i="21"/>
  <c r="N16" i="21" s="1"/>
  <c r="N22" i="21" s="1"/>
  <c r="F124" i="16"/>
  <c r="E37" i="21"/>
  <c r="E42" i="21" s="1"/>
  <c r="F37" i="21"/>
  <c r="E48" i="20"/>
  <c r="I10" i="21"/>
  <c r="I76" i="19"/>
  <c r="I80" i="19" s="1"/>
  <c r="O10" i="21"/>
  <c r="O24" i="19"/>
  <c r="L24" i="19"/>
  <c r="E24" i="19"/>
  <c r="G24" i="19"/>
  <c r="I24" i="19"/>
  <c r="H24" i="19"/>
  <c r="H15" i="21"/>
  <c r="H16" i="21" s="1"/>
  <c r="H22" i="21" s="1"/>
  <c r="L10" i="21"/>
  <c r="AB78" i="19"/>
  <c r="P15" i="21"/>
  <c r="P16" i="21" s="1"/>
  <c r="P22" i="21" s="1"/>
  <c r="F15" i="21"/>
  <c r="F16" i="21" s="1"/>
  <c r="F22" i="21" s="1"/>
  <c r="L15" i="21"/>
  <c r="L16" i="21" s="1"/>
  <c r="L22" i="21" s="1"/>
  <c r="O76" i="19"/>
  <c r="O80" i="19" s="1"/>
  <c r="O15" i="21"/>
  <c r="O16" i="21" s="1"/>
  <c r="O22" i="21" s="1"/>
  <c r="AO77" i="19"/>
  <c r="L76" i="19"/>
  <c r="L80" i="19" s="1"/>
  <c r="E10" i="21"/>
  <c r="E25" i="19"/>
  <c r="AB114" i="19"/>
  <c r="AB85" i="19"/>
  <c r="L11" i="21"/>
  <c r="E76" i="19"/>
  <c r="I15" i="21"/>
  <c r="I16" i="21" s="1"/>
  <c r="I22" i="21" s="1"/>
  <c r="N77" i="19"/>
  <c r="F11" i="21"/>
  <c r="O11" i="21"/>
  <c r="L25" i="19"/>
  <c r="E77" i="19"/>
  <c r="E11" i="21"/>
  <c r="I11" i="21"/>
  <c r="F24" i="19"/>
  <c r="I77" i="19"/>
  <c r="O25" i="19"/>
  <c r="M77" i="19"/>
  <c r="L77" i="19"/>
  <c r="I25" i="19"/>
  <c r="AO76" i="19"/>
  <c r="AO80" i="19" s="1"/>
  <c r="AC114" i="19"/>
  <c r="I13" i="8"/>
  <c r="E13" i="8"/>
  <c r="P24" i="8"/>
  <c r="P26" i="8" s="1"/>
  <c r="O13" i="8"/>
  <c r="H24" i="8"/>
  <c r="I26" i="8"/>
  <c r="I32" i="20"/>
  <c r="R19" i="20"/>
  <c r="I26" i="20"/>
  <c r="J24" i="8"/>
  <c r="R22" i="8"/>
  <c r="N48" i="1"/>
  <c r="F48" i="1"/>
  <c r="J41" i="8"/>
  <c r="O46" i="1"/>
  <c r="O40" i="8"/>
  <c r="R40" i="1"/>
  <c r="G10" i="2" s="1"/>
  <c r="R36" i="1"/>
  <c r="G17" i="2" s="1"/>
  <c r="I25" i="1"/>
  <c r="I59" i="1" s="1"/>
  <c r="R24" i="20"/>
  <c r="L26" i="20"/>
  <c r="K26" i="20"/>
  <c r="O26" i="20"/>
  <c r="G124" i="16"/>
  <c r="F91" i="16"/>
  <c r="E36" i="21"/>
  <c r="E39" i="21" s="1"/>
  <c r="E124" i="16"/>
  <c r="E125" i="16" s="1"/>
  <c r="F86" i="16"/>
  <c r="F121" i="16" s="1"/>
  <c r="G48" i="16"/>
  <c r="R36" i="16"/>
  <c r="R25" i="16"/>
  <c r="G36" i="21"/>
  <c r="R40" i="16"/>
  <c r="R32" i="16"/>
  <c r="R20" i="16"/>
  <c r="L113" i="16" l="1"/>
  <c r="N113" i="16"/>
  <c r="P113" i="16"/>
  <c r="J113" i="16"/>
  <c r="K113" i="16"/>
  <c r="G113" i="16"/>
  <c r="H113" i="16"/>
  <c r="H88" i="16"/>
  <c r="H40" i="20" s="1"/>
  <c r="E28" i="8"/>
  <c r="E32" i="8" s="1"/>
  <c r="E76" i="1"/>
  <c r="F16" i="2"/>
  <c r="F22" i="2"/>
  <c r="K60" i="1"/>
  <c r="K61" i="2"/>
  <c r="K22" i="1" s="1"/>
  <c r="K25" i="1" s="1"/>
  <c r="J22" i="1"/>
  <c r="K11" i="8"/>
  <c r="K13" i="8" s="1"/>
  <c r="P11" i="8"/>
  <c r="P13" i="8" s="1"/>
  <c r="E8" i="3"/>
  <c r="E27" i="10" s="1"/>
  <c r="J26" i="8"/>
  <c r="J72" i="1"/>
  <c r="K69" i="2"/>
  <c r="K72" i="1" s="1"/>
  <c r="N61" i="2"/>
  <c r="R19" i="8"/>
  <c r="G18" i="2" s="1"/>
  <c r="M13" i="8"/>
  <c r="N46" i="2"/>
  <c r="F25" i="1"/>
  <c r="E25" i="1"/>
  <c r="E54" i="10"/>
  <c r="G79" i="2"/>
  <c r="G10" i="8" s="1"/>
  <c r="H26" i="8"/>
  <c r="F73" i="1"/>
  <c r="M73" i="1"/>
  <c r="N73" i="1"/>
  <c r="F26" i="8"/>
  <c r="R15" i="8"/>
  <c r="H46" i="2"/>
  <c r="H11" i="8" s="1"/>
  <c r="H69" i="2"/>
  <c r="G72" i="1"/>
  <c r="E45" i="20"/>
  <c r="G125" i="16"/>
  <c r="F125" i="16"/>
  <c r="H115" i="19"/>
  <c r="R46" i="1"/>
  <c r="G20" i="2" s="1"/>
  <c r="F113" i="16"/>
  <c r="R48" i="16"/>
  <c r="E65" i="16"/>
  <c r="E102" i="16" s="1"/>
  <c r="E110" i="16" s="1"/>
  <c r="E113" i="16"/>
  <c r="E43" i="21"/>
  <c r="L27" i="19"/>
  <c r="L114" i="19" s="1"/>
  <c r="F76" i="19"/>
  <c r="F80" i="19" s="1"/>
  <c r="N10" i="21"/>
  <c r="F10" i="21"/>
  <c r="F13" i="21" s="1"/>
  <c r="M10" i="21"/>
  <c r="N76" i="19"/>
  <c r="N80" i="19" s="1"/>
  <c r="I13" i="21"/>
  <c r="P10" i="21"/>
  <c r="O27" i="19"/>
  <c r="O114" i="19" s="1"/>
  <c r="M76" i="19"/>
  <c r="M80" i="19" s="1"/>
  <c r="O13" i="21"/>
  <c r="P76" i="19"/>
  <c r="P80" i="19" s="1"/>
  <c r="E27" i="19"/>
  <c r="E62" i="19" s="1"/>
  <c r="L13" i="21"/>
  <c r="J10" i="21"/>
  <c r="M24" i="19"/>
  <c r="P24" i="19"/>
  <c r="G15" i="21"/>
  <c r="G16" i="21" s="1"/>
  <c r="G22" i="21" s="1"/>
  <c r="M11" i="21"/>
  <c r="AO114" i="19"/>
  <c r="AO116" i="19" s="1"/>
  <c r="F25" i="19"/>
  <c r="F27" i="19" s="1"/>
  <c r="E78" i="19"/>
  <c r="E80" i="19"/>
  <c r="M15" i="21"/>
  <c r="M16" i="21" s="1"/>
  <c r="M22" i="21" s="1"/>
  <c r="J76" i="19"/>
  <c r="J80" i="19" s="1"/>
  <c r="AC84" i="19"/>
  <c r="AB91" i="19"/>
  <c r="AB101" i="19" s="1"/>
  <c r="J24" i="19"/>
  <c r="E15" i="21"/>
  <c r="F77" i="19"/>
  <c r="P11" i="21"/>
  <c r="G11" i="21"/>
  <c r="P77" i="19"/>
  <c r="P25" i="19"/>
  <c r="J25" i="19"/>
  <c r="J77" i="19"/>
  <c r="E13" i="21"/>
  <c r="I27" i="19"/>
  <c r="J11" i="21"/>
  <c r="M25" i="19"/>
  <c r="R26" i="20"/>
  <c r="R24" i="8"/>
  <c r="G19" i="2" s="1"/>
  <c r="O48" i="1"/>
  <c r="F115" i="19"/>
  <c r="G115" i="19"/>
  <c r="R32" i="20"/>
  <c r="R33" i="20" s="1"/>
  <c r="E38" i="20"/>
  <c r="E52" i="20" s="1"/>
  <c r="F92" i="16"/>
  <c r="G85" i="16"/>
  <c r="E53" i="1" l="1"/>
  <c r="E62" i="1" s="1"/>
  <c r="E81" i="1"/>
  <c r="E86" i="1" s="1"/>
  <c r="H89" i="16"/>
  <c r="H41" i="20" s="1"/>
  <c r="G37" i="21"/>
  <c r="E92" i="1"/>
  <c r="R69" i="2"/>
  <c r="S69" i="2" s="1"/>
  <c r="K59" i="1"/>
  <c r="M60" i="1" s="1"/>
  <c r="E59" i="1"/>
  <c r="R61" i="2"/>
  <c r="S61" i="2" s="1"/>
  <c r="N22" i="1"/>
  <c r="N25" i="1" s="1"/>
  <c r="F59" i="1"/>
  <c r="J25" i="1"/>
  <c r="N11" i="8"/>
  <c r="N13" i="8" s="1"/>
  <c r="F85" i="1"/>
  <c r="F76" i="1" s="1"/>
  <c r="R46" i="2"/>
  <c r="S46" i="2" s="1"/>
  <c r="R26" i="8"/>
  <c r="H72" i="1"/>
  <c r="G73" i="1"/>
  <c r="H73" i="1"/>
  <c r="H79" i="2"/>
  <c r="H10" i="8" s="1"/>
  <c r="R48" i="2"/>
  <c r="S48" i="2" s="1"/>
  <c r="F13" i="8"/>
  <c r="M25" i="1"/>
  <c r="E115" i="19"/>
  <c r="F64" i="16"/>
  <c r="E117" i="16"/>
  <c r="R62" i="16"/>
  <c r="R63" i="16" s="1"/>
  <c r="N24" i="19"/>
  <c r="P13" i="21"/>
  <c r="M13" i="21"/>
  <c r="M27" i="19"/>
  <c r="M114" i="19" s="1"/>
  <c r="J13" i="21"/>
  <c r="K10" i="21"/>
  <c r="G10" i="21"/>
  <c r="G13" i="21" s="1"/>
  <c r="G76" i="19"/>
  <c r="G80" i="19" s="1"/>
  <c r="E67" i="19"/>
  <c r="E70" i="19" s="1"/>
  <c r="P27" i="19"/>
  <c r="P114" i="19" s="1"/>
  <c r="J27" i="19"/>
  <c r="J114" i="19" s="1"/>
  <c r="N11" i="21"/>
  <c r="N13" i="21" s="1"/>
  <c r="G25" i="19"/>
  <c r="G27" i="19" s="1"/>
  <c r="K24" i="19"/>
  <c r="E85" i="19"/>
  <c r="E114" i="19"/>
  <c r="AC78" i="19"/>
  <c r="AC90" i="19"/>
  <c r="AC100" i="19" s="1"/>
  <c r="AC85" i="19"/>
  <c r="K76" i="19"/>
  <c r="I114" i="19"/>
  <c r="K77" i="19"/>
  <c r="N25" i="19"/>
  <c r="K25" i="19"/>
  <c r="H11" i="21"/>
  <c r="K11" i="21"/>
  <c r="R15" i="21"/>
  <c r="E16" i="21"/>
  <c r="E24" i="21" s="1"/>
  <c r="F114" i="19"/>
  <c r="H77" i="19"/>
  <c r="G77" i="19"/>
  <c r="R48" i="1"/>
  <c r="F37" i="20"/>
  <c r="E46" i="20"/>
  <c r="E58" i="10"/>
  <c r="G91" i="16"/>
  <c r="G86" i="16"/>
  <c r="G121" i="16" s="1"/>
  <c r="F91" i="1" l="1"/>
  <c r="I88" i="16"/>
  <c r="I40" i="20" s="1"/>
  <c r="H36" i="21"/>
  <c r="H124" i="16"/>
  <c r="R11" i="8"/>
  <c r="R22" i="1"/>
  <c r="G60" i="1"/>
  <c r="M59" i="1"/>
  <c r="J59" i="1"/>
  <c r="H60" i="1"/>
  <c r="N59" i="1"/>
  <c r="P60" i="1" s="1"/>
  <c r="R25" i="1"/>
  <c r="R23" i="1"/>
  <c r="R73" i="1"/>
  <c r="G13" i="8"/>
  <c r="R47" i="2"/>
  <c r="S47" i="2" s="1"/>
  <c r="R79" i="2"/>
  <c r="R72" i="1"/>
  <c r="R81" i="1" s="1"/>
  <c r="H13" i="8"/>
  <c r="F65" i="16"/>
  <c r="F101" i="16"/>
  <c r="H76" i="19"/>
  <c r="H80" i="19" s="1"/>
  <c r="N27" i="19"/>
  <c r="N114" i="19" s="1"/>
  <c r="R24" i="19"/>
  <c r="K13" i="21"/>
  <c r="H10" i="21"/>
  <c r="R10" i="21" s="1"/>
  <c r="G114" i="19"/>
  <c r="H25" i="19"/>
  <c r="H27" i="19" s="1"/>
  <c r="K27" i="19"/>
  <c r="R77" i="19"/>
  <c r="AD84" i="19"/>
  <c r="AC91" i="19"/>
  <c r="AC101" i="19" s="1"/>
  <c r="K80" i="19"/>
  <c r="R11" i="21"/>
  <c r="F84" i="19"/>
  <c r="E91" i="19"/>
  <c r="E101" i="19" s="1"/>
  <c r="F69" i="19"/>
  <c r="E22" i="21"/>
  <c r="R22" i="21" s="1"/>
  <c r="R16" i="21"/>
  <c r="E29" i="21"/>
  <c r="F81" i="1"/>
  <c r="F38" i="20"/>
  <c r="F52" i="20" s="1"/>
  <c r="F45" i="20"/>
  <c r="E9" i="10"/>
  <c r="E47" i="10" s="1"/>
  <c r="G92" i="16"/>
  <c r="H85" i="16"/>
  <c r="H125" i="16" l="1"/>
  <c r="H37" i="21"/>
  <c r="I89" i="16"/>
  <c r="I41" i="20" s="1"/>
  <c r="L60" i="1"/>
  <c r="O60" i="1"/>
  <c r="R59" i="1"/>
  <c r="R13" i="8"/>
  <c r="R10" i="8"/>
  <c r="R76" i="19"/>
  <c r="R80" i="19" s="1"/>
  <c r="H114" i="19"/>
  <c r="G64" i="16"/>
  <c r="F117" i="16"/>
  <c r="F102" i="16"/>
  <c r="F110" i="16" s="1"/>
  <c r="V109" i="19"/>
  <c r="X109" i="19" s="1"/>
  <c r="H13" i="21"/>
  <c r="R13" i="21" s="1"/>
  <c r="R27" i="19"/>
  <c r="V27" i="19" s="1"/>
  <c r="R25" i="19"/>
  <c r="K114" i="19"/>
  <c r="F78" i="19"/>
  <c r="F90" i="19"/>
  <c r="F100" i="19" s="1"/>
  <c r="F85" i="19"/>
  <c r="AD78" i="19"/>
  <c r="AD85" i="19"/>
  <c r="AD90" i="19"/>
  <c r="AD100" i="19" s="1"/>
  <c r="E34" i="21"/>
  <c r="F62" i="19"/>
  <c r="F86" i="1"/>
  <c r="F46" i="20"/>
  <c r="G37" i="20"/>
  <c r="H86" i="16"/>
  <c r="H121" i="16" s="1"/>
  <c r="H91" i="16"/>
  <c r="J88" i="16" l="1"/>
  <c r="J40" i="20" s="1"/>
  <c r="I124" i="16"/>
  <c r="I36" i="21"/>
  <c r="R60" i="1"/>
  <c r="F9" i="10"/>
  <c r="E10" i="10"/>
  <c r="V76" i="19"/>
  <c r="V80" i="19" s="1"/>
  <c r="V101" i="19" s="1"/>
  <c r="X102" i="19" s="1"/>
  <c r="R114" i="19"/>
  <c r="G9" i="10"/>
  <c r="G65" i="16"/>
  <c r="G101" i="16"/>
  <c r="V105" i="19"/>
  <c r="X105" i="19" s="1"/>
  <c r="AE84" i="19"/>
  <c r="AD91" i="19"/>
  <c r="AD101" i="19" s="1"/>
  <c r="F91" i="19"/>
  <c r="G84" i="19"/>
  <c r="F67" i="19"/>
  <c r="F33" i="21"/>
  <c r="E40" i="21"/>
  <c r="X27" i="19"/>
  <c r="F92" i="1"/>
  <c r="G85" i="1"/>
  <c r="G76" i="1" s="1"/>
  <c r="G38" i="20"/>
  <c r="G52" i="20" s="1"/>
  <c r="G45" i="20"/>
  <c r="H92" i="16"/>
  <c r="I85" i="16"/>
  <c r="I125" i="16" l="1"/>
  <c r="I37" i="21"/>
  <c r="J89" i="16"/>
  <c r="J41" i="20" s="1"/>
  <c r="V106" i="19"/>
  <c r="X106" i="19" s="1"/>
  <c r="X80" i="19"/>
  <c r="F10" i="10"/>
  <c r="E12" i="10"/>
  <c r="H64" i="16"/>
  <c r="G117" i="16"/>
  <c r="G102" i="16"/>
  <c r="G110" i="16" s="1"/>
  <c r="X107" i="19"/>
  <c r="X110" i="19" s="1"/>
  <c r="X101" i="19"/>
  <c r="G90" i="19"/>
  <c r="G85" i="19"/>
  <c r="G78" i="19"/>
  <c r="AE78" i="19"/>
  <c r="AE90" i="19"/>
  <c r="AE100" i="19" s="1"/>
  <c r="AE85" i="19"/>
  <c r="F24" i="21"/>
  <c r="F39" i="21"/>
  <c r="F70" i="19"/>
  <c r="G91" i="1"/>
  <c r="G46" i="20"/>
  <c r="H37" i="20"/>
  <c r="I86" i="16"/>
  <c r="I121" i="16" s="1"/>
  <c r="I91" i="16"/>
  <c r="J36" i="21" l="1"/>
  <c r="J124" i="16"/>
  <c r="K88" i="16"/>
  <c r="K40" i="20" s="1"/>
  <c r="V110" i="19"/>
  <c r="F12" i="10"/>
  <c r="H65" i="16"/>
  <c r="H101" i="16"/>
  <c r="G91" i="19"/>
  <c r="H84" i="19"/>
  <c r="AF84" i="19"/>
  <c r="AE91" i="19"/>
  <c r="AE101" i="19" s="1"/>
  <c r="F29" i="21"/>
  <c r="G69" i="19"/>
  <c r="F101" i="19"/>
  <c r="G81" i="1"/>
  <c r="H45" i="20"/>
  <c r="H38" i="20"/>
  <c r="H52" i="20" s="1"/>
  <c r="I92" i="16"/>
  <c r="J85" i="16"/>
  <c r="K89" i="16" l="1"/>
  <c r="K41" i="20" s="1"/>
  <c r="J125" i="16"/>
  <c r="J37" i="21"/>
  <c r="K124" i="16"/>
  <c r="H9" i="10"/>
  <c r="G10" i="10"/>
  <c r="I64" i="16"/>
  <c r="H117" i="16"/>
  <c r="H102" i="16"/>
  <c r="H110" i="16" s="1"/>
  <c r="AF85" i="19"/>
  <c r="AF78" i="19"/>
  <c r="AF90" i="19"/>
  <c r="AF100" i="19" s="1"/>
  <c r="H78" i="19"/>
  <c r="H85" i="19"/>
  <c r="H90" i="19"/>
  <c r="G62" i="19"/>
  <c r="G100" i="19"/>
  <c r="F34" i="21"/>
  <c r="G86" i="1"/>
  <c r="I37" i="20"/>
  <c r="H46" i="20"/>
  <c r="J91" i="16"/>
  <c r="J86" i="16"/>
  <c r="J121" i="16" s="1"/>
  <c r="K125" i="16" l="1"/>
  <c r="K36" i="21"/>
  <c r="L88" i="16"/>
  <c r="L40" i="20" s="1"/>
  <c r="G12" i="10"/>
  <c r="H10" i="10"/>
  <c r="I65" i="16"/>
  <c r="I101" i="16"/>
  <c r="H91" i="19"/>
  <c r="I84" i="19"/>
  <c r="AG84" i="19"/>
  <c r="AF91" i="19"/>
  <c r="AF101" i="19" s="1"/>
  <c r="G67" i="19"/>
  <c r="F40" i="21"/>
  <c r="G33" i="21"/>
  <c r="G92" i="1"/>
  <c r="H85" i="1"/>
  <c r="H76" i="1" s="1"/>
  <c r="I38" i="20"/>
  <c r="I52" i="20" s="1"/>
  <c r="I45" i="20"/>
  <c r="I115" i="19"/>
  <c r="I9" i="10"/>
  <c r="J92" i="16"/>
  <c r="K85" i="16"/>
  <c r="L89" i="16" l="1"/>
  <c r="L41" i="20" s="1"/>
  <c r="K37" i="21"/>
  <c r="H12" i="10"/>
  <c r="J64" i="16"/>
  <c r="I117" i="16"/>
  <c r="I102" i="16"/>
  <c r="I110" i="16" s="1"/>
  <c r="AG85" i="19"/>
  <c r="AG90" i="19"/>
  <c r="AG100" i="19" s="1"/>
  <c r="AG78" i="19"/>
  <c r="I78" i="19"/>
  <c r="I85" i="19"/>
  <c r="I90" i="19"/>
  <c r="G24" i="21"/>
  <c r="G39" i="21"/>
  <c r="G70" i="19"/>
  <c r="H91" i="1"/>
  <c r="J37" i="20"/>
  <c r="I46" i="20"/>
  <c r="K91" i="16"/>
  <c r="K86" i="16"/>
  <c r="K121" i="16" s="1"/>
  <c r="M88" i="16" l="1"/>
  <c r="M40" i="20" s="1"/>
  <c r="L124" i="16"/>
  <c r="L36" i="21"/>
  <c r="J65" i="16"/>
  <c r="J101" i="16"/>
  <c r="I91" i="19"/>
  <c r="J84" i="19"/>
  <c r="AG91" i="19"/>
  <c r="AG101" i="19" s="1"/>
  <c r="AH84" i="19"/>
  <c r="G29" i="21"/>
  <c r="H69" i="19"/>
  <c r="G101" i="19"/>
  <c r="H81" i="1"/>
  <c r="J45" i="20"/>
  <c r="J38" i="20"/>
  <c r="J52" i="20" s="1"/>
  <c r="L85" i="16"/>
  <c r="K92" i="16"/>
  <c r="L125" i="16" l="1"/>
  <c r="L37" i="21"/>
  <c r="M89" i="16"/>
  <c r="M41" i="20" s="1"/>
  <c r="J117" i="16"/>
  <c r="K64" i="16"/>
  <c r="J102" i="16"/>
  <c r="J110" i="16" s="1"/>
  <c r="AH90" i="19"/>
  <c r="AH100" i="19" s="1"/>
  <c r="AH85" i="19"/>
  <c r="AH78" i="19"/>
  <c r="J85" i="19"/>
  <c r="J90" i="19"/>
  <c r="J78" i="19"/>
  <c r="H62" i="19"/>
  <c r="H100" i="19"/>
  <c r="G34" i="21"/>
  <c r="H86" i="1"/>
  <c r="I10" i="10"/>
  <c r="J46" i="20"/>
  <c r="K37" i="20"/>
  <c r="L91" i="16"/>
  <c r="L86" i="16"/>
  <c r="L121" i="16" s="1"/>
  <c r="M36" i="21" l="1"/>
  <c r="M124" i="16"/>
  <c r="N88" i="16"/>
  <c r="N40" i="20" s="1"/>
  <c r="I12" i="10"/>
  <c r="K65" i="16"/>
  <c r="K117" i="16" s="1"/>
  <c r="K101" i="16"/>
  <c r="J91" i="19"/>
  <c r="K84" i="19"/>
  <c r="AH91" i="19"/>
  <c r="AH101" i="19" s="1"/>
  <c r="AI84" i="19"/>
  <c r="H33" i="21"/>
  <c r="G40" i="21"/>
  <c r="H67" i="19"/>
  <c r="H92" i="1"/>
  <c r="I85" i="1"/>
  <c r="I76" i="1" s="1"/>
  <c r="J9" i="10"/>
  <c r="J115" i="19"/>
  <c r="K38" i="20"/>
  <c r="K52" i="20" s="1"/>
  <c r="K45" i="20"/>
  <c r="M85" i="16"/>
  <c r="L92" i="16"/>
  <c r="M37" i="21" l="1"/>
  <c r="N89" i="16"/>
  <c r="N41" i="20" s="1"/>
  <c r="M125" i="16"/>
  <c r="L64" i="16"/>
  <c r="K102" i="16"/>
  <c r="K110" i="16" s="1"/>
  <c r="AI85" i="19"/>
  <c r="AI90" i="19"/>
  <c r="AI100" i="19" s="1"/>
  <c r="AI78" i="19"/>
  <c r="K85" i="19"/>
  <c r="K78" i="19"/>
  <c r="K90" i="19"/>
  <c r="H70" i="19"/>
  <c r="H24" i="21"/>
  <c r="H39" i="21"/>
  <c r="I91" i="1"/>
  <c r="L37" i="20"/>
  <c r="K46" i="20"/>
  <c r="M91" i="16"/>
  <c r="M86" i="16"/>
  <c r="M121" i="16" s="1"/>
  <c r="N124" i="16" l="1"/>
  <c r="N36" i="21"/>
  <c r="O88" i="16"/>
  <c r="O40" i="20" s="1"/>
  <c r="L65" i="16"/>
  <c r="L117" i="16" s="1"/>
  <c r="L101" i="16"/>
  <c r="K91" i="19"/>
  <c r="L84" i="19"/>
  <c r="AI91" i="19"/>
  <c r="AI101" i="19" s="1"/>
  <c r="AJ84" i="19"/>
  <c r="H29" i="21"/>
  <c r="I69" i="19"/>
  <c r="H101" i="19"/>
  <c r="I81" i="1"/>
  <c r="L45" i="20"/>
  <c r="L38" i="20"/>
  <c r="L52" i="20" s="1"/>
  <c r="N85" i="16"/>
  <c r="N86" i="16" s="1"/>
  <c r="M92" i="16"/>
  <c r="N37" i="21" l="1"/>
  <c r="O89" i="16"/>
  <c r="O41" i="20" s="1"/>
  <c r="N125" i="16"/>
  <c r="N121" i="16"/>
  <c r="N92" i="16"/>
  <c r="M64" i="16"/>
  <c r="L102" i="16"/>
  <c r="L110" i="16" s="1"/>
  <c r="AJ85" i="19"/>
  <c r="AJ90" i="19"/>
  <c r="AJ100" i="19" s="1"/>
  <c r="AJ78" i="19"/>
  <c r="L90" i="19"/>
  <c r="L85" i="19"/>
  <c r="L78" i="19"/>
  <c r="I62" i="19"/>
  <c r="I67" i="19" s="1"/>
  <c r="I70" i="19" s="1"/>
  <c r="I100" i="19"/>
  <c r="H34" i="21"/>
  <c r="I86" i="1"/>
  <c r="M37" i="20"/>
  <c r="L46" i="20"/>
  <c r="J10" i="10"/>
  <c r="N91" i="16"/>
  <c r="O124" i="16" l="1"/>
  <c r="O36" i="21"/>
  <c r="P88" i="16"/>
  <c r="P40" i="20" s="1"/>
  <c r="M65" i="16"/>
  <c r="M101" i="16"/>
  <c r="M84" i="19"/>
  <c r="L91" i="19"/>
  <c r="AJ91" i="19"/>
  <c r="AJ101" i="19" s="1"/>
  <c r="AK84" i="19"/>
  <c r="J69" i="19"/>
  <c r="I101" i="19"/>
  <c r="I33" i="21"/>
  <c r="H40" i="21"/>
  <c r="I92" i="1"/>
  <c r="J85" i="1"/>
  <c r="J76" i="1" s="1"/>
  <c r="K115" i="19"/>
  <c r="M38" i="20"/>
  <c r="M45" i="20"/>
  <c r="K9" i="10"/>
  <c r="J12" i="10"/>
  <c r="O85" i="16"/>
  <c r="O37" i="21" l="1"/>
  <c r="P89" i="16"/>
  <c r="P41" i="20" s="1"/>
  <c r="O125" i="16"/>
  <c r="O126" i="16" s="1"/>
  <c r="M52" i="20"/>
  <c r="N37" i="20"/>
  <c r="N38" i="20" s="1"/>
  <c r="N52" i="20" s="1"/>
  <c r="M117" i="16"/>
  <c r="M102" i="16"/>
  <c r="M110" i="16" s="1"/>
  <c r="N64" i="16"/>
  <c r="AK85" i="19"/>
  <c r="AK90" i="19"/>
  <c r="AK100" i="19" s="1"/>
  <c r="AK78" i="19"/>
  <c r="M90" i="19"/>
  <c r="M85" i="19"/>
  <c r="M78" i="19"/>
  <c r="I24" i="21"/>
  <c r="I39" i="21"/>
  <c r="J62" i="19"/>
  <c r="J67" i="19" s="1"/>
  <c r="J70" i="19" s="1"/>
  <c r="J100" i="19"/>
  <c r="J91" i="1"/>
  <c r="M46" i="20"/>
  <c r="O91" i="16"/>
  <c r="O86" i="16"/>
  <c r="O121" i="16" s="1"/>
  <c r="P124" i="16" l="1"/>
  <c r="P36" i="21"/>
  <c r="P37" i="21"/>
  <c r="N65" i="16"/>
  <c r="N117" i="16" s="1"/>
  <c r="N101" i="16"/>
  <c r="N84" i="19"/>
  <c r="M91" i="19"/>
  <c r="AK91" i="19"/>
  <c r="AK101" i="19" s="1"/>
  <c r="AL84" i="19"/>
  <c r="K69" i="19"/>
  <c r="J101" i="19"/>
  <c r="I29" i="21"/>
  <c r="J81" i="1"/>
  <c r="N45" i="20"/>
  <c r="O92" i="16"/>
  <c r="P85" i="16"/>
  <c r="P125" i="16" l="1"/>
  <c r="O64" i="16"/>
  <c r="N102" i="16"/>
  <c r="N110" i="16" s="1"/>
  <c r="AL85" i="19"/>
  <c r="AL90" i="19"/>
  <c r="AL100" i="19" s="1"/>
  <c r="AL78" i="19"/>
  <c r="N85" i="19"/>
  <c r="N78" i="19"/>
  <c r="N90" i="19"/>
  <c r="I34" i="21"/>
  <c r="K62" i="19"/>
  <c r="K67" i="19" s="1"/>
  <c r="K70" i="19" s="1"/>
  <c r="K100" i="19"/>
  <c r="J86" i="1"/>
  <c r="O37" i="20"/>
  <c r="N46" i="20"/>
  <c r="K10" i="10"/>
  <c r="P91" i="16"/>
  <c r="P86" i="16"/>
  <c r="P92" i="16" l="1"/>
  <c r="P121" i="16"/>
  <c r="O65" i="16"/>
  <c r="O117" i="16" s="1"/>
  <c r="O101" i="16"/>
  <c r="N91" i="19"/>
  <c r="O84" i="19"/>
  <c r="AM84" i="19"/>
  <c r="AL91" i="19"/>
  <c r="AL101" i="19" s="1"/>
  <c r="L69" i="19"/>
  <c r="K101" i="19"/>
  <c r="J33" i="21"/>
  <c r="I40" i="21"/>
  <c r="K85" i="1"/>
  <c r="K76" i="1" s="1"/>
  <c r="J92" i="1"/>
  <c r="L9" i="10"/>
  <c r="L115" i="19"/>
  <c r="K12" i="10"/>
  <c r="O45" i="20"/>
  <c r="O38" i="20"/>
  <c r="O52" i="20" s="1"/>
  <c r="P64" i="16" l="1"/>
  <c r="O102" i="16"/>
  <c r="O110" i="16" s="1"/>
  <c r="AM90" i="19"/>
  <c r="AM100" i="19" s="1"/>
  <c r="AM85" i="19"/>
  <c r="AM91" i="19" s="1"/>
  <c r="AM101" i="19" s="1"/>
  <c r="AM78" i="19"/>
  <c r="AO78" i="19" s="1"/>
  <c r="O78" i="19"/>
  <c r="O85" i="19"/>
  <c r="O90" i="19"/>
  <c r="J24" i="21"/>
  <c r="J29" i="21" s="1"/>
  <c r="J34" i="21" s="1"/>
  <c r="J39" i="21"/>
  <c r="L62" i="19"/>
  <c r="L67" i="19" s="1"/>
  <c r="L70" i="19" s="1"/>
  <c r="L100" i="19"/>
  <c r="K91" i="1"/>
  <c r="P37" i="20"/>
  <c r="O46" i="20"/>
  <c r="P65" i="16" l="1"/>
  <c r="P101" i="16"/>
  <c r="O91" i="19"/>
  <c r="P84" i="19"/>
  <c r="M69" i="19"/>
  <c r="L101" i="19"/>
  <c r="J40" i="21"/>
  <c r="K33" i="21"/>
  <c r="K81" i="1"/>
  <c r="P45" i="20"/>
  <c r="P38" i="20"/>
  <c r="P102" i="16" l="1"/>
  <c r="P110" i="16" s="1"/>
  <c r="P117" i="16"/>
  <c r="P46" i="20"/>
  <c r="P52" i="20"/>
  <c r="P90" i="19"/>
  <c r="P78" i="19"/>
  <c r="R78" i="19" s="1"/>
  <c r="P85" i="19"/>
  <c r="P91" i="19" s="1"/>
  <c r="K24" i="21"/>
  <c r="K29" i="21" s="1"/>
  <c r="K34" i="21" s="1"/>
  <c r="K39" i="21"/>
  <c r="M62" i="19"/>
  <c r="M67" i="19" s="1"/>
  <c r="M70" i="19" s="1"/>
  <c r="M100" i="19"/>
  <c r="K86" i="1"/>
  <c r="L10" i="10"/>
  <c r="N69" i="19" l="1"/>
  <c r="M101" i="19"/>
  <c r="L33" i="21"/>
  <c r="K40" i="21"/>
  <c r="K92" i="1"/>
  <c r="L85" i="1"/>
  <c r="L76" i="1" s="1"/>
  <c r="M9" i="10"/>
  <c r="M115" i="19"/>
  <c r="L12" i="10"/>
  <c r="L24" i="21" l="1"/>
  <c r="L29" i="21" s="1"/>
  <c r="L34" i="21" s="1"/>
  <c r="L39" i="21"/>
  <c r="N62" i="19"/>
  <c r="N67" i="19" s="1"/>
  <c r="N70" i="19" s="1"/>
  <c r="N100" i="19"/>
  <c r="L91" i="1"/>
  <c r="O69" i="19" l="1"/>
  <c r="N101" i="19"/>
  <c r="M33" i="21"/>
  <c r="L40" i="21"/>
  <c r="L81" i="1"/>
  <c r="M24" i="21" l="1"/>
  <c r="M29" i="21" s="1"/>
  <c r="M34" i="21" s="1"/>
  <c r="M39" i="21"/>
  <c r="O62" i="19"/>
  <c r="O67" i="19" s="1"/>
  <c r="O70" i="19" s="1"/>
  <c r="O100" i="19"/>
  <c r="L86" i="1"/>
  <c r="M10" i="10"/>
  <c r="P69" i="19" l="1"/>
  <c r="O101" i="19"/>
  <c r="N33" i="21"/>
  <c r="M40" i="21"/>
  <c r="L92" i="1"/>
  <c r="M85" i="1"/>
  <c r="M76" i="1" s="1"/>
  <c r="N9" i="10"/>
  <c r="N115" i="19"/>
  <c r="M12" i="10"/>
  <c r="N24" i="21" l="1"/>
  <c r="N29" i="21" s="1"/>
  <c r="N34" i="21" s="1"/>
  <c r="N39" i="21"/>
  <c r="P62" i="19"/>
  <c r="P100" i="19"/>
  <c r="M91" i="1"/>
  <c r="O33" i="21" l="1"/>
  <c r="N40" i="21"/>
  <c r="P67" i="19"/>
  <c r="R62" i="19"/>
  <c r="M81" i="1"/>
  <c r="R67" i="19" l="1"/>
  <c r="R68" i="19" s="1"/>
  <c r="P70" i="19"/>
  <c r="P101" i="19" s="1"/>
  <c r="O24" i="21"/>
  <c r="O29" i="21" s="1"/>
  <c r="O34" i="21" s="1"/>
  <c r="O39" i="21"/>
  <c r="M86" i="1"/>
  <c r="N10" i="10"/>
  <c r="P33" i="21" l="1"/>
  <c r="O40" i="21"/>
  <c r="M92" i="1"/>
  <c r="N85" i="1"/>
  <c r="N76" i="1" s="1"/>
  <c r="N12" i="10"/>
  <c r="O115" i="19"/>
  <c r="O9" i="10"/>
  <c r="P24" i="21" l="1"/>
  <c r="P39" i="21"/>
  <c r="N91" i="1"/>
  <c r="P29" i="21" l="1"/>
  <c r="R24" i="21"/>
  <c r="N81" i="1"/>
  <c r="R29" i="21" l="1"/>
  <c r="R30" i="21" s="1"/>
  <c r="P34" i="21"/>
  <c r="P40" i="21" s="1"/>
  <c r="N86" i="1"/>
  <c r="O10" i="10"/>
  <c r="N92" i="1" l="1"/>
  <c r="O85" i="1"/>
  <c r="O76" i="1" s="1"/>
  <c r="P9" i="10"/>
  <c r="O12" i="10"/>
  <c r="P115" i="19"/>
  <c r="O91" i="1" l="1"/>
  <c r="R115" i="19"/>
  <c r="R116" i="19" s="1"/>
  <c r="V116" i="19" s="1"/>
  <c r="O81" i="1" l="1"/>
  <c r="O86" i="1" l="1"/>
  <c r="P85" i="1" l="1"/>
  <c r="P76" i="1" s="1"/>
  <c r="O92" i="1"/>
  <c r="P91" i="1" l="1"/>
  <c r="P81" i="1" l="1"/>
  <c r="R76" i="1"/>
  <c r="P86" i="1" l="1"/>
  <c r="P92" i="1" l="1"/>
  <c r="E38" i="8" l="1"/>
  <c r="F37" i="8" s="1"/>
  <c r="F28" i="8" s="1"/>
  <c r="F45" i="8" l="1"/>
  <c r="F32" i="8"/>
  <c r="E46" i="8"/>
  <c r="F19" i="3" l="1"/>
  <c r="F38" i="10" s="1"/>
  <c r="E20" i="3"/>
  <c r="F38" i="8"/>
  <c r="F58" i="10" l="1"/>
  <c r="E39" i="10"/>
  <c r="E59" i="10"/>
  <c r="G37" i="8"/>
  <c r="G28" i="8" s="1"/>
  <c r="F46" i="8"/>
  <c r="F20" i="3" l="1"/>
  <c r="G32" i="8"/>
  <c r="G45" i="8"/>
  <c r="F39" i="10" l="1"/>
  <c r="F59" i="10"/>
  <c r="G19" i="3"/>
  <c r="G38" i="10" l="1"/>
  <c r="G58" i="10"/>
  <c r="G38" i="8"/>
  <c r="H37" i="8" l="1"/>
  <c r="H28" i="8" s="1"/>
  <c r="G46" i="8"/>
  <c r="G20" i="3" l="1"/>
  <c r="H45" i="8"/>
  <c r="H32" i="8"/>
  <c r="G39" i="10" l="1"/>
  <c r="G59" i="10"/>
  <c r="H19" i="3"/>
  <c r="H38" i="10" l="1"/>
  <c r="H58" i="10"/>
  <c r="H38" i="8"/>
  <c r="H46" i="8" l="1"/>
  <c r="I37" i="8"/>
  <c r="I28" i="8" s="1"/>
  <c r="I32" i="8" l="1"/>
  <c r="I45" i="8"/>
  <c r="H20" i="3"/>
  <c r="H39" i="10" l="1"/>
  <c r="H59" i="10"/>
  <c r="I19" i="3"/>
  <c r="I38" i="10" l="1"/>
  <c r="I58" i="10"/>
  <c r="I38" i="8"/>
  <c r="AB115" i="19"/>
  <c r="J37" i="8" l="1"/>
  <c r="J28" i="8" s="1"/>
  <c r="I46" i="8"/>
  <c r="I20" i="3" l="1"/>
  <c r="J32" i="8"/>
  <c r="J45" i="8"/>
  <c r="I39" i="10" l="1"/>
  <c r="I59" i="10"/>
  <c r="J19" i="3"/>
  <c r="J38" i="10" l="1"/>
  <c r="J58" i="10"/>
  <c r="J38" i="8"/>
  <c r="AC115" i="19"/>
  <c r="K37" i="8" l="1"/>
  <c r="K28" i="8" s="1"/>
  <c r="J46" i="8"/>
  <c r="J20" i="3" l="1"/>
  <c r="K32" i="8"/>
  <c r="K45" i="8"/>
  <c r="J39" i="10" l="1"/>
  <c r="J59" i="10"/>
  <c r="AD115" i="19"/>
  <c r="K19" i="3"/>
  <c r="K38" i="10" l="1"/>
  <c r="K58" i="10"/>
  <c r="K38" i="8"/>
  <c r="K46" i="8" l="1"/>
  <c r="L37" i="8"/>
  <c r="L28" i="8" s="1"/>
  <c r="L45" i="8" l="1"/>
  <c r="L32" i="8"/>
  <c r="K20" i="3"/>
  <c r="K39" i="10" l="1"/>
  <c r="K59" i="10"/>
  <c r="AE115" i="19"/>
  <c r="L19" i="3"/>
  <c r="L38" i="10" l="1"/>
  <c r="L58" i="10"/>
  <c r="L38" i="8"/>
  <c r="L46" i="8" l="1"/>
  <c r="M37" i="8"/>
  <c r="M28" i="8" s="1"/>
  <c r="L20" i="3" l="1"/>
  <c r="M45" i="8"/>
  <c r="M32" i="8"/>
  <c r="L39" i="10" l="1"/>
  <c r="L59" i="10"/>
  <c r="AF115" i="19"/>
  <c r="M19" i="3"/>
  <c r="M38" i="10" l="1"/>
  <c r="M58" i="10"/>
  <c r="M38" i="8"/>
  <c r="N37" i="8" l="1"/>
  <c r="N28" i="8" s="1"/>
  <c r="M46" i="8"/>
  <c r="M20" i="3" l="1"/>
  <c r="N32" i="8"/>
  <c r="N45" i="8"/>
  <c r="M39" i="10" l="1"/>
  <c r="M59" i="10"/>
  <c r="N19" i="3"/>
  <c r="AG115" i="19"/>
  <c r="N38" i="10" l="1"/>
  <c r="N58" i="10"/>
  <c r="N38" i="8"/>
  <c r="O37" i="8" l="1"/>
  <c r="O28" i="8" s="1"/>
  <c r="N46" i="8"/>
  <c r="N20" i="3" l="1"/>
  <c r="O45" i="8"/>
  <c r="O32" i="8"/>
  <c r="N39" i="10" l="1"/>
  <c r="N59" i="10"/>
  <c r="AH115" i="19"/>
  <c r="O19" i="3"/>
  <c r="O38" i="10" l="1"/>
  <c r="O58" i="10"/>
  <c r="O38" i="8"/>
  <c r="O46" i="8" l="1"/>
  <c r="P37" i="8"/>
  <c r="P28" i="8" s="1"/>
  <c r="P32" i="8" l="1"/>
  <c r="P45" i="8"/>
  <c r="O20" i="3"/>
  <c r="O39" i="10" l="1"/>
  <c r="O59" i="10"/>
  <c r="P19" i="3"/>
  <c r="R28" i="8"/>
  <c r="P38" i="10" l="1"/>
  <c r="P58" i="10"/>
  <c r="AI115" i="19"/>
  <c r="AK115" i="19"/>
  <c r="R32" i="8"/>
  <c r="P38" i="8"/>
  <c r="R86" i="1" s="1"/>
  <c r="P46" i="8" l="1"/>
  <c r="R29" i="8"/>
  <c r="R33" i="8"/>
  <c r="P20" i="3" l="1"/>
  <c r="P39" i="10" l="1"/>
  <c r="P59" i="10"/>
  <c r="E121" i="16" l="1"/>
  <c r="P10" i="10" l="1"/>
  <c r="R10" i="10" l="1"/>
  <c r="R7" i="10"/>
  <c r="P12" i="10"/>
  <c r="E65" i="1"/>
  <c r="F64" i="1" l="1"/>
  <c r="E102" i="1"/>
  <c r="E16" i="3" s="1"/>
  <c r="F101" i="1" l="1"/>
  <c r="F15" i="3" s="1"/>
  <c r="F53" i="1"/>
  <c r="F62" i="1" s="1"/>
  <c r="E35" i="10"/>
  <c r="E9" i="3"/>
  <c r="E55" i="10"/>
  <c r="F65" i="1" l="1"/>
  <c r="F34" i="10"/>
  <c r="F54" i="10"/>
  <c r="F8" i="3"/>
  <c r="E11" i="3"/>
  <c r="E28" i="10"/>
  <c r="E48" i="10" s="1"/>
  <c r="F27" i="10" l="1"/>
  <c r="F47" i="10" s="1"/>
  <c r="G64" i="1"/>
  <c r="F102" i="1"/>
  <c r="F16" i="3" s="1"/>
  <c r="E30" i="10"/>
  <c r="E50" i="10" s="1"/>
  <c r="F35" i="10" l="1"/>
  <c r="F9" i="3"/>
  <c r="F55" i="10"/>
  <c r="G53" i="1"/>
  <c r="G62" i="1" s="1"/>
  <c r="G101" i="1"/>
  <c r="G15" i="3" s="1"/>
  <c r="G8" i="3" l="1"/>
  <c r="G34" i="10"/>
  <c r="G54" i="10"/>
  <c r="G65" i="1"/>
  <c r="F28" i="10"/>
  <c r="F48" i="10" s="1"/>
  <c r="F11" i="3"/>
  <c r="F30" i="10" l="1"/>
  <c r="F50" i="10" s="1"/>
  <c r="G102" i="1"/>
  <c r="G16" i="3" s="1"/>
  <c r="H64" i="1"/>
  <c r="G27" i="10"/>
  <c r="G47" i="10" s="1"/>
  <c r="H53" i="1" l="1"/>
  <c r="H62" i="1" s="1"/>
  <c r="H101" i="1"/>
  <c r="H15" i="3" s="1"/>
  <c r="G55" i="10"/>
  <c r="G9" i="3"/>
  <c r="G35" i="10"/>
  <c r="H34" i="10" l="1"/>
  <c r="H54" i="10"/>
  <c r="H8" i="3"/>
  <c r="G28" i="10"/>
  <c r="G48" i="10" s="1"/>
  <c r="G11" i="3"/>
  <c r="H65" i="1"/>
  <c r="I64" i="1" l="1"/>
  <c r="H102" i="1"/>
  <c r="H16" i="3" s="1"/>
  <c r="G30" i="10"/>
  <c r="G50" i="10" s="1"/>
  <c r="H27" i="10"/>
  <c r="H47" i="10" s="1"/>
  <c r="H35" i="10" l="1"/>
  <c r="H55" i="10"/>
  <c r="H9" i="3"/>
  <c r="I53" i="1"/>
  <c r="I62" i="1" s="1"/>
  <c r="I101" i="1"/>
  <c r="I15" i="3" s="1"/>
  <c r="I34" i="10" l="1"/>
  <c r="I54" i="10"/>
  <c r="I8" i="3"/>
  <c r="I65" i="1"/>
  <c r="H28" i="10"/>
  <c r="H48" i="10" s="1"/>
  <c r="H11" i="3"/>
  <c r="H30" i="10" l="1"/>
  <c r="H50" i="10" s="1"/>
  <c r="I102" i="1"/>
  <c r="I16" i="3" s="1"/>
  <c r="J64" i="1"/>
  <c r="I27" i="10"/>
  <c r="I47" i="10" s="1"/>
  <c r="J53" i="1" l="1"/>
  <c r="J62" i="1" s="1"/>
  <c r="J101" i="1"/>
  <c r="J15" i="3" s="1"/>
  <c r="I35" i="10"/>
  <c r="I9" i="3"/>
  <c r="I55" i="10"/>
  <c r="J8" i="3" l="1"/>
  <c r="J34" i="10"/>
  <c r="J54" i="10"/>
  <c r="I28" i="10"/>
  <c r="I48" i="10" s="1"/>
  <c r="I11" i="3"/>
  <c r="J65" i="1"/>
  <c r="K64" i="1" l="1"/>
  <c r="J102" i="1"/>
  <c r="J16" i="3" s="1"/>
  <c r="I30" i="10"/>
  <c r="I50" i="10" s="1"/>
  <c r="J27" i="10"/>
  <c r="J47" i="10" s="1"/>
  <c r="J55" i="10" l="1"/>
  <c r="J35" i="10"/>
  <c r="J9" i="3"/>
  <c r="K53" i="1"/>
  <c r="K62" i="1" s="1"/>
  <c r="K101" i="1"/>
  <c r="K15" i="3" s="1"/>
  <c r="K34" i="10" l="1"/>
  <c r="K54" i="10"/>
  <c r="K8" i="3"/>
  <c r="K65" i="1"/>
  <c r="J11" i="3"/>
  <c r="J28" i="10"/>
  <c r="J48" i="10" s="1"/>
  <c r="J30" i="10" l="1"/>
  <c r="J50" i="10" s="1"/>
  <c r="L64" i="1"/>
  <c r="K102" i="1"/>
  <c r="K16" i="3" s="1"/>
  <c r="K27" i="10"/>
  <c r="K47" i="10" s="1"/>
  <c r="K55" i="10" l="1"/>
  <c r="K9" i="3"/>
  <c r="K35" i="10"/>
  <c r="L53" i="1"/>
  <c r="L62" i="1" s="1"/>
  <c r="L101" i="1"/>
  <c r="L15" i="3" s="1"/>
  <c r="L54" i="10" l="1"/>
  <c r="L34" i="10"/>
  <c r="L8" i="3"/>
  <c r="L65" i="1"/>
  <c r="K28" i="10"/>
  <c r="K48" i="10" s="1"/>
  <c r="K11" i="3"/>
  <c r="L27" i="10" l="1"/>
  <c r="L47" i="10" s="1"/>
  <c r="K30" i="10"/>
  <c r="K50" i="10" s="1"/>
  <c r="L102" i="1"/>
  <c r="L16" i="3" s="1"/>
  <c r="M64" i="1"/>
  <c r="M53" i="1" l="1"/>
  <c r="M62" i="1" s="1"/>
  <c r="M101" i="1"/>
  <c r="M15" i="3" s="1"/>
  <c r="L9" i="3"/>
  <c r="L55" i="10"/>
  <c r="L35" i="10"/>
  <c r="L28" i="10" l="1"/>
  <c r="L48" i="10" s="1"/>
  <c r="L11" i="3"/>
  <c r="M8" i="3"/>
  <c r="M34" i="10"/>
  <c r="M54" i="10"/>
  <c r="M65" i="1"/>
  <c r="M102" i="1" l="1"/>
  <c r="M16" i="3" s="1"/>
  <c r="N64" i="1"/>
  <c r="M27" i="10"/>
  <c r="M47" i="10" s="1"/>
  <c r="L30" i="10"/>
  <c r="L50" i="10" s="1"/>
  <c r="M9" i="3" l="1"/>
  <c r="M35" i="10"/>
  <c r="M55" i="10"/>
  <c r="N53" i="1"/>
  <c r="N62" i="1" s="1"/>
  <c r="N101" i="1"/>
  <c r="N15" i="3" s="1"/>
  <c r="N8" i="3" l="1"/>
  <c r="N34" i="10"/>
  <c r="N54" i="10"/>
  <c r="N65" i="1"/>
  <c r="M11" i="3"/>
  <c r="M28" i="10"/>
  <c r="M48" i="10" s="1"/>
  <c r="N102" i="1" l="1"/>
  <c r="N16" i="3" s="1"/>
  <c r="O64" i="1"/>
  <c r="M30" i="10"/>
  <c r="M50" i="10" s="1"/>
  <c r="N27" i="10"/>
  <c r="N47" i="10" s="1"/>
  <c r="O53" i="1" l="1"/>
  <c r="O62" i="1" s="1"/>
  <c r="O101" i="1"/>
  <c r="O15" i="3" s="1"/>
  <c r="N9" i="3"/>
  <c r="N55" i="10"/>
  <c r="N35" i="10"/>
  <c r="O8" i="3" l="1"/>
  <c r="O34" i="10"/>
  <c r="O54" i="10"/>
  <c r="N11" i="3"/>
  <c r="N28" i="10"/>
  <c r="N48" i="10" s="1"/>
  <c r="O65" i="1"/>
  <c r="N30" i="10" l="1"/>
  <c r="N50" i="10" s="1"/>
  <c r="P64" i="1"/>
  <c r="O102" i="1"/>
  <c r="O16" i="3" s="1"/>
  <c r="O27" i="10"/>
  <c r="O47" i="10" s="1"/>
  <c r="O9" i="3" l="1"/>
  <c r="O35" i="10"/>
  <c r="O55" i="10"/>
  <c r="P53" i="1"/>
  <c r="P62" i="1" s="1"/>
  <c r="P101" i="1"/>
  <c r="P15" i="3" s="1"/>
  <c r="P8" i="3" l="1"/>
  <c r="P34" i="10"/>
  <c r="P54" i="10"/>
  <c r="R53" i="1"/>
  <c r="O28" i="10"/>
  <c r="O48" i="10" s="1"/>
  <c r="O11" i="3"/>
  <c r="O30" i="10" l="1"/>
  <c r="O50" i="10" s="1"/>
  <c r="R62" i="1"/>
  <c r="R63" i="1" s="1"/>
  <c r="P65" i="1"/>
  <c r="P27" i="10"/>
  <c r="P47" i="10" s="1"/>
  <c r="P102" i="1" l="1"/>
  <c r="P16" i="3" s="1"/>
  <c r="P9" i="3" l="1"/>
  <c r="R9" i="3" s="1"/>
  <c r="P35" i="10"/>
  <c r="P55" i="10"/>
  <c r="P11" i="3" l="1"/>
  <c r="P28" i="10"/>
  <c r="P48" i="10" s="1"/>
  <c r="P30" i="10" l="1"/>
  <c r="P50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Roxandra Sturdza</author>
  </authors>
  <commentList>
    <comment ref="M50" authorId="0" shapeId="0" xr:uid="{38267941-F674-467A-9BA9-972F39900E60}">
      <text>
        <r>
          <rPr>
            <b/>
            <sz val="9"/>
            <color indexed="81"/>
            <rFont val="Tahoma"/>
            <family val="2"/>
          </rPr>
          <t>update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Roxandra Sturdza</author>
  </authors>
  <commentList>
    <comment ref="K10" authorId="0" shapeId="0" xr:uid="{5D36B2D9-29AF-4B99-A2DE-68BD3B6CCDFF}">
      <text>
        <r>
          <rPr>
            <b/>
            <sz val="9"/>
            <color indexed="81"/>
            <rFont val="Tahoma"/>
            <family val="2"/>
          </rPr>
          <t>and payment for SA</t>
        </r>
        <r>
          <rPr>
            <sz val="9"/>
            <color indexed="81"/>
            <rFont val="Tahoma"/>
            <family val="2"/>
          </rPr>
          <t xml:space="preserve">
524 k€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Roxandra Sturdza</author>
  </authors>
  <commentList>
    <comment ref="V27" authorId="0" shapeId="0" xr:uid="{0797E481-47F3-4AA6-938D-00216C87A086}">
      <text>
        <r>
          <rPr>
            <b/>
            <sz val="9"/>
            <color indexed="81"/>
            <rFont val="Tahoma"/>
            <family val="2"/>
          </rPr>
          <t xml:space="preserve">avec risk adjut de CD
</t>
        </r>
        <r>
          <rPr>
            <sz val="9"/>
            <color indexed="81"/>
            <rFont val="Tahoma"/>
            <family val="2"/>
          </rPr>
          <t xml:space="preserve">
le chiffre est un peu moins eleve car on a pas mis DAP (1m€ environ) mais on a Q1 &gt;Q4 donc (+1,3 m€ environ) plus de cash out</t>
        </r>
      </text>
    </comment>
    <comment ref="J38" authorId="0" shapeId="0" xr:uid="{17C2E724-DD44-4B90-9177-00EF965BFA4D}">
      <text>
        <r>
          <rPr>
            <b/>
            <sz val="9"/>
            <color indexed="81"/>
            <rFont val="Tahoma"/>
            <family val="2"/>
          </rPr>
          <t>avec R/Adj.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8" authorId="0" shapeId="0" xr:uid="{C89735D8-F7FE-4D27-BCBC-F0E2270B34F1}">
      <text>
        <r>
          <rPr>
            <b/>
            <sz val="9"/>
            <color indexed="81"/>
            <rFont val="Tahoma"/>
            <family val="2"/>
          </rPr>
          <t>avec R/Adj.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38" authorId="0" shapeId="0" xr:uid="{60045E7E-2083-44EF-9DA2-48E0BA39289E}">
      <text>
        <r>
          <rPr>
            <b/>
            <sz val="9"/>
            <color indexed="81"/>
            <rFont val="Tahoma"/>
            <family val="2"/>
          </rPr>
          <t>avec R/Adj.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38" authorId="0" shapeId="0" xr:uid="{0610518F-432B-425E-BE65-99CD74C5C688}">
      <text>
        <r>
          <rPr>
            <b/>
            <sz val="9"/>
            <color indexed="81"/>
            <rFont val="Tahoma"/>
            <family val="2"/>
          </rPr>
          <t>avec R/Adj.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69" authorId="0" shapeId="0" xr:uid="{835277B0-48A2-41FB-9C56-B004F3AD5F48}">
      <text>
        <r>
          <rPr>
            <b/>
            <sz val="9"/>
            <color indexed="81"/>
            <rFont val="Tahoma"/>
            <family val="2"/>
          </rPr>
          <t xml:space="preserve">retirer les 4,6 m€pour avoir le même chiffre de départ que dans budget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<sst xmlns="http://schemas.openxmlformats.org/spreadsheetml/2006/main" count="1305" uniqueCount="320">
  <si>
    <t>Financial debt</t>
  </si>
  <si>
    <t>Abivax SA EUR</t>
  </si>
  <si>
    <t>TVA à payer</t>
  </si>
  <si>
    <t>TVA à recevoir</t>
  </si>
  <si>
    <t>IQVIA 107 PTC &amp; IF &amp; Q2</t>
  </si>
  <si>
    <t>IQVIA 107 milestone</t>
  </si>
  <si>
    <t>IQVIA 106 milestone</t>
  </si>
  <si>
    <t>IQVIA 106 PTC &amp; IF &amp; Q2</t>
  </si>
  <si>
    <t>Abivax SA USD</t>
  </si>
  <si>
    <t>Heights</t>
  </si>
  <si>
    <t>PGE</t>
  </si>
  <si>
    <t xml:space="preserve">IQVIA 105 milestone </t>
  </si>
  <si>
    <t xml:space="preserve">IQVIA 105 PTC &amp; IF &amp; Q2 </t>
  </si>
  <si>
    <t>Amount are VAT excluded</t>
  </si>
  <si>
    <t>Budget</t>
  </si>
  <si>
    <t>IQVIA 104 PTC &amp; IF &amp; Q2</t>
  </si>
  <si>
    <t>IQVIA 104 milestone</t>
  </si>
  <si>
    <t>IQVIA CD milestone</t>
  </si>
  <si>
    <t>IQVIA CD PTC &amp; IF &amp; Q2</t>
  </si>
  <si>
    <t>Total</t>
  </si>
  <si>
    <t>Actual</t>
  </si>
  <si>
    <t>IQVIA CD ajustment budget</t>
  </si>
  <si>
    <t>IQVIA CD ajustment 10%</t>
  </si>
  <si>
    <t xml:space="preserve">Source : </t>
  </si>
  <si>
    <t>Abivax SA</t>
  </si>
  <si>
    <t>Abivax LLC</t>
  </si>
  <si>
    <t>Salaire net aprés PAS</t>
  </si>
  <si>
    <t>Bonus net sans PAS</t>
  </si>
  <si>
    <t>Urssaf</t>
  </si>
  <si>
    <t>Retraite</t>
  </si>
  <si>
    <t>Prévoyance</t>
  </si>
  <si>
    <t>Mutuelle</t>
  </si>
  <si>
    <t>Dgfip (PAS)</t>
  </si>
  <si>
    <t>Forfait social jetons de présence (urssaf)</t>
  </si>
  <si>
    <t>AGA MdG</t>
  </si>
  <si>
    <t>AGA Abivax SA (French employee)</t>
  </si>
  <si>
    <t>Jetons de présence</t>
  </si>
  <si>
    <t>Kreos Tranche A</t>
  </si>
  <si>
    <t>Kreos Tranche B</t>
  </si>
  <si>
    <t>Kreos Tranche C</t>
  </si>
  <si>
    <t>Claret Tranche A</t>
  </si>
  <si>
    <t>Claret Tranche B</t>
  </si>
  <si>
    <t>Claret Tranche C</t>
  </si>
  <si>
    <t>Total Salary &amp; Social Charges</t>
  </si>
  <si>
    <t>Total jetons</t>
  </si>
  <si>
    <t>Total AGA</t>
  </si>
  <si>
    <t>Total HR related</t>
  </si>
  <si>
    <t>P&amp;L</t>
  </si>
  <si>
    <t>Contractors</t>
  </si>
  <si>
    <t>Monthly</t>
  </si>
  <si>
    <t>Total IQVIA</t>
  </si>
  <si>
    <t>Balance SA-EUR - begining of month</t>
  </si>
  <si>
    <t>Balance SA-EUR - end of month</t>
  </si>
  <si>
    <t>€</t>
  </si>
  <si>
    <t>$</t>
  </si>
  <si>
    <t>Contractors EUR</t>
  </si>
  <si>
    <t>Contractors USD</t>
  </si>
  <si>
    <t>Balance SA-USD - begining of month</t>
  </si>
  <si>
    <t>Balance SA-USD - end of month</t>
  </si>
  <si>
    <t>Suppliers + Contractos</t>
  </si>
  <si>
    <t>ALL Suppliers without contractors with Risk Adj.</t>
  </si>
  <si>
    <t>Entity</t>
  </si>
  <si>
    <t>Devise</t>
  </si>
  <si>
    <t>LLC</t>
  </si>
  <si>
    <t>USD</t>
  </si>
  <si>
    <t>French</t>
  </si>
  <si>
    <t>EUR</t>
  </si>
  <si>
    <t>monthly</t>
  </si>
  <si>
    <t>ALL Suppliers without contractors</t>
  </si>
  <si>
    <t>ALL Suppliers without IQVIA/Contractors with Risk Adj.</t>
  </si>
  <si>
    <t>IQVIA</t>
  </si>
  <si>
    <t>Suppliers minus Contractors - Abivax SA $</t>
  </si>
  <si>
    <t>Abivax SA EUR + USD</t>
  </si>
  <si>
    <t>EUR-USD m-1</t>
  </si>
  <si>
    <t>EUR-USD m</t>
  </si>
  <si>
    <t>RTC</t>
  </si>
  <si>
    <t>Other Suppliers € (HT) with 10% R/Adj.</t>
  </si>
  <si>
    <t>Contractor (HT) with 10% R/Adj.</t>
  </si>
  <si>
    <t>Contractor (HT) with 10% Risk Adj.</t>
  </si>
  <si>
    <t>Other Suppliers (HT) with 10% Risk Adj.</t>
  </si>
  <si>
    <t>Bank fees</t>
  </si>
  <si>
    <t>Interets in</t>
  </si>
  <si>
    <t>BSA cash in</t>
  </si>
  <si>
    <t>AGA Abivax SA (US employee)</t>
  </si>
  <si>
    <t>Payroll</t>
  </si>
  <si>
    <t>Balance LLC - USD - begining of month</t>
  </si>
  <si>
    <t>Balance LLC - USD - end of month</t>
  </si>
  <si>
    <t>Suppliers minus Contractors - Abivax LLC $</t>
  </si>
  <si>
    <t>Abivax SA &amp; LLC</t>
  </si>
  <si>
    <t>Abivax SA + LLC</t>
  </si>
  <si>
    <t>Abivax LLC USD expressed in EUR</t>
  </si>
  <si>
    <t>en EUR</t>
  </si>
  <si>
    <t>EURUSD - Budget</t>
  </si>
  <si>
    <t>Suppliers minus IQVIA  &amp; Contractors &amp; Jetons - Abivax SA €</t>
  </si>
  <si>
    <t>ALL Suppliers without IQVIA/Contractors/Jetons</t>
  </si>
  <si>
    <t>Variance</t>
  </si>
  <si>
    <t>Cash</t>
  </si>
  <si>
    <t>Diff</t>
  </si>
  <si>
    <t>Board</t>
  </si>
  <si>
    <t>Suppliers SA EUR-USD et LLC-USD - vBudget (en ligne avec Abivax Financials)</t>
  </si>
  <si>
    <t>car Q1&gt;Q4</t>
  </si>
  <si>
    <t>Q4 &gt;Q1</t>
  </si>
  <si>
    <t>1,3 m€ en plus par mois janvier par rapport à décembre</t>
  </si>
  <si>
    <t xml:space="preserve">avec taux budget   ---&gt; perte : </t>
  </si>
  <si>
    <t>Abivax LLC USD</t>
  </si>
  <si>
    <t>Cash Forecast - V budget</t>
  </si>
  <si>
    <t>Total eq-Budget SA</t>
  </si>
  <si>
    <t>Total eq-Budget LLC</t>
  </si>
  <si>
    <t>budget</t>
  </si>
  <si>
    <t>différence</t>
  </si>
  <si>
    <t>Cas Vboard</t>
  </si>
  <si>
    <t>SA EUR</t>
  </si>
  <si>
    <t>SA USD</t>
  </si>
  <si>
    <t>OK</t>
  </si>
  <si>
    <t>Total Budget en euros</t>
  </si>
  <si>
    <t>check</t>
  </si>
  <si>
    <t>IQVIA Phase 3 &amp; CD forecast BUDGET MAJ2002025 pour ajustment CD : -4,3 m€</t>
  </si>
  <si>
    <t xml:space="preserve">car notamment : factures novembre (notament milestone 70%) payées en janvier 25 </t>
  </si>
  <si>
    <t>usd</t>
  </si>
  <si>
    <t>eur</t>
  </si>
  <si>
    <t>bcp plus de paiement en janvier (budget 2024) que décembre 2025 (passera en cash 2026) : 5,6 m€ en plus</t>
  </si>
  <si>
    <t>Balance SA -EUR+USD- begining of month</t>
  </si>
  <si>
    <t>IQVIA Vision Summary Budget, total pour cash forecast-: 79,7m€</t>
  </si>
  <si>
    <t>Forecast-Budget</t>
  </si>
  <si>
    <t>Total debt</t>
  </si>
  <si>
    <t>Abivax SA- Balance</t>
  </si>
  <si>
    <t>interests cash in</t>
  </si>
  <si>
    <t>Cash Balance - Abivax LLC</t>
  </si>
  <si>
    <t>SA + LLC</t>
  </si>
  <si>
    <t>Cash Forecast - VBudget</t>
  </si>
  <si>
    <t>check (negligeable)</t>
  </si>
  <si>
    <t>Source : Suppliers SA EUR-USD et LLC-USD - vBudget</t>
  </si>
  <si>
    <t>Vérification par rapport à la version Budget/Board (Abivax Fianncials)</t>
  </si>
  <si>
    <t>Vérification par rapport à la version Budget du Board janvier</t>
  </si>
  <si>
    <t>1,3 en moins car DAP …</t>
  </si>
  <si>
    <t>Comparison with Budget</t>
  </si>
  <si>
    <t>update 20/03/2025</t>
  </si>
  <si>
    <t>update mais tjrs chiffres budget</t>
  </si>
  <si>
    <t>update Bonus et pas de R/Adj. Sur salaire</t>
  </si>
  <si>
    <t>update, pas de risk adj. Sur jetons</t>
  </si>
  <si>
    <t>ICI</t>
  </si>
  <si>
    <t>update baisse taux pour Kreos &amp; Claret</t>
  </si>
  <si>
    <t>update car paiement intérêts pour Heights car cours action trop bas</t>
  </si>
  <si>
    <t>Cash Forecast - Actual</t>
  </si>
  <si>
    <t>update, pas de risk adj.</t>
  </si>
  <si>
    <t>Abivax SA USD - Balance</t>
  </si>
  <si>
    <t>Balance SA EUR-USD end of month</t>
  </si>
  <si>
    <t>Balance SA EUR-USD begining of month</t>
  </si>
  <si>
    <t>même que Vbudget</t>
  </si>
  <si>
    <t>retiré le risk adj.  Pour salaires</t>
  </si>
  <si>
    <t>AGA US</t>
  </si>
  <si>
    <t>AGA cash forecast (Plan Long terme/previsionnel de trésorerie)</t>
  </si>
  <si>
    <t>Abivax SA USD- Balance</t>
  </si>
  <si>
    <t>Cash Balance - Abivax LLC - USD</t>
  </si>
  <si>
    <t>Cash Balance - Abivax LLC expressed in EUR</t>
  </si>
  <si>
    <t>Montly variance</t>
  </si>
  <si>
    <t>Comparison</t>
  </si>
  <si>
    <t>Paid VAT</t>
  </si>
  <si>
    <t>received VAT</t>
  </si>
  <si>
    <t>AGA MdG - Part patronale</t>
  </si>
  <si>
    <t>Comparison with Budget (12 month, same methodology so diferent than Board)</t>
  </si>
  <si>
    <t>Balance SA -EUR+USD- end of month</t>
  </si>
  <si>
    <t>k€</t>
  </si>
  <si>
    <t>k$</t>
  </si>
  <si>
    <t>Balance SA + LLC -EUR+USD- begining of month</t>
  </si>
  <si>
    <t>Balance SA +LLC  -EUR+USD- end of month</t>
  </si>
  <si>
    <t>Abivax SA, EUR + USD</t>
  </si>
  <si>
    <t>Abivax LLC, USD expressed in EUR</t>
  </si>
  <si>
    <t>Internal wire</t>
  </si>
  <si>
    <t>SA €</t>
  </si>
  <si>
    <t>SA $</t>
  </si>
  <si>
    <t>check SA €+USD-€ eq</t>
  </si>
  <si>
    <t>BSA/BCE cash in</t>
  </si>
  <si>
    <t>Change USD-&gt; EUR</t>
  </si>
  <si>
    <t>Change USD -&gt; EUR</t>
  </si>
  <si>
    <t>Capital Raised</t>
  </si>
  <si>
    <t>Deposit</t>
  </si>
  <si>
    <t>Other Suppliers € (HT)</t>
  </si>
  <si>
    <t>Contractor (HT)</t>
  </si>
  <si>
    <t>AGA Uptevia STC</t>
  </si>
  <si>
    <t>AGA charges LLC</t>
  </si>
  <si>
    <t>monthly value variation FCP (Ellipsis)</t>
  </si>
  <si>
    <t>Codéis interest in</t>
  </si>
  <si>
    <t xml:space="preserve">Other Suppliers (HT) </t>
  </si>
  <si>
    <t>Total Interets SA + LLC (This file)</t>
  </si>
  <si>
    <t>check = 0</t>
  </si>
  <si>
    <t>&gt;0 mais NS car en €  (interets on deposit)</t>
  </si>
  <si>
    <t>Citi cash in</t>
  </si>
  <si>
    <t>2026 Cash Forecast</t>
  </si>
  <si>
    <t>Q1 2026</t>
  </si>
  <si>
    <t>Q2 2026</t>
  </si>
  <si>
    <t>Q3 2026</t>
  </si>
  <si>
    <t>Q4 2026</t>
  </si>
  <si>
    <t>Novembre</t>
  </si>
  <si>
    <t>récupéré</t>
  </si>
  <si>
    <t>janvier</t>
  </si>
  <si>
    <t>Decembre</t>
  </si>
  <si>
    <t>CIR 2020</t>
  </si>
  <si>
    <t>check SA € - IFRS cash variation</t>
  </si>
  <si>
    <t>(from "analyse cash out", row 18</t>
  </si>
  <si>
    <t>(from "analyse cash out", row 11</t>
  </si>
  <si>
    <t>check SA €- € eq</t>
  </si>
  <si>
    <t>to add</t>
  </si>
  <si>
    <t>(from "analyse cash out", row 17</t>
  </si>
  <si>
    <t>(from "analyse cash out", row 46</t>
  </si>
  <si>
    <t>Total Interets (from "analyse cash out", row 66)</t>
  </si>
  <si>
    <t xml:space="preserve">Other Suppliers € (HT) </t>
  </si>
  <si>
    <t>Other Suppliers (HT)</t>
  </si>
  <si>
    <t xml:space="preserve">Contractor (HT) </t>
  </si>
  <si>
    <t>AGA MdG - Part patronales</t>
  </si>
  <si>
    <t>AGA MdG - Part salariales</t>
  </si>
  <si>
    <t>AGA MdG -Remboursement MdG - Part salariales</t>
  </si>
  <si>
    <t>update % avec taux Matt</t>
  </si>
  <si>
    <t>HR</t>
  </si>
  <si>
    <t xml:space="preserve">voir </t>
  </si>
  <si>
    <t>Suppliers SA EUR-USD et LLC-USD -vBudget 2026</t>
  </si>
  <si>
    <t>Bonus dispatch 2026 - 20260602</t>
  </si>
  <si>
    <t>Contractors USD-LLC</t>
  </si>
  <si>
    <t>Contractors USD-SA</t>
  </si>
  <si>
    <t>Contractors EUR-SA</t>
  </si>
  <si>
    <t>Payroll LLC (Salary)</t>
  </si>
  <si>
    <t>Payroll LLC (Charges)</t>
  </si>
  <si>
    <t>Bonus LLC (Gross)</t>
  </si>
  <si>
    <t>Bonus LLC (Charges)</t>
  </si>
  <si>
    <t>Verif</t>
  </si>
  <si>
    <t>par quarter ???</t>
  </si>
  <si>
    <t>IQVIA Ph3 - CO</t>
  </si>
  <si>
    <t>IQVIA CD -CO</t>
  </si>
  <si>
    <t>DS et MM</t>
  </si>
  <si>
    <t>retirer des AGA et remplacer par le virement prévu</t>
  </si>
  <si>
    <t>AGA Fr</t>
  </si>
  <si>
    <t>retirer Saafa</t>
  </si>
  <si>
    <t>séparer remboursement MdG</t>
  </si>
  <si>
    <t>IQVIA Vision Summary Reforecast 20260223</t>
  </si>
  <si>
    <t>Budget by quarter</t>
  </si>
  <si>
    <t>CO2 ! 6 m€ ppour 2026</t>
  </si>
  <si>
    <t>pourquoi 14 m€ versus 10 m€ au budget et 14 m€ sur couts projets</t>
  </si>
  <si>
    <t>French + LLC</t>
  </si>
  <si>
    <t>French-EUR</t>
  </si>
  <si>
    <t>French-USD</t>
  </si>
  <si>
    <t>Total Suppliers</t>
  </si>
  <si>
    <t>Jetons</t>
  </si>
  <si>
    <t>N/A</t>
  </si>
  <si>
    <t>Non cash</t>
  </si>
  <si>
    <t>Verification</t>
  </si>
  <si>
    <t>Budget 2026 FTE - SA</t>
  </si>
  <si>
    <t>Budget 2026 FTE - LLC</t>
  </si>
  <si>
    <t>Budget 2026 AGA LLC</t>
  </si>
  <si>
    <t>Budget 2026 AGA SA</t>
  </si>
  <si>
    <t>Total budget 2026 (avec ce fichier)</t>
  </si>
  <si>
    <t>265 m€</t>
  </si>
  <si>
    <t>CO impact :</t>
  </si>
  <si>
    <t>RD - Clinical_budget 2026-NBE 10.11update</t>
  </si>
  <si>
    <t>Done with Clinical Trial follow-up and budget for CO impact</t>
  </si>
  <si>
    <t>milestone DBL 105 à ajouter au Reforecast : 2,4 m€</t>
  </si>
  <si>
    <t>paiement janvier de facture de décembre 2025 + 10 m€ mais -9 m€ pour 107 (65% monitoring et PTC)</t>
  </si>
  <si>
    <t>54 en cash versus 51 au budget : +3 m€</t>
  </si>
  <si>
    <t>Budget : 10,5 me CO4 Ph3 sur 2026</t>
  </si>
  <si>
    <t>réponse : -3m€ de FNP en janvier; +1 m€ de paiement jnvier et -1m€ factures dec 2026</t>
  </si>
  <si>
    <t>Explications</t>
  </si>
  <si>
    <t>3m€ extourne FNP, 1 m€ dépenses janvier/dece, +2,4 milestone 105</t>
  </si>
  <si>
    <t>905 k€ versus 770 k€, et charges sociales</t>
  </si>
  <si>
    <t xml:space="preserve">charges sociales forfait social intégré au budget ? </t>
  </si>
  <si>
    <t>IQVIA advances</t>
  </si>
  <si>
    <t>Advances for IQVIA</t>
  </si>
  <si>
    <t>FP&amp;A - accounting</t>
  </si>
  <si>
    <t>in m€</t>
  </si>
  <si>
    <t>TOTAL UC108</t>
  </si>
  <si>
    <t>accounting</t>
  </si>
  <si>
    <t>Q1 2027</t>
  </si>
  <si>
    <t>TOTAL UC105</t>
  </si>
  <si>
    <t>FP&amp;A</t>
  </si>
  <si>
    <t>TOTAL UC106</t>
  </si>
  <si>
    <t>TOTAL UC107</t>
  </si>
  <si>
    <t>Q4 2031</t>
  </si>
  <si>
    <t>TOTAL Orgapharm</t>
  </si>
  <si>
    <t>Update versus Budget</t>
  </si>
  <si>
    <t>Bonus</t>
  </si>
  <si>
    <t>AGA Abivax SA</t>
  </si>
  <si>
    <t>Safaa Abbas</t>
  </si>
  <si>
    <t>Mary Mantock</t>
  </si>
  <si>
    <t>withdraw</t>
  </si>
  <si>
    <t>AGA Abivax LLC</t>
  </si>
  <si>
    <t>Social charges</t>
  </si>
  <si>
    <t>previous</t>
  </si>
  <si>
    <t>now</t>
  </si>
  <si>
    <t>m€</t>
  </si>
  <si>
    <t>Janvier</t>
  </si>
  <si>
    <t>en attente</t>
  </si>
  <si>
    <t>Cash out Payroll 2026, V BUDGET</t>
  </si>
  <si>
    <t>Cash out Payroll 2026, V Forecast</t>
  </si>
  <si>
    <t>calcul cash out AGA 20260226</t>
  </si>
  <si>
    <t>jetons : mail FG</t>
  </si>
  <si>
    <t>Bonus dispatch 2026 - 20260602 pour bonus MdG</t>
  </si>
  <si>
    <t>budget (dec 2025)</t>
  </si>
  <si>
    <t>V Board décembre 2025</t>
  </si>
  <si>
    <t>O:\Support\Finance\Reporting\2025\1. Board 2025\12- December\Back-Up</t>
  </si>
  <si>
    <t>Source : calcul cash out AGA 108 € puis +20% 20251203 v3</t>
  </si>
  <si>
    <t>AGA</t>
  </si>
  <si>
    <t>Jetons : Budget</t>
  </si>
  <si>
    <t>Capex</t>
  </si>
  <si>
    <t>ABIVAX SA</t>
  </si>
  <si>
    <t>ABIVAX LLC</t>
  </si>
  <si>
    <t>Version présenté au board decembre</t>
  </si>
  <si>
    <t>Version présenté au board mars 'en cours"</t>
  </si>
  <si>
    <t>update 2025 : Cash (WCR+ 8 m€), P&amp;L (-2 m€), RTC (-2 m€) -&gt; +4 m€ ou + 4 m$</t>
  </si>
  <si>
    <t>non updated : 2026 : AGA</t>
  </si>
  <si>
    <t>en USD</t>
  </si>
  <si>
    <t>Forecast</t>
  </si>
  <si>
    <t>100% to 30%</t>
  </si>
  <si>
    <t>DS</t>
  </si>
  <si>
    <t>impact 2026 FY</t>
  </si>
  <si>
    <t>SP janvuary</t>
  </si>
  <si>
    <t>if-, less expenses</t>
  </si>
  <si>
    <t>negligable</t>
  </si>
  <si>
    <t>Comparison Forecast- Budget</t>
  </si>
  <si>
    <t>impact FX</t>
  </si>
  <si>
    <t>if USDEUR 1,16 at 31/12/2026</t>
  </si>
  <si>
    <t>de plus si EURUSD a 1,16 car on rmaène tout en eur</t>
  </si>
  <si>
    <t>Board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</si>
</sst>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\ &quot;€&quot;;[Red]\-#,##0\ &quot;€&quot;"/>
    <numFmt numFmtId="165" formatCode="_-* #,##0.00_-;\-* #,##0.00_-;_-* &quot;-&quot;??_-;_-@_-"/>
    <numFmt numFmtId="166" formatCode="#,##0.0000"/>
    <numFmt numFmtId="167" formatCode="#,##0,;\-#,##0,"/>
    <numFmt numFmtId="168" formatCode="mmm"/>
    <numFmt numFmtId="169" formatCode="#,##0,"/>
    <numFmt numFmtId="170" formatCode="#,##0.000_ ;\-#,##0.000\ "/>
    <numFmt numFmtId="171" formatCode="#,##0.0"/>
    <numFmt numFmtId="172" formatCode="0.0"/>
    <numFmt numFmtId="173" formatCode="#,##0.0000_ ;\-#,##0.0000\ "/>
  </numFmts>
  <fonts count="24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i/>
      <sz val="11"/>
      <name val="Calibri"/>
      <family val="2"/>
    </font>
    <font>
      <i/>
      <sz val="11"/>
      <color theme="1"/>
      <name val="Calibri"/>
      <family val="2"/>
    </font>
    <font>
      <sz val="9"/>
      <color theme="4" tint="-0.499984740745262"/>
      <name val="Verdana"/>
      <family val="2"/>
    </font>
    <font>
      <b/>
      <u/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0.79998168889431442"/>
      </left>
      <right style="thin">
        <color theme="4" tint="0.79998168889431442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3" tint="0.749961851863155"/>
      </left>
      <right/>
      <top/>
      <bottom/>
      <diagonal/>
    </border>
    <border>
      <left style="thin">
        <color theme="3" tint="0.89996032593768116"/>
      </left>
      <right style="thin">
        <color theme="3" tint="0.89996032593768116"/>
      </right>
      <top style="thin">
        <color theme="3" tint="0.89996032593768116"/>
      </top>
      <bottom style="thin">
        <color theme="3" tint="0.89996032593768116"/>
      </bottom>
      <diagonal/>
    </border>
  </borders>
  <cellStyleXfs count="4">
    <xf numFmtId="0" fontId="0" fillId="0" borderId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</cellStyleXfs>
  <cellXfs count="107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3" fontId="0" fillId="0" borderId="0" xfId="0" applyNumberFormat="1" applyAlignment="1">
      <alignment horizontal="center" vertical="center"/>
    </xf>
    <xf numFmtId="0" fontId="0" fillId="2" borderId="0" xfId="0" applyFill="1"/>
    <xf numFmtId="14" fontId="0" fillId="2" borderId="0" xfId="0" applyNumberFormat="1" applyFill="1"/>
    <xf numFmtId="0" fontId="0" fillId="2" borderId="0" xfId="0" applyFill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0" xfId="0" applyNumberFormat="1"/>
    <xf numFmtId="0" fontId="5" fillId="0" borderId="0" xfId="0" applyFont="1"/>
    <xf numFmtId="14" fontId="0" fillId="2" borderId="0" xfId="0" applyNumberFormat="1" applyFill="1" applyAlignment="1">
      <alignment horizontal="center" vertical="center"/>
    </xf>
    <xf numFmtId="0" fontId="1" fillId="2" borderId="0" xfId="0" applyFont="1" applyFill="1"/>
    <xf numFmtId="0" fontId="5" fillId="2" borderId="0" xfId="0" applyFont="1" applyFill="1"/>
    <xf numFmtId="3" fontId="5" fillId="3" borderId="1" xfId="0" applyNumberFormat="1" applyFont="1" applyFill="1" applyBorder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3" fontId="7" fillId="5" borderId="0" xfId="0" applyNumberFormat="1" applyFont="1" applyFill="1" applyAlignment="1">
      <alignment horizontal="center" vertical="center"/>
    </xf>
    <xf numFmtId="3" fontId="0" fillId="3" borderId="2" xfId="0" applyNumberFormat="1" applyFill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" fillId="3" borderId="0" xfId="0" applyFont="1" applyFill="1"/>
    <xf numFmtId="3" fontId="0" fillId="3" borderId="1" xfId="0" applyNumberFormat="1" applyFill="1" applyBorder="1" applyAlignment="1">
      <alignment horizontal="center" vertical="center"/>
    </xf>
    <xf numFmtId="3" fontId="8" fillId="7" borderId="0" xfId="0" applyNumberFormat="1" applyFont="1" applyFill="1" applyAlignment="1">
      <alignment horizontal="center" vertical="center" wrapText="1"/>
    </xf>
    <xf numFmtId="49" fontId="9" fillId="7" borderId="0" xfId="0" applyNumberFormat="1" applyFont="1" applyFill="1" applyAlignment="1">
      <alignment horizontal="center" vertical="center"/>
    </xf>
    <xf numFmtId="49" fontId="10" fillId="7" borderId="0" xfId="0" applyNumberFormat="1" applyFont="1" applyFill="1" applyAlignment="1">
      <alignment horizontal="center" vertical="center"/>
    </xf>
    <xf numFmtId="3" fontId="8" fillId="3" borderId="2" xfId="1" applyNumberFormat="1" applyFont="1" applyFill="1" applyBorder="1" applyAlignment="1">
      <alignment horizontal="center" vertical="center"/>
    </xf>
    <xf numFmtId="3" fontId="8" fillId="3" borderId="2" xfId="0" applyNumberFormat="1" applyFont="1" applyFill="1" applyBorder="1" applyAlignment="1">
      <alignment horizontal="center" vertical="center"/>
    </xf>
    <xf numFmtId="3" fontId="8" fillId="3" borderId="2" xfId="1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49" fontId="13" fillId="7" borderId="0" xfId="0" applyNumberFormat="1" applyFont="1" applyFill="1" applyAlignment="1">
      <alignment horizontal="center" vertical="center"/>
    </xf>
    <xf numFmtId="3" fontId="14" fillId="3" borderId="2" xfId="1" applyNumberFormat="1" applyFont="1" applyFill="1" applyBorder="1" applyAlignment="1">
      <alignment horizontal="center" vertical="center" wrapText="1"/>
    </xf>
    <xf numFmtId="3" fontId="11" fillId="0" borderId="0" xfId="1" applyNumberFormat="1" applyFont="1" applyFill="1" applyBorder="1" applyAlignment="1">
      <alignment horizontal="center" vertical="center"/>
    </xf>
    <xf numFmtId="0" fontId="0" fillId="6" borderId="0" xfId="0" applyFill="1"/>
    <xf numFmtId="166" fontId="15" fillId="0" borderId="3" xfId="0" applyNumberFormat="1" applyFont="1" applyBorder="1" applyAlignment="1">
      <alignment horizontal="center" vertical="center"/>
    </xf>
    <xf numFmtId="166" fontId="15" fillId="0" borderId="4" xfId="0" applyNumberFormat="1" applyFont="1" applyBorder="1" applyAlignment="1">
      <alignment horizontal="center" vertical="center"/>
    </xf>
    <xf numFmtId="3" fontId="0" fillId="6" borderId="0" xfId="0" applyNumberFormat="1" applyFill="1"/>
    <xf numFmtId="0" fontId="5" fillId="0" borderId="0" xfId="0" applyFont="1" applyAlignment="1">
      <alignment horizontal="center"/>
    </xf>
    <xf numFmtId="3" fontId="0" fillId="6" borderId="2" xfId="0" applyNumberFormat="1" applyFill="1" applyBorder="1" applyAlignment="1">
      <alignment horizontal="center" vertical="center"/>
    </xf>
    <xf numFmtId="3" fontId="1" fillId="0" borderId="0" xfId="0" applyNumberFormat="1" applyFont="1"/>
    <xf numFmtId="0" fontId="16" fillId="0" borderId="0" xfId="0" applyFont="1"/>
    <xf numFmtId="3" fontId="0" fillId="8" borderId="0" xfId="0" applyNumberFormat="1" applyFill="1"/>
    <xf numFmtId="3" fontId="0" fillId="0" borderId="0" xfId="0" applyNumberFormat="1" applyAlignment="1">
      <alignment horizontal="left" vertical="center"/>
    </xf>
    <xf numFmtId="0" fontId="5" fillId="7" borderId="0" xfId="0" applyFont="1" applyFill="1"/>
    <xf numFmtId="0" fontId="0" fillId="7" borderId="0" xfId="0" applyFill="1"/>
    <xf numFmtId="4" fontId="8" fillId="3" borderId="2" xfId="1" applyNumberFormat="1" applyFont="1" applyFill="1" applyBorder="1" applyAlignment="1">
      <alignment horizontal="center" vertical="center"/>
    </xf>
    <xf numFmtId="0" fontId="17" fillId="6" borderId="0" xfId="0" applyFont="1" applyFill="1"/>
    <xf numFmtId="3" fontId="0" fillId="4" borderId="1" xfId="0" applyNumberFormat="1" applyFill="1" applyBorder="1" applyAlignment="1">
      <alignment horizontal="center" vertical="center"/>
    </xf>
    <xf numFmtId="0" fontId="1" fillId="4" borderId="0" xfId="0" applyFont="1" applyFill="1"/>
    <xf numFmtId="3" fontId="0" fillId="9" borderId="1" xfId="0" applyNumberFormat="1" applyFill="1" applyBorder="1" applyAlignment="1">
      <alignment horizontal="center" vertical="center"/>
    </xf>
    <xf numFmtId="166" fontId="15" fillId="3" borderId="3" xfId="0" applyNumberFormat="1" applyFont="1" applyFill="1" applyBorder="1" applyAlignment="1">
      <alignment horizontal="center" vertical="center"/>
    </xf>
    <xf numFmtId="166" fontId="15" fillId="0" borderId="0" xfId="0" applyNumberFormat="1" applyFont="1" applyAlignment="1">
      <alignment horizontal="center" vertical="center"/>
    </xf>
    <xf numFmtId="0" fontId="0" fillId="2" borderId="0" xfId="0" quotePrefix="1" applyFill="1"/>
    <xf numFmtId="167" fontId="0" fillId="3" borderId="1" xfId="0" applyNumberFormat="1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5" fillId="3" borderId="1" xfId="0" applyNumberFormat="1" applyFont="1" applyFill="1" applyBorder="1" applyAlignment="1">
      <alignment horizontal="center" vertical="center"/>
    </xf>
    <xf numFmtId="167" fontId="0" fillId="0" borderId="0" xfId="0" applyNumberFormat="1"/>
    <xf numFmtId="168" fontId="0" fillId="2" borderId="0" xfId="0" applyNumberFormat="1" applyFill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9" fontId="5" fillId="3" borderId="1" xfId="0" applyNumberFormat="1" applyFont="1" applyFill="1" applyBorder="1" applyAlignment="1">
      <alignment horizontal="center" vertical="center"/>
    </xf>
    <xf numFmtId="0" fontId="2" fillId="3" borderId="0" xfId="0" applyFont="1" applyFill="1"/>
    <xf numFmtId="0" fontId="0" fillId="3" borderId="0" xfId="0" applyFill="1"/>
    <xf numFmtId="168" fontId="0" fillId="3" borderId="0" xfId="0" applyNumberFormat="1" applyFill="1" applyAlignment="1">
      <alignment horizontal="center" vertical="center"/>
    </xf>
    <xf numFmtId="167" fontId="0" fillId="3" borderId="0" xfId="0" applyNumberFormat="1" applyFill="1"/>
    <xf numFmtId="170" fontId="15" fillId="0" borderId="3" xfId="0" applyNumberFormat="1" applyFont="1" applyBorder="1" applyAlignment="1">
      <alignment horizontal="center" vertical="center"/>
    </xf>
    <xf numFmtId="169" fontId="0" fillId="0" borderId="3" xfId="0" applyNumberForma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/>
    </xf>
    <xf numFmtId="168" fontId="0" fillId="9" borderId="0" xfId="0" applyNumberFormat="1" applyFill="1" applyAlignment="1">
      <alignment horizontal="center" vertical="center"/>
    </xf>
    <xf numFmtId="167" fontId="5" fillId="9" borderId="1" xfId="0" applyNumberFormat="1" applyFont="1" applyFill="1" applyBorder="1" applyAlignment="1">
      <alignment horizontal="center" vertical="center"/>
    </xf>
    <xf numFmtId="167" fontId="0" fillId="8" borderId="1" xfId="0" applyNumberFormat="1" applyFill="1" applyBorder="1" applyAlignment="1">
      <alignment horizontal="center" vertical="center"/>
    </xf>
    <xf numFmtId="0" fontId="20" fillId="2" borderId="0" xfId="0" applyFont="1" applyFill="1"/>
    <xf numFmtId="3" fontId="0" fillId="0" borderId="5" xfId="0" applyNumberFormat="1" applyBorder="1" applyAlignment="1">
      <alignment horizontal="center" vertical="center"/>
    </xf>
    <xf numFmtId="0" fontId="1" fillId="6" borderId="0" xfId="0" applyFont="1" applyFill="1"/>
    <xf numFmtId="3" fontId="11" fillId="3" borderId="2" xfId="0" applyNumberFormat="1" applyFont="1" applyFill="1" applyBorder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0" fillId="7" borderId="1" xfId="0" applyFill="1" applyBorder="1"/>
    <xf numFmtId="169" fontId="5" fillId="8" borderId="1" xfId="0" applyNumberFormat="1" applyFont="1" applyFill="1" applyBorder="1" applyAlignment="1">
      <alignment horizontal="center" vertical="center"/>
    </xf>
    <xf numFmtId="167" fontId="5" fillId="8" borderId="1" xfId="0" applyNumberFormat="1" applyFont="1" applyFill="1" applyBorder="1" applyAlignment="1">
      <alignment horizontal="center" vertical="center"/>
    </xf>
    <xf numFmtId="0" fontId="5" fillId="11" borderId="0" xfId="0" applyFont="1" applyFill="1" applyAlignment="1">
      <alignment horizontal="left"/>
    </xf>
    <xf numFmtId="3" fontId="11" fillId="11" borderId="0" xfId="1" applyNumberFormat="1" applyFont="1" applyFill="1" applyBorder="1" applyAlignment="1">
      <alignment horizontal="left" vertical="center"/>
    </xf>
    <xf numFmtId="0" fontId="0" fillId="12" borderId="0" xfId="0" applyFill="1"/>
    <xf numFmtId="3" fontId="0" fillId="12" borderId="6" xfId="0" applyNumberFormat="1" applyFill="1" applyBorder="1"/>
    <xf numFmtId="3" fontId="0" fillId="2" borderId="0" xfId="0" applyNumberFormat="1" applyFill="1"/>
    <xf numFmtId="0" fontId="21" fillId="0" borderId="0" xfId="0" applyFont="1"/>
    <xf numFmtId="0" fontId="22" fillId="0" borderId="0" xfId="0" applyFont="1"/>
    <xf numFmtId="170" fontId="15" fillId="9" borderId="3" xfId="0" applyNumberFormat="1" applyFont="1" applyFill="1" applyBorder="1" applyAlignment="1">
      <alignment horizontal="center" vertical="center"/>
    </xf>
    <xf numFmtId="166" fontId="15" fillId="9" borderId="3" xfId="0" applyNumberFormat="1" applyFont="1" applyFill="1" applyBorder="1" applyAlignment="1">
      <alignment horizontal="center" vertical="center"/>
    </xf>
    <xf numFmtId="0" fontId="23" fillId="10" borderId="0" xfId="0" applyFont="1" applyFill="1"/>
    <xf numFmtId="0" fontId="18" fillId="10" borderId="0" xfId="0" applyFont="1" applyFill="1"/>
    <xf numFmtId="0" fontId="18" fillId="9" borderId="5" xfId="0" applyFont="1" applyFill="1" applyBorder="1"/>
    <xf numFmtId="164" fontId="18" fillId="9" borderId="5" xfId="0" applyNumberFormat="1" applyFont="1" applyFill="1" applyBorder="1" applyAlignment="1">
      <alignment horizontal="center" vertical="center"/>
    </xf>
    <xf numFmtId="0" fontId="18" fillId="10" borderId="5" xfId="0" applyFont="1" applyFill="1" applyBorder="1"/>
    <xf numFmtId="164" fontId="18" fillId="10" borderId="5" xfId="0" applyNumberFormat="1" applyFont="1" applyFill="1" applyBorder="1" applyAlignment="1">
      <alignment horizontal="center" vertical="center"/>
    </xf>
    <xf numFmtId="17" fontId="18" fillId="10" borderId="5" xfId="0" applyNumberFormat="1" applyFont="1" applyFill="1" applyBorder="1"/>
    <xf numFmtId="171" fontId="18" fillId="10" borderId="5" xfId="0" applyNumberFormat="1" applyFont="1" applyFill="1" applyBorder="1" applyAlignment="1">
      <alignment horizontal="center" vertical="center"/>
    </xf>
    <xf numFmtId="14" fontId="18" fillId="10" borderId="5" xfId="0" applyNumberFormat="1" applyFont="1" applyFill="1" applyBorder="1"/>
    <xf numFmtId="171" fontId="18" fillId="10" borderId="0" xfId="0" applyNumberFormat="1" applyFont="1" applyFill="1"/>
    <xf numFmtId="167" fontId="5" fillId="3" borderId="0" xfId="0" applyNumberFormat="1" applyFont="1" applyFill="1" applyAlignment="1">
      <alignment horizontal="center" vertical="center"/>
    </xf>
    <xf numFmtId="10" fontId="0" fillId="0" borderId="0" xfId="0" applyNumberFormat="1"/>
    <xf numFmtId="0" fontId="20" fillId="0" borderId="0" xfId="0" applyFont="1"/>
    <xf numFmtId="167" fontId="5" fillId="9" borderId="7" xfId="0" applyNumberFormat="1" applyFont="1" applyFill="1" applyBorder="1" applyAlignment="1">
      <alignment horizontal="center" vertical="center"/>
    </xf>
    <xf numFmtId="0" fontId="0" fillId="0" borderId="0" xfId="0" quotePrefix="1"/>
    <xf numFmtId="172" fontId="0" fillId="0" borderId="0" xfId="0" applyNumberFormat="1" applyAlignment="1">
      <alignment horizontal="center" vertical="center"/>
    </xf>
    <xf numFmtId="172" fontId="0" fillId="0" borderId="0" xfId="0" applyNumberFormat="1"/>
    <xf numFmtId="173" fontId="0" fillId="0" borderId="1" xfId="0" applyNumberFormat="1" applyBorder="1" applyAlignment="1">
      <alignment horizontal="center" vertical="center"/>
    </xf>
    <xf numFmtId="168" fontId="0" fillId="9" borderId="8" xfId="0" applyNumberFormat="1" applyFill="1" applyBorder="1" applyAlignment="1">
      <alignment horizontal="center" vertical="center"/>
    </xf>
    <xf numFmtId="3" fontId="0" fillId="3" borderId="0" xfId="0" applyNumberFormat="1" applyFill="1" applyAlignment="1">
      <alignment horizontal="center" vertical="center"/>
    </xf>
  </cellXfs>
  <cellStyles count="4">
    <cellStyle name="Comma" xfId="1" builtinId="3"/>
    <cellStyle name="Milliers 2" xfId="2" xr:uid="{E76400C6-EBF2-47C5-8411-C1DE8FA7DBB8}"/>
    <cellStyle name="Normal" xfId="0" builtinId="0"/>
    <cellStyle name="Normal 2" xfId="3" xr:uid="{428DB84E-9571-4AB7-9F93-FE304764BB19}"/>
  </cellStyles>
  <dxfs count="12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9FE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628650</xdr:colOff>
      <xdr:row>25</xdr:row>
      <xdr:rowOff>0</xdr:rowOff>
    </xdr:from>
    <xdr:to>
      <xdr:col>7</xdr:col>
      <xdr:colOff>238896</xdr:colOff>
      <xdr:row>28</xdr:row>
      <xdr:rowOff>9606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EFBEF08-2534-75D4-7768-F18361DAD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4762500"/>
          <a:ext cx="5525271" cy="581106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28</xdr:row>
      <xdr:rowOff>133350</xdr:rowOff>
    </xdr:from>
    <xdr:to>
      <xdr:col>8</xdr:col>
      <xdr:colOff>324726</xdr:colOff>
      <xdr:row>32</xdr:row>
      <xdr:rowOff>171562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EC5EF99F-F740-7F0D-42AE-2F973DA5C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5467350"/>
          <a:ext cx="6277851" cy="800212"/>
        </a:xfrm>
        <a:prstGeom prst="rect">
          <a:avLst/>
        </a:prstGeom>
      </xdr:spPr>
    </xdr:pic>
    <xdr:clientData/>
  </xdr:twoCellAnchor>
  <xdr:twoCellAnchor editAs="oneCell">
    <xdr:from>
      <xdr:col>0</xdr:col>
      <xdr:colOff>676275</xdr:colOff>
      <xdr:row>37</xdr:row>
      <xdr:rowOff>66675</xdr:rowOff>
    </xdr:from>
    <xdr:to>
      <xdr:col>7</xdr:col>
      <xdr:colOff>534206</xdr:colOff>
      <xdr:row>39</xdr:row>
      <xdr:rowOff>104833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ECBC77AC-9CD1-7D52-DC2A-B1F5EDA12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6275" y="7115175"/>
          <a:ext cx="5772956" cy="419158"/>
        </a:xfrm>
        <a:prstGeom prst="rect">
          <a:avLst/>
        </a:prstGeom>
      </xdr:spPr>
    </xdr:pic>
    <xdr:clientData/>
  </xdr:twoCellAnchor>
  <xdr:twoCellAnchor editAs="oneCell">
    <xdr:from>
      <xdr:col>0</xdr:col>
      <xdr:colOff>647700</xdr:colOff>
      <xdr:row>40</xdr:row>
      <xdr:rowOff>0</xdr:rowOff>
    </xdr:from>
    <xdr:to>
      <xdr:col>11</xdr:col>
      <xdr:colOff>315506</xdr:colOff>
      <xdr:row>44</xdr:row>
      <xdr:rowOff>85843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0C28B1DC-94E2-3212-EDF3-EC4604E00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7700" y="7620000"/>
          <a:ext cx="8459381" cy="847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0AD52-A2A2-454C-96B7-A9EC33C8EAC2}">
  <sheetPr>
    <tabColor rgb="FFC00000"/>
  </sheetPr>
  <dimension ref="C3:H14"/>
  <sheetViews>
    <sheetView workbookViewId="0">
      <selection activeCell="H27" sqref="H27"/>
    </sheetView>
  </sheetViews>
  <sheetFormatPr defaultColWidth="10.90625" defaultRowHeight="14.5" x14ac:dyDescent="0.35"/>
  <sheetData>
    <row r="3" spans="3:8" x14ac:dyDescent="0.35">
      <c r="C3" t="s">
        <v>150</v>
      </c>
      <c r="G3" t="s">
        <v>230</v>
      </c>
    </row>
    <row r="4" spans="3:8" x14ac:dyDescent="0.35">
      <c r="C4" t="s">
        <v>212</v>
      </c>
      <c r="G4" t="s">
        <v>228</v>
      </c>
      <c r="H4" t="s">
        <v>229</v>
      </c>
    </row>
    <row r="5" spans="3:8" x14ac:dyDescent="0.35">
      <c r="H5" t="s">
        <v>231</v>
      </c>
    </row>
    <row r="11" spans="3:8" x14ac:dyDescent="0.35">
      <c r="C11" t="s">
        <v>224</v>
      </c>
    </row>
    <row r="13" spans="3:8" x14ac:dyDescent="0.35">
      <c r="C13">
        <v>2027</v>
      </c>
    </row>
    <row r="14" spans="3:8" x14ac:dyDescent="0.35">
      <c r="C14" t="s">
        <v>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6D075-11CF-41CA-B140-E34473FB400A}">
  <sheetPr>
    <tabColor theme="1"/>
  </sheetPr>
  <dimension ref="A1"/>
  <sheetViews>
    <sheetView showGridLines="0" workbookViewId="0">
      <selection activeCell="G33" sqref="G33"/>
    </sheetView>
  </sheetViews>
  <sheetFormatPr defaultColWidth="10.54296875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82B2F-E885-4232-A3E9-5010221DEF0E}">
  <sheetPr>
    <tabColor theme="3" tint="0.749992370372631"/>
  </sheetPr>
  <dimension ref="A3:T61"/>
  <sheetViews>
    <sheetView showGridLines="0" workbookViewId="0">
      <selection activeCell="P10" sqref="P10"/>
    </sheetView>
  </sheetViews>
  <sheetFormatPr defaultColWidth="10.54296875" defaultRowHeight="14.5" outlineLevelRow="1" x14ac:dyDescent="0.35"/>
  <cols>
    <col min="2" max="2" width="38.453125" bestFit="1" customWidth="1"/>
    <col min="3" max="3" width="2.54296875" bestFit="1" customWidth="1"/>
    <col min="4" max="4" width="5.453125" customWidth="1"/>
    <col min="5" max="10" width="10.54296875" customWidth="1"/>
    <col min="11" max="11" width="11.453125" customWidth="1"/>
    <col min="12" max="16" width="10.54296875" customWidth="1"/>
    <col min="17" max="17" width="8.54296875" bestFit="1" customWidth="1"/>
    <col min="18" max="18" width="10.81640625" bestFit="1" customWidth="1"/>
  </cols>
  <sheetData>
    <row r="3" spans="1:20" x14ac:dyDescent="0.35">
      <c r="B3" s="3" t="s">
        <v>88</v>
      </c>
      <c r="C3" s="10"/>
      <c r="E3" s="3" t="s">
        <v>188</v>
      </c>
    </row>
    <row r="5" spans="1:20" x14ac:dyDescent="0.35">
      <c r="R5" s="61" t="s">
        <v>317</v>
      </c>
      <c r="S5" s="61"/>
      <c r="T5" s="61"/>
    </row>
    <row r="6" spans="1:20" x14ac:dyDescent="0.35">
      <c r="R6" s="106">
        <v>309118009.23735273</v>
      </c>
      <c r="S6" t="s">
        <v>53</v>
      </c>
    </row>
    <row r="7" spans="1:20" x14ac:dyDescent="0.35">
      <c r="B7" s="3" t="s">
        <v>89</v>
      </c>
      <c r="E7" s="105">
        <v>46023</v>
      </c>
      <c r="F7" s="105">
        <f t="shared" ref="F7" si="0">EDATE(E7,1)</f>
        <v>46054</v>
      </c>
      <c r="G7" s="105">
        <f t="shared" ref="G7" si="1">EDATE(F7,1)</f>
        <v>46082</v>
      </c>
      <c r="H7" s="105">
        <f t="shared" ref="H7" si="2">EDATE(G7,1)</f>
        <v>46113</v>
      </c>
      <c r="I7" s="105">
        <f t="shared" ref="I7" si="3">EDATE(H7,1)</f>
        <v>46143</v>
      </c>
      <c r="J7" s="105">
        <f t="shared" ref="J7" si="4">EDATE(I7,1)</f>
        <v>46174</v>
      </c>
      <c r="K7" s="105">
        <f>EDATE(J7,1)</f>
        <v>46204</v>
      </c>
      <c r="L7" s="105">
        <f t="shared" ref="L7:M7" si="5">EDATE(K7,1)</f>
        <v>46235</v>
      </c>
      <c r="M7" s="105">
        <f t="shared" si="5"/>
        <v>46266</v>
      </c>
      <c r="N7" s="105">
        <f t="shared" ref="N7" si="6">EDATE(M7,1)</f>
        <v>46296</v>
      </c>
      <c r="O7" s="105">
        <f t="shared" ref="O7:P7" si="7">EDATE(N7,1)</f>
        <v>46327</v>
      </c>
      <c r="P7" s="105">
        <f t="shared" si="7"/>
        <v>46357</v>
      </c>
      <c r="R7" s="63">
        <f>R6-P10</f>
        <v>12621891.22772491</v>
      </c>
      <c r="S7" t="s">
        <v>318</v>
      </c>
    </row>
    <row r="8" spans="1:20" x14ac:dyDescent="0.3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20" x14ac:dyDescent="0.35">
      <c r="A9" s="2" t="s">
        <v>308</v>
      </c>
      <c r="B9" s="5" t="s">
        <v>164</v>
      </c>
      <c r="C9" s="19" t="s">
        <v>162</v>
      </c>
      <c r="E9" s="68">
        <f t="shared" ref="E9:P9" si="8">E15+E19</f>
        <v>530157594.07540184</v>
      </c>
      <c r="F9" s="68">
        <f t="shared" si="8"/>
        <v>506190754.90188754</v>
      </c>
      <c r="G9" s="68">
        <f t="shared" si="8"/>
        <v>484976677.7007432</v>
      </c>
      <c r="H9" s="68">
        <f t="shared" si="8"/>
        <v>472101482.33234084</v>
      </c>
      <c r="I9" s="68">
        <f t="shared" si="8"/>
        <v>439112379.94042325</v>
      </c>
      <c r="J9" s="68">
        <f t="shared" si="8"/>
        <v>414726099.19814378</v>
      </c>
      <c r="K9" s="68">
        <f t="shared" si="8"/>
        <v>402405523.11149633</v>
      </c>
      <c r="L9" s="68">
        <f t="shared" si="8"/>
        <v>383234513.13602173</v>
      </c>
      <c r="M9" s="68">
        <f t="shared" si="8"/>
        <v>355080674.39836878</v>
      </c>
      <c r="N9" s="68">
        <f t="shared" si="8"/>
        <v>343133203.47938412</v>
      </c>
      <c r="O9" s="68">
        <f t="shared" si="8"/>
        <v>328673396.08201706</v>
      </c>
      <c r="P9" s="68">
        <f t="shared" si="8"/>
        <v>301228662.15982932</v>
      </c>
      <c r="R9" t="s">
        <v>307</v>
      </c>
    </row>
    <row r="10" spans="1:20" x14ac:dyDescent="0.35">
      <c r="A10" s="2" t="s">
        <v>308</v>
      </c>
      <c r="B10" s="5" t="s">
        <v>165</v>
      </c>
      <c r="C10" s="19" t="s">
        <v>162</v>
      </c>
      <c r="E10" s="68">
        <f t="shared" ref="E10:P10" si="9">E16+E20</f>
        <v>497676941.53411341</v>
      </c>
      <c r="F10" s="68">
        <f t="shared" si="9"/>
        <v>484976677.7007432</v>
      </c>
      <c r="G10" s="68">
        <f t="shared" si="9"/>
        <v>472101482.33234084</v>
      </c>
      <c r="H10" s="68">
        <f t="shared" si="9"/>
        <v>439112379.94042325</v>
      </c>
      <c r="I10" s="68">
        <f t="shared" si="9"/>
        <v>414726099.19814378</v>
      </c>
      <c r="J10" s="68">
        <f t="shared" si="9"/>
        <v>402405523.11149633</v>
      </c>
      <c r="K10" s="68">
        <f t="shared" si="9"/>
        <v>383234513.13602173</v>
      </c>
      <c r="L10" s="68">
        <f t="shared" si="9"/>
        <v>355080674.39836878</v>
      </c>
      <c r="M10" s="68">
        <f t="shared" si="9"/>
        <v>343133203.47938412</v>
      </c>
      <c r="N10" s="68">
        <f t="shared" si="9"/>
        <v>328673396.08201706</v>
      </c>
      <c r="O10" s="68">
        <f t="shared" si="9"/>
        <v>301228662.15982932</v>
      </c>
      <c r="P10" s="68">
        <f t="shared" si="9"/>
        <v>296496118.00962782</v>
      </c>
      <c r="R10" s="100">
        <f>P10*1.18</f>
        <v>349865419.25136083</v>
      </c>
    </row>
    <row r="11" spans="1:20" x14ac:dyDescent="0.35">
      <c r="G11" s="9"/>
    </row>
    <row r="12" spans="1:20" x14ac:dyDescent="0.35">
      <c r="A12" s="2" t="s">
        <v>308</v>
      </c>
      <c r="B12" s="5" t="s">
        <v>155</v>
      </c>
      <c r="C12" s="19" t="s">
        <v>162</v>
      </c>
      <c r="E12" s="55">
        <f>E10-E9</f>
        <v>-32480652.541288435</v>
      </c>
      <c r="F12" s="55">
        <f t="shared" ref="F12:P12" si="10">F10-F9</f>
        <v>-21214077.201144338</v>
      </c>
      <c r="G12" s="55">
        <f t="shared" si="10"/>
        <v>-12875195.368402362</v>
      </c>
      <c r="H12" s="55">
        <f t="shared" si="10"/>
        <v>-32989102.391917586</v>
      </c>
      <c r="I12" s="55">
        <f t="shared" si="10"/>
        <v>-24386280.74227947</v>
      </c>
      <c r="J12" s="55">
        <f t="shared" si="10"/>
        <v>-12320576.086647451</v>
      </c>
      <c r="K12" s="55">
        <f t="shared" si="10"/>
        <v>-19171009.975474596</v>
      </c>
      <c r="L12" s="55">
        <f t="shared" si="10"/>
        <v>-28153838.737652957</v>
      </c>
      <c r="M12" s="55">
        <f t="shared" si="10"/>
        <v>-11947470.918984652</v>
      </c>
      <c r="N12" s="55">
        <f t="shared" si="10"/>
        <v>-14459807.39736706</v>
      </c>
      <c r="O12" s="55">
        <f t="shared" si="10"/>
        <v>-27444733.922187746</v>
      </c>
      <c r="P12" s="55">
        <f t="shared" si="10"/>
        <v>-4732544.1502014995</v>
      </c>
    </row>
    <row r="14" spans="1:20" outlineLevel="1" x14ac:dyDescent="0.35">
      <c r="B14" s="3" t="s">
        <v>166</v>
      </c>
      <c r="E14" s="67">
        <v>45658</v>
      </c>
      <c r="F14" s="67">
        <f t="shared" ref="F14" si="11">EDATE(E14,1)</f>
        <v>45689</v>
      </c>
      <c r="G14" s="67">
        <f t="shared" ref="G14" si="12">EDATE(F14,1)</f>
        <v>45717</v>
      </c>
      <c r="H14" s="67">
        <f t="shared" ref="H14" si="13">EDATE(G14,1)</f>
        <v>45748</v>
      </c>
      <c r="I14" s="67">
        <f t="shared" ref="I14" si="14">EDATE(H14,1)</f>
        <v>45778</v>
      </c>
      <c r="J14" s="67">
        <f t="shared" ref="J14" si="15">EDATE(I14,1)</f>
        <v>45809</v>
      </c>
      <c r="K14" s="67">
        <f t="shared" ref="K14" si="16">EDATE(J14,1)</f>
        <v>45839</v>
      </c>
      <c r="L14" s="67">
        <f t="shared" ref="L14:M14" si="17">EDATE(K14,1)</f>
        <v>45870</v>
      </c>
      <c r="M14" s="67">
        <f t="shared" si="17"/>
        <v>45901</v>
      </c>
      <c r="N14" s="67">
        <f t="shared" ref="N14" si="18">EDATE(M14,1)</f>
        <v>45931</v>
      </c>
      <c r="O14" s="67">
        <f t="shared" ref="O14:P14" si="19">EDATE(N14,1)</f>
        <v>45962</v>
      </c>
      <c r="P14" s="67">
        <f t="shared" si="19"/>
        <v>45992</v>
      </c>
    </row>
    <row r="15" spans="1:20" outlineLevel="1" x14ac:dyDescent="0.35">
      <c r="A15" s="2" t="s">
        <v>308</v>
      </c>
      <c r="B15" s="61" t="s">
        <v>51</v>
      </c>
      <c r="C15" s="19" t="s">
        <v>162</v>
      </c>
      <c r="E15" s="68">
        <f>'SA Reforecast'!E101</f>
        <v>361695333.29242313</v>
      </c>
      <c r="F15" s="68">
        <f>'SA Reforecast'!F101</f>
        <v>345086434.52257717</v>
      </c>
      <c r="G15" s="68">
        <f>'SA Reforecast'!G101</f>
        <v>330900585.48389602</v>
      </c>
      <c r="H15" s="68">
        <f>'SA Reforecast'!H101</f>
        <v>319470641.63126945</v>
      </c>
      <c r="I15" s="68">
        <f>'SA Reforecast'!I101</f>
        <v>288096058.45223606</v>
      </c>
      <c r="J15" s="68">
        <f>'SA Reforecast'!J101</f>
        <v>265263066.39436433</v>
      </c>
      <c r="K15" s="68">
        <f>'SA Reforecast'!K101</f>
        <v>254499662.21383566</v>
      </c>
      <c r="L15" s="68">
        <f>'SA Reforecast'!L101</f>
        <v>237487127.81162801</v>
      </c>
      <c r="M15" s="68">
        <f>'SA Reforecast'!M101</f>
        <v>212429312.50212339</v>
      </c>
      <c r="N15" s="68">
        <f>'SA Reforecast'!N101</f>
        <v>205457437.30112898</v>
      </c>
      <c r="O15" s="68">
        <f>'SA Reforecast'!O101</f>
        <v>194424128.1704545</v>
      </c>
      <c r="P15" s="68">
        <f>'SA Reforecast'!P101</f>
        <v>170512967.9502812</v>
      </c>
    </row>
    <row r="16" spans="1:20" outlineLevel="1" x14ac:dyDescent="0.35">
      <c r="A16" s="2" t="s">
        <v>308</v>
      </c>
      <c r="B16" s="61" t="s">
        <v>52</v>
      </c>
      <c r="C16" s="19" t="s">
        <v>162</v>
      </c>
      <c r="E16" s="68">
        <f>'SA Reforecast'!E102</f>
        <v>340884415.61750966</v>
      </c>
      <c r="F16" s="68">
        <f>'SA Reforecast'!F102</f>
        <v>330900585.48389602</v>
      </c>
      <c r="G16" s="68">
        <f>'SA Reforecast'!G102</f>
        <v>319470641.63126945</v>
      </c>
      <c r="H16" s="68">
        <f>'SA Reforecast'!H102</f>
        <v>288096058.45223606</v>
      </c>
      <c r="I16" s="68">
        <f>'SA Reforecast'!I102</f>
        <v>265263066.39436433</v>
      </c>
      <c r="J16" s="68">
        <f>'SA Reforecast'!J102</f>
        <v>254499662.21383566</v>
      </c>
      <c r="K16" s="68">
        <f>'SA Reforecast'!K102</f>
        <v>237487127.81162801</v>
      </c>
      <c r="L16" s="68">
        <f>'SA Reforecast'!L102</f>
        <v>212429312.50212339</v>
      </c>
      <c r="M16" s="68">
        <f>'SA Reforecast'!M102</f>
        <v>205457437.30112898</v>
      </c>
      <c r="N16" s="68">
        <f>'SA Reforecast'!N102</f>
        <v>194424128.1704545</v>
      </c>
      <c r="O16" s="68">
        <f>'SA Reforecast'!O102</f>
        <v>170512967.9502812</v>
      </c>
      <c r="P16" s="68">
        <f>'SA Reforecast'!P102</f>
        <v>169442224.7813665</v>
      </c>
    </row>
    <row r="17" spans="1:18" outlineLevel="1" x14ac:dyDescent="0.35"/>
    <row r="18" spans="1:18" outlineLevel="1" x14ac:dyDescent="0.35">
      <c r="B18" s="3" t="s">
        <v>167</v>
      </c>
    </row>
    <row r="19" spans="1:18" outlineLevel="1" x14ac:dyDescent="0.35">
      <c r="A19" s="2" t="s">
        <v>308</v>
      </c>
      <c r="B19" s="61" t="s">
        <v>57</v>
      </c>
      <c r="C19" s="19" t="s">
        <v>162</v>
      </c>
      <c r="E19" s="68">
        <f>'LLC Reforecast'!E45</f>
        <v>168462260.78297871</v>
      </c>
      <c r="F19" s="68">
        <f>'LLC Reforecast'!F45</f>
        <v>161104320.37931034</v>
      </c>
      <c r="G19" s="68">
        <f>'LLC Reforecast'!G45</f>
        <v>154076092.21684718</v>
      </c>
      <c r="H19" s="68">
        <f>'LLC Reforecast'!H45</f>
        <v>152630840.70107138</v>
      </c>
      <c r="I19" s="68">
        <f>'LLC Reforecast'!I45</f>
        <v>151016321.48818722</v>
      </c>
      <c r="J19" s="68">
        <f>'LLC Reforecast'!J45</f>
        <v>149463032.80377945</v>
      </c>
      <c r="K19" s="68">
        <f>'LLC Reforecast'!K45</f>
        <v>147905860.89766064</v>
      </c>
      <c r="L19" s="68">
        <f>'LLC Reforecast'!L45</f>
        <v>145747385.32439375</v>
      </c>
      <c r="M19" s="68">
        <f>'LLC Reforecast'!M45</f>
        <v>142651361.89624539</v>
      </c>
      <c r="N19" s="68">
        <f>'LLC Reforecast'!N45</f>
        <v>137675766.17825514</v>
      </c>
      <c r="O19" s="68">
        <f>'LLC Reforecast'!O45</f>
        <v>134249267.91156256</v>
      </c>
      <c r="P19" s="68">
        <f>'LLC Reforecast'!P45</f>
        <v>130715694.2095481</v>
      </c>
    </row>
    <row r="20" spans="1:18" outlineLevel="1" x14ac:dyDescent="0.35">
      <c r="A20" s="2" t="s">
        <v>308</v>
      </c>
      <c r="B20" s="61" t="s">
        <v>58</v>
      </c>
      <c r="C20" s="19" t="s">
        <v>162</v>
      </c>
      <c r="E20" s="68">
        <f>'LLC Reforecast'!E46</f>
        <v>156792525.91660374</v>
      </c>
      <c r="F20" s="68">
        <f>'LLC Reforecast'!F46</f>
        <v>154076092.21684718</v>
      </c>
      <c r="G20" s="68">
        <f>'LLC Reforecast'!G46</f>
        <v>152630840.70107138</v>
      </c>
      <c r="H20" s="68">
        <f>'LLC Reforecast'!H46</f>
        <v>151016321.48818722</v>
      </c>
      <c r="I20" s="68">
        <f>'LLC Reforecast'!I46</f>
        <v>149463032.80377945</v>
      </c>
      <c r="J20" s="68">
        <f>'LLC Reforecast'!J46</f>
        <v>147905860.89766064</v>
      </c>
      <c r="K20" s="68">
        <f>'LLC Reforecast'!K46</f>
        <v>145747385.32439375</v>
      </c>
      <c r="L20" s="68">
        <f>'LLC Reforecast'!L46</f>
        <v>142651361.89624539</v>
      </c>
      <c r="M20" s="68">
        <f>'LLC Reforecast'!M46</f>
        <v>137675766.17825514</v>
      </c>
      <c r="N20" s="68">
        <f>'LLC Reforecast'!N46</f>
        <v>134249267.91156256</v>
      </c>
      <c r="O20" s="68">
        <f>'LLC Reforecast'!O46</f>
        <v>130715694.2095481</v>
      </c>
      <c r="P20" s="68">
        <f>'LLC Reforecast'!P46</f>
        <v>127053893.22826134</v>
      </c>
    </row>
    <row r="23" spans="1:18" x14ac:dyDescent="0.35">
      <c r="E23" s="3" t="s">
        <v>14</v>
      </c>
    </row>
    <row r="24" spans="1:18" x14ac:dyDescent="0.35">
      <c r="E24" s="3"/>
    </row>
    <row r="26" spans="1:18" x14ac:dyDescent="0.35">
      <c r="A26" s="2"/>
      <c r="B26" s="3" t="s">
        <v>89</v>
      </c>
      <c r="E26" s="67">
        <v>45658</v>
      </c>
      <c r="F26" s="67">
        <f t="shared" ref="F26" si="20">EDATE(E26,1)</f>
        <v>45689</v>
      </c>
      <c r="G26" s="67">
        <f t="shared" ref="G26" si="21">EDATE(F26,1)</f>
        <v>45717</v>
      </c>
      <c r="H26" s="67">
        <f t="shared" ref="H26" si="22">EDATE(G26,1)</f>
        <v>45748</v>
      </c>
      <c r="I26" s="67">
        <f t="shared" ref="I26" si="23">EDATE(H26,1)</f>
        <v>45778</v>
      </c>
      <c r="J26" s="67">
        <f t="shared" ref="J26" si="24">EDATE(I26,1)</f>
        <v>45809</v>
      </c>
      <c r="K26" s="67">
        <f t="shared" ref="K26" si="25">EDATE(J26,1)</f>
        <v>45839</v>
      </c>
      <c r="L26" s="67">
        <f t="shared" ref="L26:M26" si="26">EDATE(K26,1)</f>
        <v>45870</v>
      </c>
      <c r="M26" s="67">
        <f t="shared" si="26"/>
        <v>45901</v>
      </c>
      <c r="N26" s="67">
        <f t="shared" ref="N26" si="27">EDATE(M26,1)</f>
        <v>45931</v>
      </c>
      <c r="O26" s="67">
        <f t="shared" ref="O26" si="28">EDATE(N26,1)</f>
        <v>45962</v>
      </c>
      <c r="P26" s="67">
        <f t="shared" ref="P26" si="29">EDATE(O26,1)</f>
        <v>45992</v>
      </c>
    </row>
    <row r="27" spans="1:18" x14ac:dyDescent="0.35">
      <c r="A27" s="2" t="s">
        <v>14</v>
      </c>
      <c r="B27" s="5" t="s">
        <v>121</v>
      </c>
      <c r="C27" s="19" t="s">
        <v>162</v>
      </c>
      <c r="E27" s="68">
        <f>'Consolidated Budget'!E8</f>
        <v>530157594.07540178</v>
      </c>
      <c r="F27" s="68">
        <f>'Consolidated Budget'!F8</f>
        <v>514242811.96781683</v>
      </c>
      <c r="G27" s="68">
        <f>'Consolidated Budget'!G8</f>
        <v>493028734.76667237</v>
      </c>
      <c r="H27" s="68">
        <f>'Consolidated Budget'!H8</f>
        <v>480153539.39827001</v>
      </c>
      <c r="I27" s="68">
        <f>'Consolidated Budget'!I8</f>
        <v>447164437.00635242</v>
      </c>
      <c r="J27" s="68">
        <f>'Consolidated Budget'!J8</f>
        <v>422778156.26407295</v>
      </c>
      <c r="K27" s="68">
        <f>'Consolidated Budget'!K8</f>
        <v>410457580.1774255</v>
      </c>
      <c r="L27" s="68">
        <f>'Consolidated Budget'!L8</f>
        <v>391286570.20195091</v>
      </c>
      <c r="M27" s="68">
        <f>'Consolidated Budget'!M8</f>
        <v>363132731.46429801</v>
      </c>
      <c r="N27" s="68">
        <f>'Consolidated Budget'!N8</f>
        <v>351185260.54531336</v>
      </c>
      <c r="O27" s="68">
        <f>'Consolidated Budget'!O8</f>
        <v>336725453.14794624</v>
      </c>
      <c r="P27" s="68">
        <f>'Consolidated Budget'!P8</f>
        <v>309280719.22575855</v>
      </c>
    </row>
    <row r="28" spans="1:18" x14ac:dyDescent="0.35">
      <c r="A28" s="2" t="s">
        <v>14</v>
      </c>
      <c r="B28" s="5" t="s">
        <v>161</v>
      </c>
      <c r="C28" s="19" t="s">
        <v>162</v>
      </c>
      <c r="E28" s="68">
        <f>'Consolidated Budget'!E9</f>
        <v>514242811.96781683</v>
      </c>
      <c r="F28" s="68">
        <f>'Consolidated Budget'!F9</f>
        <v>493028734.76667237</v>
      </c>
      <c r="G28" s="68">
        <f>'Consolidated Budget'!G9</f>
        <v>480153539.39827001</v>
      </c>
      <c r="H28" s="68">
        <f>'Consolidated Budget'!H9</f>
        <v>447164437.00635242</v>
      </c>
      <c r="I28" s="68">
        <f>'Consolidated Budget'!I9</f>
        <v>422778156.26407295</v>
      </c>
      <c r="J28" s="68">
        <f>'Consolidated Budget'!J9</f>
        <v>410457580.1774255</v>
      </c>
      <c r="K28" s="68">
        <f>'Consolidated Budget'!K9</f>
        <v>391286570.20195091</v>
      </c>
      <c r="L28" s="68">
        <f>'Consolidated Budget'!L9</f>
        <v>363132731.46429801</v>
      </c>
      <c r="M28" s="68">
        <f>'Consolidated Budget'!M9</f>
        <v>351185260.54531336</v>
      </c>
      <c r="N28" s="68">
        <f>'Consolidated Budget'!N9</f>
        <v>336725453.14794624</v>
      </c>
      <c r="O28" s="68">
        <f>'Consolidated Budget'!O9</f>
        <v>309280719.22575855</v>
      </c>
      <c r="P28" s="68">
        <f>'Consolidated Budget'!P9</f>
        <v>304548175.07555705</v>
      </c>
    </row>
    <row r="29" spans="1:18" x14ac:dyDescent="0.35">
      <c r="A29" s="2"/>
    </row>
    <row r="30" spans="1:18" x14ac:dyDescent="0.35">
      <c r="A30" s="2" t="s">
        <v>14</v>
      </c>
      <c r="B30" s="5" t="s">
        <v>155</v>
      </c>
      <c r="C30" s="19"/>
      <c r="E30" s="55">
        <f>'Consolidated Budget'!E11</f>
        <v>-15914782.107584953</v>
      </c>
      <c r="F30" s="55">
        <f>'Consolidated Budget'!F11</f>
        <v>-21214077.201144457</v>
      </c>
      <c r="G30" s="55">
        <f>'Consolidated Budget'!G11</f>
        <v>-12875195.368402362</v>
      </c>
      <c r="H30" s="55">
        <f>'Consolidated Budget'!H11</f>
        <v>-32989102.391917586</v>
      </c>
      <c r="I30" s="55">
        <f>'Consolidated Budget'!I11</f>
        <v>-24386280.74227947</v>
      </c>
      <c r="J30" s="55">
        <f>'Consolidated Budget'!J11</f>
        <v>-12320576.086647451</v>
      </c>
      <c r="K30" s="55">
        <f>'Consolidated Budget'!K11</f>
        <v>-19171009.975474596</v>
      </c>
      <c r="L30" s="55">
        <f>'Consolidated Budget'!L11</f>
        <v>-28153838.737652898</v>
      </c>
      <c r="M30" s="55">
        <f>'Consolidated Budget'!M11</f>
        <v>-11947470.918984652</v>
      </c>
      <c r="N30" s="55">
        <f>'Consolidated Budget'!N11</f>
        <v>-14459807.39736712</v>
      </c>
      <c r="O30" s="55">
        <f>'Consolidated Budget'!O11</f>
        <v>-27444733.922187686</v>
      </c>
      <c r="P30" s="55">
        <f>'Consolidated Budget'!P11</f>
        <v>-4732544.1502014995</v>
      </c>
    </row>
    <row r="31" spans="1:18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6" hidden="1" outlineLevel="1" x14ac:dyDescent="0.35">
      <c r="B33" s="60" t="s">
        <v>166</v>
      </c>
      <c r="C33" s="61"/>
      <c r="D33" s="2"/>
      <c r="E33" s="67">
        <v>45658</v>
      </c>
      <c r="F33" s="67">
        <f t="shared" ref="F33" si="30">EDATE(E33,1)</f>
        <v>45689</v>
      </c>
      <c r="G33" s="67">
        <f t="shared" ref="G33" si="31">EDATE(F33,1)</f>
        <v>45717</v>
      </c>
      <c r="H33" s="67">
        <f t="shared" ref="H33" si="32">EDATE(G33,1)</f>
        <v>45748</v>
      </c>
      <c r="I33" s="67">
        <f t="shared" ref="I33" si="33">EDATE(H33,1)</f>
        <v>45778</v>
      </c>
      <c r="J33" s="67">
        <f t="shared" ref="J33" si="34">EDATE(I33,1)</f>
        <v>45809</v>
      </c>
      <c r="K33" s="57">
        <f>EDATE(J33,1)</f>
        <v>45839</v>
      </c>
      <c r="L33" s="57">
        <f t="shared" ref="L33" si="35">EDATE(K33,1)</f>
        <v>45870</v>
      </c>
      <c r="M33" s="57">
        <f t="shared" ref="M33" si="36">EDATE(L33,1)</f>
        <v>45901</v>
      </c>
      <c r="N33" s="57">
        <f t="shared" ref="N33" si="37">EDATE(M33,1)</f>
        <v>45931</v>
      </c>
      <c r="O33" s="57">
        <f>EDATE(N33,1)</f>
        <v>45962</v>
      </c>
      <c r="P33" s="57">
        <f t="shared" ref="P33" si="38">EDATE(O33,1)</f>
        <v>45992</v>
      </c>
    </row>
    <row r="34" spans="1:16" hidden="1" outlineLevel="1" x14ac:dyDescent="0.35">
      <c r="A34" s="2" t="s">
        <v>14</v>
      </c>
      <c r="B34" s="61" t="s">
        <v>51</v>
      </c>
      <c r="C34" s="19" t="s">
        <v>162</v>
      </c>
      <c r="D34" s="2"/>
      <c r="E34" s="68">
        <f>'Consolidated Budget'!E15</f>
        <v>361695333.29242307</v>
      </c>
      <c r="F34" s="68">
        <f>'Consolidated Budget'!F15</f>
        <v>344979373.05202758</v>
      </c>
      <c r="G34" s="68">
        <f>'Consolidated Budget'!G15</f>
        <v>330793524.01334631</v>
      </c>
      <c r="H34" s="68">
        <f>'Consolidated Budget'!H15</f>
        <v>319363580.16071975</v>
      </c>
      <c r="I34" s="68">
        <f>'Consolidated Budget'!I15</f>
        <v>287988996.98168635</v>
      </c>
      <c r="J34" s="68">
        <f>'Consolidated Budget'!J15</f>
        <v>265156004.92381465</v>
      </c>
      <c r="K34" s="68">
        <f>'Consolidated Budget'!K15</f>
        <v>254392600.74328598</v>
      </c>
      <c r="L34" s="68">
        <f>'Consolidated Budget'!L15</f>
        <v>237380066.34107834</v>
      </c>
      <c r="M34" s="68">
        <f>'Consolidated Budget'!M15</f>
        <v>212322251.03157374</v>
      </c>
      <c r="N34" s="68">
        <f>'Consolidated Budget'!N15</f>
        <v>205350375.83057934</v>
      </c>
      <c r="O34" s="68">
        <f>'Consolidated Budget'!O15</f>
        <v>194317066.6999048</v>
      </c>
      <c r="P34" s="68">
        <f>'Consolidated Budget'!P15</f>
        <v>170405906.47973156</v>
      </c>
    </row>
    <row r="35" spans="1:16" hidden="1" outlineLevel="1" x14ac:dyDescent="0.35">
      <c r="A35" s="2" t="s">
        <v>14</v>
      </c>
      <c r="B35" s="61" t="s">
        <v>52</v>
      </c>
      <c r="C35" s="19" t="s">
        <v>162</v>
      </c>
      <c r="D35" s="2"/>
      <c r="E35" s="68">
        <f>'Consolidated Budget'!E16</f>
        <v>344979373.05202758</v>
      </c>
      <c r="F35" s="68">
        <f>'Consolidated Budget'!F16</f>
        <v>330793524.01334631</v>
      </c>
      <c r="G35" s="68">
        <f>'Consolidated Budget'!G16</f>
        <v>319363580.16071975</v>
      </c>
      <c r="H35" s="68">
        <f>'Consolidated Budget'!H16</f>
        <v>287988996.98168635</v>
      </c>
      <c r="I35" s="68">
        <f>'Consolidated Budget'!I16</f>
        <v>265156004.92381465</v>
      </c>
      <c r="J35" s="68">
        <f>'Consolidated Budget'!J16</f>
        <v>254392600.74328598</v>
      </c>
      <c r="K35" s="68">
        <f>'Consolidated Budget'!K16</f>
        <v>237380066.34107834</v>
      </c>
      <c r="L35" s="68">
        <f>'Consolidated Budget'!L16</f>
        <v>212322251.03157374</v>
      </c>
      <c r="M35" s="68">
        <f>'Consolidated Budget'!M16</f>
        <v>205350375.83057934</v>
      </c>
      <c r="N35" s="68">
        <f>'Consolidated Budget'!N16</f>
        <v>194317066.6999048</v>
      </c>
      <c r="O35" s="68">
        <f>'Consolidated Budget'!O16</f>
        <v>170405906.47973156</v>
      </c>
      <c r="P35" s="68">
        <f>'Consolidated Budget'!P16</f>
        <v>169335163.31081685</v>
      </c>
    </row>
    <row r="36" spans="1:16" hidden="1" outlineLevel="1" x14ac:dyDescent="0.35">
      <c r="A36" s="2"/>
      <c r="B36" s="61"/>
      <c r="C36" s="61"/>
      <c r="D36" s="2"/>
    </row>
    <row r="37" spans="1:16" hidden="1" outlineLevel="1" x14ac:dyDescent="0.35">
      <c r="A37" s="2"/>
      <c r="B37" s="60" t="s">
        <v>167</v>
      </c>
      <c r="C37" s="61"/>
      <c r="D37" s="2"/>
    </row>
    <row r="38" spans="1:16" hidden="1" outlineLevel="1" x14ac:dyDescent="0.35">
      <c r="A38" s="2" t="s">
        <v>14</v>
      </c>
      <c r="B38" s="61" t="s">
        <v>57</v>
      </c>
      <c r="C38" s="19" t="s">
        <v>162</v>
      </c>
      <c r="D38" s="2"/>
      <c r="E38" s="68">
        <f>'Consolidated Budget'!E19</f>
        <v>168462260.78297874</v>
      </c>
      <c r="F38" s="68">
        <f>'Consolidated Budget'!F19</f>
        <v>169263438.91578922</v>
      </c>
      <c r="G38" s="68">
        <f>'Consolidated Budget'!G19</f>
        <v>162235210.75332606</v>
      </c>
      <c r="H38" s="68">
        <f>'Consolidated Budget'!H19</f>
        <v>160789959.23755026</v>
      </c>
      <c r="I38" s="68">
        <f>'Consolidated Budget'!I19</f>
        <v>159175440.0246661</v>
      </c>
      <c r="J38" s="68">
        <f>'Consolidated Budget'!J19</f>
        <v>157622151.3402583</v>
      </c>
      <c r="K38" s="68">
        <f>'Consolidated Budget'!K19</f>
        <v>156064979.43413952</v>
      </c>
      <c r="L38" s="68">
        <f>'Consolidated Budget'!L19</f>
        <v>153906503.8608726</v>
      </c>
      <c r="M38" s="68">
        <f>'Consolidated Budget'!M19</f>
        <v>150810480.43272427</v>
      </c>
      <c r="N38" s="68">
        <f>'Consolidated Budget'!N19</f>
        <v>145834884.71473399</v>
      </c>
      <c r="O38" s="68">
        <f>'Consolidated Budget'!O19</f>
        <v>142408386.44804144</v>
      </c>
      <c r="P38" s="68">
        <f>'Consolidated Budget'!P19</f>
        <v>138874812.74602696</v>
      </c>
    </row>
    <row r="39" spans="1:16" hidden="1" outlineLevel="1" x14ac:dyDescent="0.35">
      <c r="A39" s="2" t="s">
        <v>14</v>
      </c>
      <c r="B39" s="61" t="s">
        <v>58</v>
      </c>
      <c r="C39" s="19" t="s">
        <v>162</v>
      </c>
      <c r="D39" s="2"/>
      <c r="E39" s="68">
        <f>'Consolidated Budget'!E20</f>
        <v>169263438.91578922</v>
      </c>
      <c r="F39" s="68">
        <f>'Consolidated Budget'!F20</f>
        <v>162235210.75332606</v>
      </c>
      <c r="G39" s="68">
        <f>'Consolidated Budget'!G20</f>
        <v>160789959.23755026</v>
      </c>
      <c r="H39" s="68">
        <f>'Consolidated Budget'!H20</f>
        <v>159175440.0246661</v>
      </c>
      <c r="I39" s="68">
        <f>'Consolidated Budget'!I20</f>
        <v>157622151.3402583</v>
      </c>
      <c r="J39" s="68">
        <f>'Consolidated Budget'!J20</f>
        <v>156064979.43413952</v>
      </c>
      <c r="K39" s="68">
        <f>'Consolidated Budget'!K20</f>
        <v>153906503.8608726</v>
      </c>
      <c r="L39" s="68">
        <f>'Consolidated Budget'!L20</f>
        <v>150810480.43272427</v>
      </c>
      <c r="M39" s="68">
        <f>'Consolidated Budget'!M20</f>
        <v>145834884.71473399</v>
      </c>
      <c r="N39" s="68">
        <f>'Consolidated Budget'!N20</f>
        <v>142408386.44804144</v>
      </c>
      <c r="O39" s="68">
        <f>'Consolidated Budget'!O20</f>
        <v>138874812.74602696</v>
      </c>
      <c r="P39" s="68">
        <f>'Consolidated Budget'!P20</f>
        <v>135213011.7647402</v>
      </c>
    </row>
    <row r="40" spans="1:16" hidden="1" outlineLevel="1" x14ac:dyDescent="0.35">
      <c r="A40" s="2"/>
    </row>
    <row r="41" spans="1:16" hidden="1" outlineLevel="1" x14ac:dyDescent="0.35">
      <c r="A41" s="2"/>
    </row>
    <row r="42" spans="1:16" hidden="1" outlineLevel="1" x14ac:dyDescent="0.35">
      <c r="A42" s="2"/>
    </row>
    <row r="43" spans="1:16" collapsed="1" x14ac:dyDescent="0.35">
      <c r="E43" s="3" t="s">
        <v>160</v>
      </c>
    </row>
    <row r="46" spans="1:16" x14ac:dyDescent="0.35">
      <c r="A46" s="2"/>
      <c r="B46" s="3" t="s">
        <v>89</v>
      </c>
      <c r="E46" s="67">
        <v>45658</v>
      </c>
      <c r="F46" s="67">
        <f t="shared" ref="F46" si="39">EDATE(E46,1)</f>
        <v>45689</v>
      </c>
      <c r="G46" s="67">
        <f t="shared" ref="G46" si="40">EDATE(F46,1)</f>
        <v>45717</v>
      </c>
      <c r="H46" s="67">
        <f t="shared" ref="H46" si="41">EDATE(G46,1)</f>
        <v>45748</v>
      </c>
      <c r="I46" s="67">
        <f t="shared" ref="I46" si="42">EDATE(H46,1)</f>
        <v>45778</v>
      </c>
      <c r="J46" s="67">
        <f t="shared" ref="J46" si="43">EDATE(I46,1)</f>
        <v>45809</v>
      </c>
      <c r="K46" s="67">
        <f t="shared" ref="K46" si="44">EDATE(J46,1)</f>
        <v>45839</v>
      </c>
      <c r="L46" s="67">
        <f t="shared" ref="L46" si="45">EDATE(K46,1)</f>
        <v>45870</v>
      </c>
      <c r="M46" s="67">
        <f t="shared" ref="M46:N46" si="46">EDATE(L46,1)</f>
        <v>45901</v>
      </c>
      <c r="N46" s="67">
        <f t="shared" si="46"/>
        <v>45931</v>
      </c>
      <c r="O46" s="67">
        <f t="shared" ref="O46" si="47">EDATE(N46,1)</f>
        <v>45962</v>
      </c>
      <c r="P46" s="67">
        <f t="shared" ref="P46" si="48">EDATE(O46,1)</f>
        <v>45992</v>
      </c>
    </row>
    <row r="47" spans="1:16" x14ac:dyDescent="0.35">
      <c r="A47" s="2" t="s">
        <v>156</v>
      </c>
      <c r="B47" s="5" t="s">
        <v>121</v>
      </c>
      <c r="C47" s="19" t="s">
        <v>162</v>
      </c>
      <c r="E47" s="68">
        <f>E9-E27</f>
        <v>0</v>
      </c>
      <c r="F47" s="68">
        <f t="shared" ref="F47:P47" si="49">F9-F27</f>
        <v>-8052057.0659292936</v>
      </c>
      <c r="G47" s="68">
        <f t="shared" si="49"/>
        <v>-8052057.0659291744</v>
      </c>
      <c r="H47" s="68">
        <f t="shared" si="49"/>
        <v>-8052057.0659291744</v>
      </c>
      <c r="I47" s="68">
        <f t="shared" si="49"/>
        <v>-8052057.0659291744</v>
      </c>
      <c r="J47" s="68">
        <f t="shared" si="49"/>
        <v>-8052057.0659291744</v>
      </c>
      <c r="K47" s="68">
        <f t="shared" si="49"/>
        <v>-8052057.0659291744</v>
      </c>
      <c r="L47" s="68">
        <f t="shared" si="49"/>
        <v>-8052057.0659291744</v>
      </c>
      <c r="M47" s="68">
        <f t="shared" si="49"/>
        <v>-8052057.065929234</v>
      </c>
      <c r="N47" s="68">
        <f t="shared" si="49"/>
        <v>-8052057.065929234</v>
      </c>
      <c r="O47" s="68">
        <f t="shared" si="49"/>
        <v>-8052057.0659291744</v>
      </c>
      <c r="P47" s="68">
        <f t="shared" si="49"/>
        <v>-8052057.065929234</v>
      </c>
    </row>
    <row r="48" spans="1:16" x14ac:dyDescent="0.35">
      <c r="A48" s="2" t="s">
        <v>156</v>
      </c>
      <c r="B48" s="5" t="s">
        <v>161</v>
      </c>
      <c r="C48" s="19" t="s">
        <v>162</v>
      </c>
      <c r="E48" s="68">
        <f>E10-E28</f>
        <v>-16565870.433703423</v>
      </c>
      <c r="F48" s="68">
        <f t="shared" ref="F48:P48" si="50">F10-F28</f>
        <v>-8052057.0659291744</v>
      </c>
      <c r="G48" s="68">
        <f t="shared" si="50"/>
        <v>-8052057.0659291744</v>
      </c>
      <c r="H48" s="68">
        <f t="shared" si="50"/>
        <v>-8052057.0659291744</v>
      </c>
      <c r="I48" s="68">
        <f t="shared" si="50"/>
        <v>-8052057.0659291744</v>
      </c>
      <c r="J48" s="68">
        <f t="shared" si="50"/>
        <v>-8052057.0659291744</v>
      </c>
      <c r="K48" s="68">
        <f t="shared" si="50"/>
        <v>-8052057.0659291744</v>
      </c>
      <c r="L48" s="68">
        <f t="shared" si="50"/>
        <v>-8052057.065929234</v>
      </c>
      <c r="M48" s="68">
        <f t="shared" si="50"/>
        <v>-8052057.065929234</v>
      </c>
      <c r="N48" s="68">
        <f t="shared" si="50"/>
        <v>-8052057.0659291744</v>
      </c>
      <c r="O48" s="68">
        <f t="shared" si="50"/>
        <v>-8052057.065929234</v>
      </c>
      <c r="P48" s="68">
        <f t="shared" si="50"/>
        <v>-8052057.065929234</v>
      </c>
    </row>
    <row r="49" spans="1:18" x14ac:dyDescent="0.35">
      <c r="A49" s="2"/>
    </row>
    <row r="50" spans="1:18" x14ac:dyDescent="0.35">
      <c r="A50" s="2" t="s">
        <v>156</v>
      </c>
      <c r="B50" s="5" t="s">
        <v>155</v>
      </c>
      <c r="C50" s="19"/>
      <c r="E50" s="55">
        <f>E12-E30</f>
        <v>-16565870.433703482</v>
      </c>
      <c r="F50" s="55">
        <f t="shared" ref="F50:P50" si="51">F12-F30</f>
        <v>1.1920928955078125E-7</v>
      </c>
      <c r="G50" s="55">
        <f t="shared" si="51"/>
        <v>0</v>
      </c>
      <c r="H50" s="55">
        <f t="shared" si="51"/>
        <v>0</v>
      </c>
      <c r="I50" s="55">
        <f t="shared" si="51"/>
        <v>0</v>
      </c>
      <c r="J50" s="55">
        <f t="shared" si="51"/>
        <v>0</v>
      </c>
      <c r="K50" s="55">
        <f t="shared" si="51"/>
        <v>0</v>
      </c>
      <c r="L50" s="55">
        <f t="shared" si="51"/>
        <v>-5.9604644775390625E-8</v>
      </c>
      <c r="M50" s="55">
        <f t="shared" si="51"/>
        <v>0</v>
      </c>
      <c r="N50" s="55">
        <f t="shared" si="51"/>
        <v>5.9604644775390625E-8</v>
      </c>
      <c r="O50" s="55">
        <f t="shared" si="51"/>
        <v>-5.9604644775390625E-8</v>
      </c>
      <c r="P50" s="55">
        <f t="shared" si="51"/>
        <v>0</v>
      </c>
    </row>
    <row r="51" spans="1:18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hidden="1" outlineLevel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hidden="1" outlineLevel="1" x14ac:dyDescent="0.35">
      <c r="B53" s="60" t="s">
        <v>166</v>
      </c>
      <c r="C53" s="61"/>
      <c r="D53" s="2"/>
      <c r="E53" s="67">
        <v>45658</v>
      </c>
      <c r="F53" s="67">
        <f t="shared" ref="F53" si="52">EDATE(E53,1)</f>
        <v>45689</v>
      </c>
      <c r="G53" s="67">
        <f t="shared" ref="G53" si="53">EDATE(F53,1)</f>
        <v>45717</v>
      </c>
      <c r="H53" s="67">
        <f t="shared" ref="H53" si="54">EDATE(G53,1)</f>
        <v>45748</v>
      </c>
      <c r="I53" s="67">
        <f t="shared" ref="I53" si="55">EDATE(H53,1)</f>
        <v>45778</v>
      </c>
      <c r="J53" s="67">
        <f t="shared" ref="J53" si="56">EDATE(I53,1)</f>
        <v>45809</v>
      </c>
      <c r="K53" s="57">
        <f>EDATE(J53,1)</f>
        <v>45839</v>
      </c>
      <c r="L53" s="57">
        <f t="shared" ref="L53" si="57">EDATE(K53,1)</f>
        <v>45870</v>
      </c>
      <c r="M53" s="57">
        <f t="shared" ref="M53" si="58">EDATE(L53,1)</f>
        <v>45901</v>
      </c>
      <c r="N53" s="57">
        <f t="shared" ref="N53" si="59">EDATE(M53,1)</f>
        <v>45931</v>
      </c>
      <c r="O53" s="57">
        <f>EDATE(N53,1)</f>
        <v>45962</v>
      </c>
      <c r="P53" s="57">
        <f t="shared" ref="P53" si="60">EDATE(O53,1)</f>
        <v>45992</v>
      </c>
    </row>
    <row r="54" spans="1:18" hidden="1" outlineLevel="1" x14ac:dyDescent="0.35">
      <c r="A54" s="2" t="s">
        <v>156</v>
      </c>
      <c r="B54" s="61" t="s">
        <v>51</v>
      </c>
      <c r="C54" s="19" t="s">
        <v>162</v>
      </c>
      <c r="D54" s="2"/>
      <c r="E54" s="68">
        <f>E15-'Consolidated Budget'!E15</f>
        <v>0</v>
      </c>
      <c r="F54" s="68">
        <f>F15-'Consolidated Budget'!F15</f>
        <v>107061.47054958344</v>
      </c>
      <c r="G54" s="68">
        <f>G15-'Consolidated Budget'!G15</f>
        <v>107061.47054970264</v>
      </c>
      <c r="H54" s="68">
        <f>H15-'Consolidated Budget'!H15</f>
        <v>107061.47054970264</v>
      </c>
      <c r="I54" s="68">
        <f>I15-'Consolidated Budget'!I15</f>
        <v>107061.47054970264</v>
      </c>
      <c r="J54" s="68">
        <f>J15-'Consolidated Budget'!J15</f>
        <v>107061.47054967284</v>
      </c>
      <c r="K54" s="68">
        <f>K15-'Consolidated Budget'!K15</f>
        <v>107061.47054967284</v>
      </c>
      <c r="L54" s="68">
        <f>L15-'Consolidated Budget'!L15</f>
        <v>107061.47054967284</v>
      </c>
      <c r="M54" s="68">
        <f>M15-'Consolidated Budget'!M15</f>
        <v>107061.47054964304</v>
      </c>
      <c r="N54" s="68">
        <f>N15-'Consolidated Budget'!N15</f>
        <v>107061.47054964304</v>
      </c>
      <c r="O54" s="68">
        <f>O15-'Consolidated Budget'!O15</f>
        <v>107061.47054970264</v>
      </c>
      <c r="P54" s="68">
        <f>P15-'Consolidated Budget'!P15</f>
        <v>107061.47054964304</v>
      </c>
    </row>
    <row r="55" spans="1:18" hidden="1" outlineLevel="1" x14ac:dyDescent="0.35">
      <c r="A55" s="2" t="s">
        <v>156</v>
      </c>
      <c r="B55" s="61" t="s">
        <v>52</v>
      </c>
      <c r="C55" s="19" t="s">
        <v>162</v>
      </c>
      <c r="D55" s="2"/>
      <c r="E55" s="68">
        <f>E16-'Consolidated Budget'!E16</f>
        <v>-4094957.43451792</v>
      </c>
      <c r="F55" s="68">
        <f>F16-'Consolidated Budget'!F16</f>
        <v>107061.47054970264</v>
      </c>
      <c r="G55" s="68">
        <f>G16-'Consolidated Budget'!G16</f>
        <v>107061.47054970264</v>
      </c>
      <c r="H55" s="68">
        <f>H16-'Consolidated Budget'!H16</f>
        <v>107061.47054970264</v>
      </c>
      <c r="I55" s="68">
        <f>I16-'Consolidated Budget'!I16</f>
        <v>107061.47054967284</v>
      </c>
      <c r="J55" s="68">
        <f>J16-'Consolidated Budget'!J16</f>
        <v>107061.47054967284</v>
      </c>
      <c r="K55" s="68">
        <f>K16-'Consolidated Budget'!K16</f>
        <v>107061.47054967284</v>
      </c>
      <c r="L55" s="68">
        <f>L16-'Consolidated Budget'!L16</f>
        <v>107061.47054964304</v>
      </c>
      <c r="M55" s="68">
        <f>M16-'Consolidated Budget'!M16</f>
        <v>107061.47054964304</v>
      </c>
      <c r="N55" s="68">
        <f>N16-'Consolidated Budget'!N16</f>
        <v>107061.47054970264</v>
      </c>
      <c r="O55" s="68">
        <f>O16-'Consolidated Budget'!O16</f>
        <v>107061.47054964304</v>
      </c>
      <c r="P55" s="68">
        <f>P16-'Consolidated Budget'!P16</f>
        <v>107061.47054964304</v>
      </c>
    </row>
    <row r="56" spans="1:18" hidden="1" outlineLevel="1" x14ac:dyDescent="0.35">
      <c r="A56" s="2"/>
      <c r="B56" s="61"/>
      <c r="C56" s="61"/>
      <c r="D56" s="2"/>
    </row>
    <row r="57" spans="1:18" hidden="1" outlineLevel="1" x14ac:dyDescent="0.35">
      <c r="A57" s="2"/>
      <c r="B57" s="60" t="s">
        <v>167</v>
      </c>
      <c r="C57" s="61"/>
      <c r="D57" s="2"/>
    </row>
    <row r="58" spans="1:18" hidden="1" outlineLevel="1" x14ac:dyDescent="0.35">
      <c r="A58" s="2" t="s">
        <v>156</v>
      </c>
      <c r="B58" s="61" t="s">
        <v>57</v>
      </c>
      <c r="C58" s="19" t="s">
        <v>162</v>
      </c>
      <c r="D58" s="2"/>
      <c r="E58" s="68">
        <f>E19-'Consolidated Budget'!E19</f>
        <v>0</v>
      </c>
      <c r="F58" s="68">
        <f>F19-'Consolidated Budget'!F19</f>
        <v>-8159118.5364788771</v>
      </c>
      <c r="G58" s="68">
        <f>G19-'Consolidated Budget'!G19</f>
        <v>-8159118.5364788771</v>
      </c>
      <c r="H58" s="68">
        <f>H19-'Consolidated Budget'!H19</f>
        <v>-8159118.5364788771</v>
      </c>
      <c r="I58" s="68">
        <f>I19-'Consolidated Budget'!I19</f>
        <v>-8159118.5364788771</v>
      </c>
      <c r="J58" s="68">
        <f>J19-'Consolidated Budget'!J19</f>
        <v>-8159118.5364788473</v>
      </c>
      <c r="K58" s="68">
        <f>K19-'Consolidated Budget'!K19</f>
        <v>-8159118.5364788771</v>
      </c>
      <c r="L58" s="68">
        <f>L19-'Consolidated Budget'!L19</f>
        <v>-8159118.5364788473</v>
      </c>
      <c r="M58" s="68">
        <f>M19-'Consolidated Budget'!M19</f>
        <v>-8159118.5364788771</v>
      </c>
      <c r="N58" s="68">
        <f>N19-'Consolidated Budget'!N19</f>
        <v>-8159118.5364788473</v>
      </c>
      <c r="O58" s="68">
        <f>O19-'Consolidated Budget'!O19</f>
        <v>-8159118.5364788771</v>
      </c>
      <c r="P58" s="68">
        <f>P19-'Consolidated Budget'!P19</f>
        <v>-8159118.5364788622</v>
      </c>
    </row>
    <row r="59" spans="1:18" hidden="1" outlineLevel="1" x14ac:dyDescent="0.35">
      <c r="A59" s="2" t="s">
        <v>156</v>
      </c>
      <c r="B59" s="61" t="s">
        <v>58</v>
      </c>
      <c r="C59" s="19" t="s">
        <v>162</v>
      </c>
      <c r="D59" s="2"/>
      <c r="E59" s="68">
        <f>E20-'Consolidated Budget'!E20</f>
        <v>-12470912.999185473</v>
      </c>
      <c r="F59" s="68">
        <f>F20-'Consolidated Budget'!F20</f>
        <v>-8159118.5364788771</v>
      </c>
      <c r="G59" s="68">
        <f>G20-'Consolidated Budget'!G20</f>
        <v>-8159118.5364788771</v>
      </c>
      <c r="H59" s="68">
        <f>H20-'Consolidated Budget'!H20</f>
        <v>-8159118.5364788771</v>
      </c>
      <c r="I59" s="68">
        <f>I20-'Consolidated Budget'!I20</f>
        <v>-8159118.5364788473</v>
      </c>
      <c r="J59" s="68">
        <f>J20-'Consolidated Budget'!J20</f>
        <v>-8159118.5364788771</v>
      </c>
      <c r="K59" s="68">
        <f>K20-'Consolidated Budget'!K20</f>
        <v>-8159118.5364788473</v>
      </c>
      <c r="L59" s="68">
        <f>L20-'Consolidated Budget'!L20</f>
        <v>-8159118.5364788771</v>
      </c>
      <c r="M59" s="68">
        <f>M20-'Consolidated Budget'!M20</f>
        <v>-8159118.5364788473</v>
      </c>
      <c r="N59" s="68">
        <f>N20-'Consolidated Budget'!N20</f>
        <v>-8159118.5364788771</v>
      </c>
      <c r="O59" s="68">
        <f>O20-'Consolidated Budget'!O20</f>
        <v>-8159118.5364788622</v>
      </c>
      <c r="P59" s="68">
        <f>P20-'Consolidated Budget'!P20</f>
        <v>-8159118.5364788622</v>
      </c>
    </row>
    <row r="60" spans="1:18" ht="14.25" hidden="1" customHeight="1" outlineLevel="1" x14ac:dyDescent="0.35">
      <c r="A60" t="s">
        <v>115</v>
      </c>
    </row>
    <row r="61" spans="1:18" collapsed="1" x14ac:dyDescent="0.35"/>
  </sheetData>
  <conditionalFormatting sqref="E9:P10 R10">
    <cfRule type="cellIs" dxfId="11" priority="19" operator="lessThan">
      <formula>0</formula>
    </cfRule>
  </conditionalFormatting>
  <conditionalFormatting sqref="E12:P12">
    <cfRule type="cellIs" dxfId="10" priority="18" operator="lessThan">
      <formula>0</formula>
    </cfRule>
  </conditionalFormatting>
  <conditionalFormatting sqref="E15:P16">
    <cfRule type="cellIs" dxfId="9" priority="34" operator="lessThan">
      <formula>0</formula>
    </cfRule>
  </conditionalFormatting>
  <conditionalFormatting sqref="E19:P20">
    <cfRule type="cellIs" dxfId="8" priority="20" operator="lessThan">
      <formula>0</formula>
    </cfRule>
  </conditionalFormatting>
  <conditionalFormatting sqref="E27:P28">
    <cfRule type="cellIs" dxfId="7" priority="7" operator="lessThan">
      <formula>0</formula>
    </cfRule>
  </conditionalFormatting>
  <conditionalFormatting sqref="E30:P30">
    <cfRule type="cellIs" dxfId="6" priority="11" operator="lessThan">
      <formula>0</formula>
    </cfRule>
  </conditionalFormatting>
  <conditionalFormatting sqref="E34:P35">
    <cfRule type="cellIs" dxfId="5" priority="6" operator="lessThan">
      <formula>0</formula>
    </cfRule>
  </conditionalFormatting>
  <conditionalFormatting sqref="E38:P39">
    <cfRule type="cellIs" dxfId="4" priority="5" operator="lessThan">
      <formula>0</formula>
    </cfRule>
  </conditionalFormatting>
  <conditionalFormatting sqref="E47:P48">
    <cfRule type="cellIs" dxfId="3" priority="3" operator="lessThan">
      <formula>0</formula>
    </cfRule>
  </conditionalFormatting>
  <conditionalFormatting sqref="E50:P50">
    <cfRule type="cellIs" dxfId="2" priority="4" operator="lessThan">
      <formula>0</formula>
    </cfRule>
  </conditionalFormatting>
  <conditionalFormatting sqref="E54:P55">
    <cfRule type="cellIs" dxfId="1" priority="2" operator="lessThan">
      <formula>0</formula>
    </cfRule>
  </conditionalFormatting>
  <conditionalFormatting sqref="E58:P59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A19A6-8D47-455E-80B6-BB3EF9152404}">
  <sheetPr>
    <tabColor theme="6" tint="0.79998168889431442"/>
  </sheetPr>
  <dimension ref="B3:AN109"/>
  <sheetViews>
    <sheetView showGridLines="0" topLeftCell="A2" workbookViewId="0">
      <pane xSplit="4" ySplit="6" topLeftCell="E8" activePane="bottomRight" state="frozen"/>
      <selection activeCell="E24" sqref="E24"/>
      <selection pane="topRight" activeCell="E24" sqref="E24"/>
      <selection pane="bottomLeft" activeCell="E24" sqref="E24"/>
      <selection pane="bottomRight" activeCell="A2" sqref="A2"/>
    </sheetView>
  </sheetViews>
  <sheetFormatPr defaultColWidth="10.54296875" defaultRowHeight="14.5" x14ac:dyDescent="0.35"/>
  <cols>
    <col min="1" max="1" width="6.453125" customWidth="1"/>
    <col min="2" max="2" width="36.54296875" customWidth="1"/>
    <col min="3" max="3" width="3.81640625" bestFit="1" customWidth="1"/>
    <col min="4" max="4" width="3.81640625" customWidth="1"/>
    <col min="17" max="17" width="4.81640625" customWidth="1"/>
    <col min="39" max="39" width="4.81640625" customWidth="1"/>
  </cols>
  <sheetData>
    <row r="3" spans="2:40" x14ac:dyDescent="0.35">
      <c r="B3" s="3" t="s">
        <v>24</v>
      </c>
      <c r="C3" s="10"/>
      <c r="E3" s="3" t="s">
        <v>105</v>
      </c>
      <c r="AA3" s="3" t="s">
        <v>315</v>
      </c>
    </row>
    <row r="6" spans="2:40" x14ac:dyDescent="0.35">
      <c r="B6" s="3" t="s">
        <v>1</v>
      </c>
      <c r="C6" s="3"/>
      <c r="E6" s="2" t="s">
        <v>123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AA6" s="2" t="s">
        <v>123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2:40" x14ac:dyDescent="0.35">
      <c r="E7" s="57">
        <v>46023</v>
      </c>
      <c r="F7" s="57">
        <f t="shared" ref="F7:P7" si="0">EDATE(E7,1)</f>
        <v>46054</v>
      </c>
      <c r="G7" s="57">
        <f t="shared" si="0"/>
        <v>46082</v>
      </c>
      <c r="H7" s="57">
        <f t="shared" si="0"/>
        <v>46113</v>
      </c>
      <c r="I7" s="57">
        <f t="shared" si="0"/>
        <v>46143</v>
      </c>
      <c r="J7" s="57">
        <f t="shared" si="0"/>
        <v>46174</v>
      </c>
      <c r="K7" s="57">
        <f>EDATE(J7,1)</f>
        <v>46204</v>
      </c>
      <c r="L7" s="57">
        <f t="shared" si="0"/>
        <v>46235</v>
      </c>
      <c r="M7" s="57">
        <f t="shared" si="0"/>
        <v>46266</v>
      </c>
      <c r="N7" s="57">
        <f t="shared" si="0"/>
        <v>46296</v>
      </c>
      <c r="O7" s="57">
        <f>EDATE(N7,1)</f>
        <v>46327</v>
      </c>
      <c r="P7" s="57">
        <f t="shared" si="0"/>
        <v>46357</v>
      </c>
      <c r="R7" s="15">
        <v>2026</v>
      </c>
      <c r="AA7" s="57">
        <v>46023</v>
      </c>
      <c r="AB7" s="57">
        <f t="shared" ref="AB7" si="1">EDATE(AA7,1)</f>
        <v>46054</v>
      </c>
      <c r="AC7" s="57">
        <f t="shared" ref="AC7" si="2">EDATE(AB7,1)</f>
        <v>46082</v>
      </c>
      <c r="AD7" s="57">
        <f t="shared" ref="AD7" si="3">EDATE(AC7,1)</f>
        <v>46113</v>
      </c>
      <c r="AE7" s="57">
        <f t="shared" ref="AE7" si="4">EDATE(AD7,1)</f>
        <v>46143</v>
      </c>
      <c r="AF7" s="57">
        <f t="shared" ref="AF7" si="5">EDATE(AE7,1)</f>
        <v>46174</v>
      </c>
      <c r="AG7" s="57">
        <f>EDATE(AF7,1)</f>
        <v>46204</v>
      </c>
      <c r="AH7" s="57">
        <f t="shared" ref="AH7" si="6">EDATE(AG7,1)</f>
        <v>46235</v>
      </c>
      <c r="AI7" s="57">
        <f t="shared" ref="AI7" si="7">EDATE(AH7,1)</f>
        <v>46266</v>
      </c>
      <c r="AJ7" s="57">
        <f t="shared" ref="AJ7" si="8">EDATE(AI7,1)</f>
        <v>46296</v>
      </c>
      <c r="AK7" s="57">
        <f>EDATE(AJ7,1)</f>
        <v>46327</v>
      </c>
      <c r="AL7" s="57">
        <f t="shared" ref="AL7" si="9">EDATE(AK7,1)</f>
        <v>46357</v>
      </c>
      <c r="AN7" s="15">
        <v>2026</v>
      </c>
    </row>
    <row r="8" spans="2:40" x14ac:dyDescent="0.35"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R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N8" s="1"/>
    </row>
    <row r="9" spans="2:40" x14ac:dyDescent="0.35">
      <c r="B9" s="12" t="s">
        <v>13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R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N9" s="1"/>
    </row>
    <row r="10" spans="2:40" x14ac:dyDescent="0.35">
      <c r="B10" s="5" t="s">
        <v>11</v>
      </c>
      <c r="C10" s="19" t="s">
        <v>162</v>
      </c>
      <c r="E10" s="53">
        <f>'SA Actual'!E10</f>
        <v>0</v>
      </c>
      <c r="F10" s="53">
        <f>'SA budget'!F10</f>
        <v>0</v>
      </c>
      <c r="G10" s="53">
        <f>'SA budget'!G10</f>
        <v>0</v>
      </c>
      <c r="H10" s="53">
        <f>'SA budget'!H10</f>
        <v>0</v>
      </c>
      <c r="I10" s="53">
        <f>'SA budget'!I10</f>
        <v>0</v>
      </c>
      <c r="J10" s="53">
        <f>'SA budget'!J10</f>
        <v>0</v>
      </c>
      <c r="K10" s="53">
        <f>'SA budget'!K10</f>
        <v>2363322</v>
      </c>
      <c r="L10" s="53">
        <f>'SA budget'!L10</f>
        <v>294998.69</v>
      </c>
      <c r="M10" s="53">
        <f>'SA budget'!M10</f>
        <v>0</v>
      </c>
      <c r="N10" s="53">
        <f>'SA budget'!N10</f>
        <v>0</v>
      </c>
      <c r="O10" s="53">
        <f>'SA budget'!O10</f>
        <v>0</v>
      </c>
      <c r="P10" s="53">
        <f>'SA budget'!P10</f>
        <v>0</v>
      </c>
      <c r="Q10" s="56"/>
      <c r="R10" s="53">
        <f t="shared" ref="R10:R50" si="10">SUM(E10:P10)</f>
        <v>2658320.69</v>
      </c>
      <c r="T10" t="s">
        <v>256</v>
      </c>
      <c r="AA10" s="53">
        <f>E10-'SA budget'!E10</f>
        <v>0</v>
      </c>
      <c r="AB10" s="53">
        <f>F10-'SA budget'!F10</f>
        <v>0</v>
      </c>
      <c r="AC10" s="53">
        <f>G10-'SA budget'!G10</f>
        <v>0</v>
      </c>
      <c r="AD10" s="53">
        <f>H10-'SA budget'!H10</f>
        <v>0</v>
      </c>
      <c r="AE10" s="53">
        <f>I10-'SA budget'!I10</f>
        <v>0</v>
      </c>
      <c r="AF10" s="53">
        <f>J10-'SA budget'!J10</f>
        <v>0</v>
      </c>
      <c r="AG10" s="53">
        <f>K10-'SA budget'!K10</f>
        <v>0</v>
      </c>
      <c r="AH10" s="53">
        <f>L10-'SA budget'!L10</f>
        <v>0</v>
      </c>
      <c r="AI10" s="53">
        <f>M10-'SA budget'!M10</f>
        <v>0</v>
      </c>
      <c r="AJ10" s="53">
        <f>N10-'SA budget'!N10</f>
        <v>0</v>
      </c>
      <c r="AK10" s="53">
        <f>O10-'SA budget'!O10</f>
        <v>0</v>
      </c>
      <c r="AL10" s="53">
        <f>P10-'SA budget'!P10</f>
        <v>0</v>
      </c>
      <c r="AM10" s="56"/>
      <c r="AN10" s="53">
        <f t="shared" ref="AN10:AN20" si="11">SUM(AA10:AL10)</f>
        <v>0</v>
      </c>
    </row>
    <row r="11" spans="2:40" x14ac:dyDescent="0.35">
      <c r="B11" s="5" t="s">
        <v>12</v>
      </c>
      <c r="C11" s="19" t="s">
        <v>162</v>
      </c>
      <c r="E11" s="53">
        <f>'SA Actual'!E11</f>
        <v>599166.48333333328</v>
      </c>
      <c r="F11" s="53">
        <f>'SA budget'!F11</f>
        <v>570621.6166666667</v>
      </c>
      <c r="G11" s="53">
        <f>'SA budget'!G11</f>
        <v>612797.98333333328</v>
      </c>
      <c r="H11" s="53">
        <f>'SA budget'!H11</f>
        <v>237810</v>
      </c>
      <c r="I11" s="53">
        <f>'SA budget'!I11</f>
        <v>0</v>
      </c>
      <c r="J11" s="53">
        <f>'SA budget'!J11</f>
        <v>0</v>
      </c>
      <c r="K11" s="53">
        <f>'SA budget'!K11</f>
        <v>0</v>
      </c>
      <c r="L11" s="53">
        <f>'SA budget'!L11</f>
        <v>0</v>
      </c>
      <c r="M11" s="53">
        <f>'SA budget'!M11</f>
        <v>0</v>
      </c>
      <c r="N11" s="53">
        <f>'SA budget'!N11</f>
        <v>0</v>
      </c>
      <c r="O11" s="53">
        <f>'SA budget'!O11</f>
        <v>0</v>
      </c>
      <c r="P11" s="53">
        <f>'SA budget'!P11</f>
        <v>0</v>
      </c>
      <c r="Q11" s="56"/>
      <c r="R11" s="53">
        <f t="shared" si="10"/>
        <v>2020396.0833333335</v>
      </c>
      <c r="T11" t="s">
        <v>254</v>
      </c>
      <c r="AA11" s="53">
        <f>E11-'SA budget'!E11</f>
        <v>0</v>
      </c>
      <c r="AB11" s="53">
        <f>F11-'SA budget'!F11</f>
        <v>0</v>
      </c>
      <c r="AC11" s="53">
        <f>G11-'SA budget'!G11</f>
        <v>0</v>
      </c>
      <c r="AD11" s="53">
        <f>H11-'SA budget'!H11</f>
        <v>0</v>
      </c>
      <c r="AE11" s="53">
        <f>I11-'SA budget'!I11</f>
        <v>0</v>
      </c>
      <c r="AF11" s="53">
        <f>J11-'SA budget'!J11</f>
        <v>0</v>
      </c>
      <c r="AG11" s="53">
        <f>K11-'SA budget'!K11</f>
        <v>0</v>
      </c>
      <c r="AH11" s="53">
        <f>L11-'SA budget'!L11</f>
        <v>0</v>
      </c>
      <c r="AI11" s="53">
        <f>M11-'SA budget'!M11</f>
        <v>0</v>
      </c>
      <c r="AJ11" s="53">
        <f>N11-'SA budget'!N11</f>
        <v>0</v>
      </c>
      <c r="AK11" s="53">
        <f>O11-'SA budget'!O11</f>
        <v>0</v>
      </c>
      <c r="AL11" s="53">
        <f>P11-'SA budget'!P11</f>
        <v>0</v>
      </c>
      <c r="AM11" s="56"/>
      <c r="AN11" s="53">
        <f t="shared" si="11"/>
        <v>0</v>
      </c>
    </row>
    <row r="12" spans="2:40" x14ac:dyDescent="0.35">
      <c r="B12" s="5" t="s">
        <v>6</v>
      </c>
      <c r="C12" s="19" t="s">
        <v>162</v>
      </c>
      <c r="E12" s="53">
        <f>'SA Actual'!E12</f>
        <v>0</v>
      </c>
      <c r="F12" s="53">
        <f>'SA budget'!F12</f>
        <v>0</v>
      </c>
      <c r="G12" s="53">
        <f>'SA budget'!G12</f>
        <v>0</v>
      </c>
      <c r="H12" s="53">
        <f>'SA budget'!H12</f>
        <v>0</v>
      </c>
      <c r="I12" s="53">
        <f>'SA budget'!I12</f>
        <v>0</v>
      </c>
      <c r="J12" s="53">
        <f>'SA budget'!J12</f>
        <v>0</v>
      </c>
      <c r="K12" s="53">
        <f>'SA budget'!K12</f>
        <v>756326</v>
      </c>
      <c r="L12" s="53">
        <f>'SA budget'!L12</f>
        <v>109002.93894071877</v>
      </c>
      <c r="M12" s="53">
        <f>'SA budget'!M12</f>
        <v>0</v>
      </c>
      <c r="N12" s="53">
        <f>'SA budget'!N12</f>
        <v>0</v>
      </c>
      <c r="O12" s="53">
        <f>'SA budget'!O12</f>
        <v>0</v>
      </c>
      <c r="P12" s="53">
        <f>'SA budget'!P12</f>
        <v>0</v>
      </c>
      <c r="Q12" s="56"/>
      <c r="R12" s="53">
        <f t="shared" si="10"/>
        <v>865328.93894071877</v>
      </c>
      <c r="T12" t="s">
        <v>255</v>
      </c>
      <c r="AA12" s="53">
        <f>E12-'SA budget'!E12</f>
        <v>0</v>
      </c>
      <c r="AB12" s="53">
        <f>F12-'SA budget'!F12</f>
        <v>0</v>
      </c>
      <c r="AC12" s="53">
        <f>G12-'SA budget'!G12</f>
        <v>0</v>
      </c>
      <c r="AD12" s="53">
        <f>H12-'SA budget'!H12</f>
        <v>0</v>
      </c>
      <c r="AE12" s="53">
        <f>I12-'SA budget'!I12</f>
        <v>0</v>
      </c>
      <c r="AF12" s="53">
        <f>J12-'SA budget'!J12</f>
        <v>0</v>
      </c>
      <c r="AG12" s="53">
        <f>K12-'SA budget'!K12</f>
        <v>0</v>
      </c>
      <c r="AH12" s="53">
        <f>L12-'SA budget'!L12</f>
        <v>0</v>
      </c>
      <c r="AI12" s="53">
        <f>M12-'SA budget'!M12</f>
        <v>0</v>
      </c>
      <c r="AJ12" s="53">
        <f>N12-'SA budget'!N12</f>
        <v>0</v>
      </c>
      <c r="AK12" s="53">
        <f>O12-'SA budget'!O12</f>
        <v>0</v>
      </c>
      <c r="AL12" s="53">
        <f>P12-'SA budget'!P12</f>
        <v>0</v>
      </c>
      <c r="AM12" s="56"/>
      <c r="AN12" s="53">
        <f t="shared" si="11"/>
        <v>0</v>
      </c>
    </row>
    <row r="13" spans="2:40" x14ac:dyDescent="0.35">
      <c r="B13" s="5" t="s">
        <v>7</v>
      </c>
      <c r="C13" s="19" t="s">
        <v>162</v>
      </c>
      <c r="E13" s="53">
        <f>'SA Actual'!E13</f>
        <v>1246050.2416666667</v>
      </c>
      <c r="F13" s="53">
        <f>'SA budget'!F13</f>
        <v>467517.53333333338</v>
      </c>
      <c r="G13" s="53">
        <f>'SA budget'!G13</f>
        <v>619029.58333333337</v>
      </c>
      <c r="H13" s="53">
        <f>'SA budget'!H13</f>
        <v>237306.00000000003</v>
      </c>
      <c r="I13" s="53">
        <f>'SA budget'!I13</f>
        <v>224266.99999999997</v>
      </c>
      <c r="J13" s="53">
        <f>'SA budget'!J13</f>
        <v>0</v>
      </c>
      <c r="K13" s="53">
        <f>'SA budget'!K13</f>
        <v>0</v>
      </c>
      <c r="L13" s="53">
        <f>'SA budget'!L13</f>
        <v>0</v>
      </c>
      <c r="M13" s="53">
        <f>'SA budget'!M13</f>
        <v>0</v>
      </c>
      <c r="N13" s="53">
        <f>'SA budget'!N13</f>
        <v>0</v>
      </c>
      <c r="O13" s="53">
        <f>'SA budget'!O13</f>
        <v>0</v>
      </c>
      <c r="P13" s="53">
        <f>'SA budget'!P13</f>
        <v>0</v>
      </c>
      <c r="Q13" s="56"/>
      <c r="R13" s="53">
        <f t="shared" si="10"/>
        <v>2794170.3583333334</v>
      </c>
      <c r="AA13" s="53">
        <f>E13-'SA budget'!E13</f>
        <v>0</v>
      </c>
      <c r="AB13" s="53">
        <f>F13-'SA budget'!F13</f>
        <v>0</v>
      </c>
      <c r="AC13" s="53">
        <f>G13-'SA budget'!G13</f>
        <v>0</v>
      </c>
      <c r="AD13" s="53">
        <f>H13-'SA budget'!H13</f>
        <v>0</v>
      </c>
      <c r="AE13" s="53">
        <f>I13-'SA budget'!I13</f>
        <v>0</v>
      </c>
      <c r="AF13" s="53">
        <f>J13-'SA budget'!J13</f>
        <v>0</v>
      </c>
      <c r="AG13" s="53">
        <f>K13-'SA budget'!K13</f>
        <v>0</v>
      </c>
      <c r="AH13" s="53">
        <f>L13-'SA budget'!L13</f>
        <v>0</v>
      </c>
      <c r="AI13" s="53">
        <f>M13-'SA budget'!M13</f>
        <v>0</v>
      </c>
      <c r="AJ13" s="53">
        <f>N13-'SA budget'!N13</f>
        <v>0</v>
      </c>
      <c r="AK13" s="53">
        <f>O13-'SA budget'!O13</f>
        <v>0</v>
      </c>
      <c r="AL13" s="53">
        <f>P13-'SA budget'!P13</f>
        <v>0</v>
      </c>
      <c r="AM13" s="56"/>
      <c r="AN13" s="53">
        <f t="shared" si="11"/>
        <v>0</v>
      </c>
    </row>
    <row r="14" spans="2:40" x14ac:dyDescent="0.35">
      <c r="B14" s="5" t="s">
        <v>5</v>
      </c>
      <c r="C14" s="19" t="s">
        <v>162</v>
      </c>
      <c r="E14" s="53">
        <f>'SA Actual'!E14</f>
        <v>4790962.0000000009</v>
      </c>
      <c r="F14" s="53">
        <f>'SA budget'!F14</f>
        <v>0</v>
      </c>
      <c r="G14" s="53">
        <f>'SA budget'!G14</f>
        <v>0</v>
      </c>
      <c r="H14" s="53">
        <f>'SA budget'!H14</f>
        <v>0</v>
      </c>
      <c r="I14" s="53">
        <f>'SA budget'!I14</f>
        <v>7186443</v>
      </c>
      <c r="J14" s="53">
        <f>'SA budget'!J14</f>
        <v>0</v>
      </c>
      <c r="K14" s="53">
        <f>'SA budget'!K14</f>
        <v>0</v>
      </c>
      <c r="L14" s="53">
        <f>'SA budget'!L14</f>
        <v>9581924</v>
      </c>
      <c r="M14" s="53">
        <f>'SA budget'!M14</f>
        <v>0</v>
      </c>
      <c r="N14" s="53">
        <f>'SA budget'!N14</f>
        <v>0</v>
      </c>
      <c r="O14" s="53">
        <f>'SA budget'!O14</f>
        <v>7186443</v>
      </c>
      <c r="P14" s="53">
        <f>'SA budget'!P14</f>
        <v>0</v>
      </c>
      <c r="Q14" s="56"/>
      <c r="R14" s="53">
        <f t="shared" si="10"/>
        <v>28745772</v>
      </c>
      <c r="AA14" s="53">
        <f>E14-'SA budget'!E14</f>
        <v>0</v>
      </c>
      <c r="AB14" s="53">
        <f>F14-'SA budget'!F14</f>
        <v>0</v>
      </c>
      <c r="AC14" s="53">
        <f>G14-'SA budget'!G14</f>
        <v>0</v>
      </c>
      <c r="AD14" s="53">
        <f>H14-'SA budget'!H14</f>
        <v>0</v>
      </c>
      <c r="AE14" s="53">
        <f>I14-'SA budget'!I14</f>
        <v>0</v>
      </c>
      <c r="AF14" s="53">
        <f>J14-'SA budget'!J14</f>
        <v>0</v>
      </c>
      <c r="AG14" s="53">
        <f>K14-'SA budget'!K14</f>
        <v>0</v>
      </c>
      <c r="AH14" s="53">
        <f>L14-'SA budget'!L14</f>
        <v>0</v>
      </c>
      <c r="AI14" s="53">
        <f>M14-'SA budget'!M14</f>
        <v>0</v>
      </c>
      <c r="AJ14" s="53">
        <f>N14-'SA budget'!N14</f>
        <v>0</v>
      </c>
      <c r="AK14" s="53">
        <f>O14-'SA budget'!O14</f>
        <v>0</v>
      </c>
      <c r="AL14" s="53">
        <f>P14-'SA budget'!P14</f>
        <v>0</v>
      </c>
      <c r="AM14" s="56"/>
      <c r="AN14" s="53">
        <f t="shared" si="11"/>
        <v>0</v>
      </c>
    </row>
    <row r="15" spans="2:40" x14ac:dyDescent="0.35">
      <c r="B15" s="5" t="s">
        <v>4</v>
      </c>
      <c r="C15" s="19" t="s">
        <v>162</v>
      </c>
      <c r="E15" s="53">
        <f>'SA Actual'!E15</f>
        <v>1814129.3083333333</v>
      </c>
      <c r="F15" s="53">
        <f>'SA budget'!F15</f>
        <v>1542238.5166666666</v>
      </c>
      <c r="G15" s="53">
        <f>'SA budget'!G15</f>
        <v>1125311.7083333335</v>
      </c>
      <c r="H15" s="53">
        <f>'SA budget'!H15</f>
        <v>978890</v>
      </c>
      <c r="I15" s="53">
        <f>'SA budget'!I15</f>
        <v>650000</v>
      </c>
      <c r="J15" s="53">
        <f>'SA budget'!J15</f>
        <v>650000</v>
      </c>
      <c r="K15" s="53">
        <f>'SA budget'!K15</f>
        <v>0</v>
      </c>
      <c r="L15" s="53">
        <f>'SA budget'!L15</f>
        <v>0</v>
      </c>
      <c r="M15" s="53">
        <f>'SA budget'!M15</f>
        <v>0</v>
      </c>
      <c r="N15" s="53">
        <f>'SA budget'!N15</f>
        <v>0</v>
      </c>
      <c r="O15" s="53">
        <f>'SA budget'!O15</f>
        <v>0</v>
      </c>
      <c r="P15" s="53">
        <f>'SA budget'!P15</f>
        <v>0</v>
      </c>
      <c r="Q15" s="56"/>
      <c r="R15" s="53">
        <f t="shared" si="10"/>
        <v>6760569.5333333332</v>
      </c>
      <c r="AA15" s="53">
        <f>E15-'SA budget'!E15</f>
        <v>0</v>
      </c>
      <c r="AB15" s="53">
        <f>F15-'SA budget'!F15</f>
        <v>0</v>
      </c>
      <c r="AC15" s="53">
        <f>G15-'SA budget'!G15</f>
        <v>0</v>
      </c>
      <c r="AD15" s="53">
        <f>H15-'SA budget'!H15</f>
        <v>0</v>
      </c>
      <c r="AE15" s="53">
        <f>I15-'SA budget'!I15</f>
        <v>0</v>
      </c>
      <c r="AF15" s="53">
        <f>J15-'SA budget'!J15</f>
        <v>0</v>
      </c>
      <c r="AG15" s="53">
        <f>K15-'SA budget'!K15</f>
        <v>0</v>
      </c>
      <c r="AH15" s="53">
        <f>L15-'SA budget'!L15</f>
        <v>0</v>
      </c>
      <c r="AI15" s="53">
        <f>M15-'SA budget'!M15</f>
        <v>0</v>
      </c>
      <c r="AJ15" s="53">
        <f>N15-'SA budget'!N15</f>
        <v>0</v>
      </c>
      <c r="AK15" s="53">
        <f>O15-'SA budget'!O15</f>
        <v>0</v>
      </c>
      <c r="AL15" s="53">
        <f>P15-'SA budget'!P15</f>
        <v>0</v>
      </c>
      <c r="AM15" s="56"/>
      <c r="AN15" s="53">
        <f t="shared" si="11"/>
        <v>0</v>
      </c>
    </row>
    <row r="16" spans="2:40" x14ac:dyDescent="0.35">
      <c r="B16" s="5" t="s">
        <v>226</v>
      </c>
      <c r="C16" s="19" t="s">
        <v>162</v>
      </c>
      <c r="E16" s="53">
        <f>'SA Actual'!E16</f>
        <v>0</v>
      </c>
      <c r="F16" s="53">
        <f>'SA budget'!F16</f>
        <v>0</v>
      </c>
      <c r="G16" s="53">
        <f>'SA budget'!G16</f>
        <v>0</v>
      </c>
      <c r="H16" s="53">
        <f>'SA budget'!H16</f>
        <v>5000000</v>
      </c>
      <c r="I16" s="53">
        <f>'SA budget'!I16</f>
        <v>2000000</v>
      </c>
      <c r="J16" s="53">
        <f>'SA budget'!J16</f>
        <v>2000000</v>
      </c>
      <c r="K16" s="53">
        <f>'SA budget'!K16</f>
        <v>1000000</v>
      </c>
      <c r="L16" s="53">
        <f>'SA budget'!L16</f>
        <v>0</v>
      </c>
      <c r="M16" s="53">
        <f>'SA budget'!M16</f>
        <v>0</v>
      </c>
      <c r="N16" s="53">
        <f>'SA budget'!N16</f>
        <v>0</v>
      </c>
      <c r="O16" s="53">
        <f>'SA budget'!O16</f>
        <v>0</v>
      </c>
      <c r="P16" s="53">
        <f>'SA budget'!P16</f>
        <v>0</v>
      </c>
      <c r="Q16" s="56"/>
      <c r="R16" s="53">
        <f t="shared" si="10"/>
        <v>10000000</v>
      </c>
      <c r="T16" t="s">
        <v>257</v>
      </c>
      <c r="AA16" s="53">
        <f>E16-'SA budget'!E16</f>
        <v>0</v>
      </c>
      <c r="AB16" s="53">
        <f>F16-'SA budget'!F16</f>
        <v>0</v>
      </c>
      <c r="AC16" s="53">
        <f>G16-'SA budget'!G16</f>
        <v>0</v>
      </c>
      <c r="AD16" s="53">
        <f>H16-'SA budget'!H16</f>
        <v>0</v>
      </c>
      <c r="AE16" s="53">
        <f>I16-'SA budget'!I16</f>
        <v>0</v>
      </c>
      <c r="AF16" s="53">
        <f>J16-'SA budget'!J16</f>
        <v>0</v>
      </c>
      <c r="AG16" s="53">
        <f>K16-'SA budget'!K16</f>
        <v>0</v>
      </c>
      <c r="AH16" s="53">
        <f>L16-'SA budget'!L16</f>
        <v>0</v>
      </c>
      <c r="AI16" s="53">
        <f>M16-'SA budget'!M16</f>
        <v>0</v>
      </c>
      <c r="AJ16" s="53">
        <f>N16-'SA budget'!N16</f>
        <v>0</v>
      </c>
      <c r="AK16" s="53">
        <f>O16-'SA budget'!O16</f>
        <v>0</v>
      </c>
      <c r="AL16" s="53">
        <f>P16-'SA budget'!P16</f>
        <v>0</v>
      </c>
      <c r="AM16" s="56"/>
      <c r="AN16" s="53">
        <f t="shared" si="11"/>
        <v>0</v>
      </c>
    </row>
    <row r="17" spans="2:40" x14ac:dyDescent="0.35">
      <c r="B17" s="5" t="s">
        <v>17</v>
      </c>
      <c r="C17" s="19" t="s">
        <v>162</v>
      </c>
      <c r="E17" s="53">
        <f>'SA Actual'!E17</f>
        <v>1308381.9500000002</v>
      </c>
      <c r="F17" s="53">
        <f>'SA budget'!F17</f>
        <v>0</v>
      </c>
      <c r="G17" s="53">
        <f>'SA budget'!G17</f>
        <v>1308381.9500000002</v>
      </c>
      <c r="H17" s="53">
        <f>'SA budget'!H17</f>
        <v>1308381.95</v>
      </c>
      <c r="I17" s="53">
        <f>'SA budget'!I17</f>
        <v>1831734.73</v>
      </c>
      <c r="J17" s="53">
        <f>'SA budget'!J17</f>
        <v>0</v>
      </c>
      <c r="K17" s="53">
        <f>'SA budget'!K17</f>
        <v>2355087.5099999998</v>
      </c>
      <c r="L17" s="53">
        <f>'SA budget'!L17</f>
        <v>1570058.34</v>
      </c>
      <c r="M17" s="53">
        <f>'SA budget'!M17</f>
        <v>1046705.56</v>
      </c>
      <c r="N17" s="53">
        <f>'SA budget'!N17</f>
        <v>0</v>
      </c>
      <c r="O17" s="53">
        <f>'SA budget'!O17</f>
        <v>1046705.56</v>
      </c>
      <c r="P17" s="53">
        <f>'SA budget'!P17</f>
        <v>0</v>
      </c>
      <c r="Q17" s="56"/>
      <c r="R17" s="53">
        <f t="shared" si="10"/>
        <v>11775437.550000001</v>
      </c>
      <c r="T17" t="s">
        <v>236</v>
      </c>
      <c r="AA17" s="53">
        <f>E17-'SA budget'!E17</f>
        <v>0</v>
      </c>
      <c r="AB17" s="53">
        <f>F17-'SA budget'!F17</f>
        <v>0</v>
      </c>
      <c r="AC17" s="53">
        <f>G17-'SA budget'!G17</f>
        <v>0</v>
      </c>
      <c r="AD17" s="53">
        <f>H17-'SA budget'!H17</f>
        <v>0</v>
      </c>
      <c r="AE17" s="53">
        <f>I17-'SA budget'!I17</f>
        <v>0</v>
      </c>
      <c r="AF17" s="53">
        <f>J17-'SA budget'!J17</f>
        <v>0</v>
      </c>
      <c r="AG17" s="53">
        <f>K17-'SA budget'!K17</f>
        <v>0</v>
      </c>
      <c r="AH17" s="53">
        <f>L17-'SA budget'!L17</f>
        <v>0</v>
      </c>
      <c r="AI17" s="53">
        <f>M17-'SA budget'!M17</f>
        <v>0</v>
      </c>
      <c r="AJ17" s="53">
        <f>N17-'SA budget'!N17</f>
        <v>0</v>
      </c>
      <c r="AK17" s="53">
        <f>O17-'SA budget'!O17</f>
        <v>0</v>
      </c>
      <c r="AL17" s="53">
        <f>P17-'SA budget'!P17</f>
        <v>0</v>
      </c>
      <c r="AM17" s="56"/>
      <c r="AN17" s="53">
        <f t="shared" si="11"/>
        <v>0</v>
      </c>
    </row>
    <row r="18" spans="2:40" x14ac:dyDescent="0.35">
      <c r="B18" s="5" t="s">
        <v>18</v>
      </c>
      <c r="C18" s="19" t="s">
        <v>162</v>
      </c>
      <c r="E18" s="53">
        <f>'SA Actual'!E18</f>
        <v>214041.30000000002</v>
      </c>
      <c r="F18" s="53">
        <f>'SA budget'!F18</f>
        <v>301393.21666666667</v>
      </c>
      <c r="G18" s="53">
        <f>'SA budget'!G18</f>
        <v>0</v>
      </c>
      <c r="H18" s="53">
        <f>'SA budget'!H18</f>
        <v>220000</v>
      </c>
      <c r="I18" s="53">
        <f>'SA budget'!I18</f>
        <v>220000</v>
      </c>
      <c r="J18" s="53">
        <f>'SA budget'!J18</f>
        <v>220000</v>
      </c>
      <c r="K18" s="53">
        <f>'SA budget'!K18</f>
        <v>220000</v>
      </c>
      <c r="L18" s="53">
        <f>'SA budget'!L18</f>
        <v>220000</v>
      </c>
      <c r="M18" s="53">
        <f>'SA budget'!M18</f>
        <v>220000</v>
      </c>
      <c r="N18" s="53">
        <f>'SA budget'!N18</f>
        <v>220000</v>
      </c>
      <c r="O18" s="53">
        <f>'SA budget'!O18</f>
        <v>220000</v>
      </c>
      <c r="P18" s="53">
        <f>'SA budget'!P18</f>
        <v>220000</v>
      </c>
      <c r="Q18" s="56"/>
      <c r="R18" s="53">
        <f t="shared" si="10"/>
        <v>2495434.5166666666</v>
      </c>
      <c r="T18" t="s">
        <v>258</v>
      </c>
      <c r="AA18" s="53">
        <f>E18-'SA budget'!E18</f>
        <v>0</v>
      </c>
      <c r="AB18" s="53">
        <f>F18-'SA budget'!F18</f>
        <v>0</v>
      </c>
      <c r="AC18" s="53">
        <f>G18-'SA budget'!G18</f>
        <v>0</v>
      </c>
      <c r="AD18" s="53">
        <f>H18-'SA budget'!H18</f>
        <v>0</v>
      </c>
      <c r="AE18" s="53">
        <f>I18-'SA budget'!I18</f>
        <v>0</v>
      </c>
      <c r="AF18" s="53">
        <f>J18-'SA budget'!J18</f>
        <v>0</v>
      </c>
      <c r="AG18" s="53">
        <f>K18-'SA budget'!K18</f>
        <v>0</v>
      </c>
      <c r="AH18" s="53">
        <f>L18-'SA budget'!L18</f>
        <v>0</v>
      </c>
      <c r="AI18" s="53">
        <f>M18-'SA budget'!M18</f>
        <v>0</v>
      </c>
      <c r="AJ18" s="53">
        <f>N18-'SA budget'!N18</f>
        <v>0</v>
      </c>
      <c r="AK18" s="53">
        <f>O18-'SA budget'!O18</f>
        <v>0</v>
      </c>
      <c r="AL18" s="53">
        <f>P18-'SA budget'!P18</f>
        <v>0</v>
      </c>
      <c r="AM18" s="56"/>
      <c r="AN18" s="53">
        <f t="shared" si="11"/>
        <v>0</v>
      </c>
    </row>
    <row r="19" spans="2:40" x14ac:dyDescent="0.35">
      <c r="B19" s="5" t="s">
        <v>227</v>
      </c>
      <c r="C19" s="19" t="s">
        <v>162</v>
      </c>
      <c r="E19" s="53">
        <f>'SA Actual'!E19</f>
        <v>0</v>
      </c>
      <c r="F19" s="53">
        <f>'SA budget'!F19</f>
        <v>0</v>
      </c>
      <c r="G19" s="53">
        <f>'SA budget'!G19</f>
        <v>0</v>
      </c>
      <c r="H19" s="53">
        <f>'SA budget'!H19</f>
        <v>3000000</v>
      </c>
      <c r="I19" s="53">
        <f>'SA budget'!I19</f>
        <v>375000</v>
      </c>
      <c r="J19" s="53">
        <f>'SA budget'!J19</f>
        <v>375000</v>
      </c>
      <c r="K19" s="53">
        <f>'SA budget'!K19</f>
        <v>375000</v>
      </c>
      <c r="L19" s="53">
        <f>'SA budget'!L19</f>
        <v>375000</v>
      </c>
      <c r="M19" s="53">
        <f>'SA budget'!M19</f>
        <v>375000</v>
      </c>
      <c r="N19" s="53">
        <f>'SA budget'!N19</f>
        <v>375000</v>
      </c>
      <c r="O19" s="53">
        <f>'SA budget'!O19</f>
        <v>375000</v>
      </c>
      <c r="P19" s="53">
        <f>'SA budget'!P19</f>
        <v>375000</v>
      </c>
      <c r="Q19" s="56"/>
      <c r="R19" s="53">
        <f t="shared" si="10"/>
        <v>6000000</v>
      </c>
      <c r="T19" t="s">
        <v>235</v>
      </c>
      <c r="AA19" s="53">
        <f>E19-'SA budget'!E19</f>
        <v>0</v>
      </c>
      <c r="AB19" s="53">
        <f>F19-'SA budget'!F19</f>
        <v>0</v>
      </c>
      <c r="AC19" s="53">
        <f>G19-'SA budget'!G19</f>
        <v>0</v>
      </c>
      <c r="AD19" s="53">
        <f>H19-'SA budget'!H19</f>
        <v>0</v>
      </c>
      <c r="AE19" s="53">
        <f>I19-'SA budget'!I19</f>
        <v>0</v>
      </c>
      <c r="AF19" s="53">
        <f>J19-'SA budget'!J19</f>
        <v>0</v>
      </c>
      <c r="AG19" s="53">
        <f>K19-'SA budget'!K19</f>
        <v>0</v>
      </c>
      <c r="AH19" s="53">
        <f>L19-'SA budget'!L19</f>
        <v>0</v>
      </c>
      <c r="AI19" s="53">
        <f>M19-'SA budget'!M19</f>
        <v>0</v>
      </c>
      <c r="AJ19" s="53">
        <f>N19-'SA budget'!N19</f>
        <v>0</v>
      </c>
      <c r="AK19" s="53">
        <f>O19-'SA budget'!O19</f>
        <v>0</v>
      </c>
      <c r="AL19" s="53">
        <f>P19-'SA budget'!P19</f>
        <v>0</v>
      </c>
      <c r="AM19" s="56"/>
      <c r="AN19" s="53">
        <f t="shared" si="11"/>
        <v>0</v>
      </c>
    </row>
    <row r="20" spans="2:40" x14ac:dyDescent="0.35">
      <c r="B20" s="42" t="s">
        <v>50</v>
      </c>
      <c r="C20" s="19" t="s">
        <v>162</v>
      </c>
      <c r="E20" s="55">
        <f t="shared" ref="E20:P20" si="12">SUM(E10:E19)</f>
        <v>9972731.2833333351</v>
      </c>
      <c r="F20" s="55">
        <f t="shared" si="12"/>
        <v>2881770.8833333338</v>
      </c>
      <c r="G20" s="55">
        <f t="shared" si="12"/>
        <v>3665521.2250000006</v>
      </c>
      <c r="H20" s="55">
        <f t="shared" si="12"/>
        <v>10982387.949999999</v>
      </c>
      <c r="I20" s="55">
        <f t="shared" si="12"/>
        <v>12487444.73</v>
      </c>
      <c r="J20" s="55">
        <f t="shared" si="12"/>
        <v>3245000</v>
      </c>
      <c r="K20" s="55">
        <f t="shared" si="12"/>
        <v>7069735.5099999998</v>
      </c>
      <c r="L20" s="55">
        <f t="shared" si="12"/>
        <v>12150983.968940718</v>
      </c>
      <c r="M20" s="55">
        <f t="shared" si="12"/>
        <v>1641705.56</v>
      </c>
      <c r="N20" s="55">
        <f t="shared" si="12"/>
        <v>595000</v>
      </c>
      <c r="O20" s="55">
        <f t="shared" si="12"/>
        <v>8828148.5600000005</v>
      </c>
      <c r="P20" s="55">
        <f t="shared" si="12"/>
        <v>595000</v>
      </c>
      <c r="Q20" s="56"/>
      <c r="R20" s="55">
        <f t="shared" si="10"/>
        <v>74115429.670607388</v>
      </c>
      <c r="AA20" s="55">
        <f t="shared" ref="AA20:AL20" si="13">SUM(AA10:AA19)</f>
        <v>0</v>
      </c>
      <c r="AB20" s="55">
        <f t="shared" si="13"/>
        <v>0</v>
      </c>
      <c r="AC20" s="55">
        <f t="shared" si="13"/>
        <v>0</v>
      </c>
      <c r="AD20" s="55">
        <f t="shared" si="13"/>
        <v>0</v>
      </c>
      <c r="AE20" s="55">
        <f t="shared" si="13"/>
        <v>0</v>
      </c>
      <c r="AF20" s="55">
        <f t="shared" si="13"/>
        <v>0</v>
      </c>
      <c r="AG20" s="55">
        <f t="shared" si="13"/>
        <v>0</v>
      </c>
      <c r="AH20" s="55">
        <f t="shared" si="13"/>
        <v>0</v>
      </c>
      <c r="AI20" s="55">
        <f t="shared" si="13"/>
        <v>0</v>
      </c>
      <c r="AJ20" s="55">
        <f t="shared" si="13"/>
        <v>0</v>
      </c>
      <c r="AK20" s="55">
        <f t="shared" si="13"/>
        <v>0</v>
      </c>
      <c r="AL20" s="55">
        <f t="shared" si="13"/>
        <v>0</v>
      </c>
      <c r="AM20" s="56"/>
      <c r="AN20" s="55">
        <f t="shared" si="11"/>
        <v>0</v>
      </c>
    </row>
    <row r="21" spans="2:40" x14ac:dyDescent="0.35"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</row>
    <row r="22" spans="2:40" x14ac:dyDescent="0.35">
      <c r="B22" s="5" t="s">
        <v>206</v>
      </c>
      <c r="C22" s="19" t="s">
        <v>162</v>
      </c>
      <c r="E22" s="53">
        <f>'SA Actual'!E22</f>
        <v>5117218.75</v>
      </c>
      <c r="F22" s="53">
        <f>'SA budget'!F22</f>
        <v>4718356.8811111106</v>
      </c>
      <c r="G22" s="53">
        <f>'SA budget'!G22</f>
        <v>4718356.8811111106</v>
      </c>
      <c r="H22" s="53">
        <f>'SA budget'!H22</f>
        <v>4718356.8811111106</v>
      </c>
      <c r="I22" s="53">
        <f>'SA budget'!I22</f>
        <v>4596761.8811111106</v>
      </c>
      <c r="J22" s="53">
        <f>'SA budget'!J22</f>
        <v>4596761.8811111106</v>
      </c>
      <c r="K22" s="53">
        <f>'SA budget'!K22</f>
        <v>4596761.8811111106</v>
      </c>
      <c r="L22" s="53">
        <f>'SA budget'!L22</f>
        <v>4858617.1033333316</v>
      </c>
      <c r="M22" s="53">
        <f>'SA budget'!M22</f>
        <v>4858617.1033333316</v>
      </c>
      <c r="N22" s="53">
        <f>'SA budget'!N22</f>
        <v>4858617.1033333316</v>
      </c>
      <c r="O22" s="53">
        <f>'SA budget'!O22</f>
        <v>5128841.5477777757</v>
      </c>
      <c r="P22" s="53">
        <f>'SA budget'!P22</f>
        <v>5128841.5477777757</v>
      </c>
      <c r="Q22" s="56"/>
      <c r="R22" s="53">
        <f t="shared" si="10"/>
        <v>57896109.442222208</v>
      </c>
      <c r="AA22" s="53">
        <f>E22-'SA budget'!E22</f>
        <v>398861.86888888944</v>
      </c>
      <c r="AB22" s="53">
        <f>F22-'SA budget'!F22</f>
        <v>0</v>
      </c>
      <c r="AC22" s="53">
        <f>G22-'SA budget'!G22</f>
        <v>0</v>
      </c>
      <c r="AD22" s="53">
        <f>H22-'SA budget'!H22</f>
        <v>0</v>
      </c>
      <c r="AE22" s="53">
        <f>I22-'SA budget'!I22</f>
        <v>0</v>
      </c>
      <c r="AF22" s="53">
        <f>J22-'SA budget'!J22</f>
        <v>0</v>
      </c>
      <c r="AG22" s="53">
        <f>K22-'SA budget'!K22</f>
        <v>0</v>
      </c>
      <c r="AH22" s="53">
        <f>L22-'SA budget'!L22</f>
        <v>0</v>
      </c>
      <c r="AI22" s="53">
        <f>M22-'SA budget'!M22</f>
        <v>0</v>
      </c>
      <c r="AJ22" s="53">
        <f>N22-'SA budget'!N22</f>
        <v>0</v>
      </c>
      <c r="AK22" s="53">
        <f>O22-'SA budget'!O22</f>
        <v>0</v>
      </c>
      <c r="AL22" s="53">
        <f>P22-'SA budget'!P22</f>
        <v>0</v>
      </c>
      <c r="AM22" s="56"/>
      <c r="AN22" s="53">
        <f t="shared" ref="AN22:AN24" si="14">SUM(AA22:AL22)</f>
        <v>398861.86888888944</v>
      </c>
    </row>
    <row r="23" spans="2:40" x14ac:dyDescent="0.35">
      <c r="B23" s="5" t="s">
        <v>178</v>
      </c>
      <c r="C23" s="19" t="s">
        <v>162</v>
      </c>
      <c r="E23" s="53">
        <f>'SA Actual'!E23</f>
        <v>405647.09166666667</v>
      </c>
      <c r="F23" s="53">
        <f>'SA budget'!F23</f>
        <v>416446.66666666669</v>
      </c>
      <c r="G23" s="53">
        <f>'SA budget'!G23</f>
        <v>416446.66666666669</v>
      </c>
      <c r="H23" s="53">
        <f>'SA budget'!H23</f>
        <v>416446.66666666669</v>
      </c>
      <c r="I23" s="53">
        <f>'SA budget'!I23</f>
        <v>431846.66666666669</v>
      </c>
      <c r="J23" s="53">
        <f>'SA budget'!J23</f>
        <v>431846.66666666669</v>
      </c>
      <c r="K23" s="53">
        <f>'SA budget'!K23</f>
        <v>431846.66666666669</v>
      </c>
      <c r="L23" s="53">
        <f>'SA budget'!L23</f>
        <v>431846.66666666669</v>
      </c>
      <c r="M23" s="53">
        <f>'SA budget'!M23</f>
        <v>431846.66666666669</v>
      </c>
      <c r="N23" s="53">
        <f>'SA budget'!N23</f>
        <v>431846.66666666669</v>
      </c>
      <c r="O23" s="53">
        <f>'SA budget'!O23</f>
        <v>420866.66666666669</v>
      </c>
      <c r="P23" s="53">
        <f>'SA budget'!P23</f>
        <v>420866.66666666669</v>
      </c>
      <c r="Q23" s="56"/>
      <c r="R23" s="53">
        <f t="shared" si="10"/>
        <v>5087800.4250000007</v>
      </c>
      <c r="AA23" s="53">
        <f>E23-'SA budget'!E23</f>
        <v>-10799.575000000012</v>
      </c>
      <c r="AB23" s="53">
        <f>F23-'SA budget'!F23</f>
        <v>0</v>
      </c>
      <c r="AC23" s="53">
        <f>G23-'SA budget'!G23</f>
        <v>0</v>
      </c>
      <c r="AD23" s="53">
        <f>H23-'SA budget'!H23</f>
        <v>0</v>
      </c>
      <c r="AE23" s="53">
        <f>I23-'SA budget'!I23</f>
        <v>0</v>
      </c>
      <c r="AF23" s="53">
        <f>J23-'SA budget'!J23</f>
        <v>0</v>
      </c>
      <c r="AG23" s="53">
        <f>K23-'SA budget'!K23</f>
        <v>0</v>
      </c>
      <c r="AH23" s="53">
        <f>L23-'SA budget'!L23</f>
        <v>0</v>
      </c>
      <c r="AI23" s="53">
        <f>M23-'SA budget'!M23</f>
        <v>0</v>
      </c>
      <c r="AJ23" s="53">
        <f>N23-'SA budget'!N23</f>
        <v>0</v>
      </c>
      <c r="AK23" s="53">
        <f>O23-'SA budget'!O23</f>
        <v>0</v>
      </c>
      <c r="AL23" s="53">
        <f>P23-'SA budget'!P23</f>
        <v>0</v>
      </c>
      <c r="AM23" s="56"/>
      <c r="AN23" s="53">
        <f t="shared" si="14"/>
        <v>-10799.575000000012</v>
      </c>
    </row>
    <row r="24" spans="2:40" x14ac:dyDescent="0.35">
      <c r="B24" s="5" t="s">
        <v>80</v>
      </c>
      <c r="C24" s="19" t="s">
        <v>162</v>
      </c>
      <c r="E24" s="53">
        <f>'SA Actual'!E24</f>
        <v>17774.39</v>
      </c>
      <c r="F24" s="53">
        <f>'SA budget'!F24</f>
        <v>0</v>
      </c>
      <c r="G24" s="53">
        <f>'SA budget'!G24</f>
        <v>0</v>
      </c>
      <c r="H24" s="53">
        <f>'SA budget'!H24</f>
        <v>0</v>
      </c>
      <c r="I24" s="53">
        <f>'SA budget'!I24</f>
        <v>0</v>
      </c>
      <c r="J24" s="53">
        <f>'SA budget'!J24</f>
        <v>0</v>
      </c>
      <c r="K24" s="53">
        <f>'SA budget'!K24</f>
        <v>0</v>
      </c>
      <c r="L24" s="53">
        <f>'SA budget'!L24</f>
        <v>0</v>
      </c>
      <c r="M24" s="53">
        <f>'SA budget'!M24</f>
        <v>0</v>
      </c>
      <c r="N24" s="53">
        <f>'SA budget'!N24</f>
        <v>0</v>
      </c>
      <c r="O24" s="53">
        <f>'SA budget'!O24</f>
        <v>0</v>
      </c>
      <c r="P24" s="53">
        <f>'SA budget'!P24</f>
        <v>0</v>
      </c>
      <c r="Q24" s="56"/>
      <c r="R24" s="53"/>
      <c r="AA24" s="53">
        <f>E24-'SA budget'!E24</f>
        <v>17774.39</v>
      </c>
      <c r="AB24" s="53">
        <f>F24-'SA budget'!F24</f>
        <v>0</v>
      </c>
      <c r="AC24" s="53">
        <f>G24-'SA budget'!G24</f>
        <v>0</v>
      </c>
      <c r="AD24" s="53">
        <f>H24-'SA budget'!H24</f>
        <v>0</v>
      </c>
      <c r="AE24" s="53">
        <f>I24-'SA budget'!I24</f>
        <v>0</v>
      </c>
      <c r="AF24" s="53">
        <f>J24-'SA budget'!J24</f>
        <v>0</v>
      </c>
      <c r="AG24" s="53">
        <f>K24-'SA budget'!K24</f>
        <v>0</v>
      </c>
      <c r="AH24" s="53">
        <f>L24-'SA budget'!L24</f>
        <v>0</v>
      </c>
      <c r="AI24" s="53">
        <f>M24-'SA budget'!M24</f>
        <v>0</v>
      </c>
      <c r="AJ24" s="53">
        <f>N24-'SA budget'!N24</f>
        <v>0</v>
      </c>
      <c r="AK24" s="53">
        <f>O24-'SA budget'!O24</f>
        <v>0</v>
      </c>
      <c r="AL24" s="53">
        <f>P24-'SA budget'!P24</f>
        <v>0</v>
      </c>
      <c r="AM24" s="56"/>
      <c r="AN24" s="53">
        <f t="shared" si="14"/>
        <v>17774.39</v>
      </c>
    </row>
    <row r="25" spans="2:40" x14ac:dyDescent="0.35">
      <c r="B25" s="42" t="s">
        <v>59</v>
      </c>
      <c r="C25" s="19" t="s">
        <v>162</v>
      </c>
      <c r="E25" s="52">
        <f>SUM(E22:E24)</f>
        <v>5540640.2316666665</v>
      </c>
      <c r="F25" s="52">
        <f t="shared" ref="F25:P25" si="15">SUM(F22:F24)</f>
        <v>5134803.5477777775</v>
      </c>
      <c r="G25" s="52">
        <f t="shared" si="15"/>
        <v>5134803.5477777775</v>
      </c>
      <c r="H25" s="52">
        <f t="shared" si="15"/>
        <v>5134803.5477777775</v>
      </c>
      <c r="I25" s="52">
        <f t="shared" si="15"/>
        <v>5028608.5477777775</v>
      </c>
      <c r="J25" s="52">
        <f t="shared" si="15"/>
        <v>5028608.5477777775</v>
      </c>
      <c r="K25" s="52">
        <f t="shared" si="15"/>
        <v>5028608.5477777775</v>
      </c>
      <c r="L25" s="52">
        <f t="shared" si="15"/>
        <v>5290463.7699999986</v>
      </c>
      <c r="M25" s="52">
        <f>SUM(M22:M24)</f>
        <v>5290463.7699999986</v>
      </c>
      <c r="N25" s="52">
        <f t="shared" si="15"/>
        <v>5290463.7699999986</v>
      </c>
      <c r="O25" s="52">
        <f t="shared" si="15"/>
        <v>5549708.2144444427</v>
      </c>
      <c r="P25" s="52">
        <f t="shared" si="15"/>
        <v>5549708.2144444427</v>
      </c>
      <c r="Q25" s="56"/>
      <c r="R25" s="52">
        <f>SUM(E25:P25)</f>
        <v>63001684.257222213</v>
      </c>
      <c r="AA25" s="52">
        <f>SUM(AA22:AA24)</f>
        <v>405836.68388888944</v>
      </c>
      <c r="AB25" s="52">
        <f t="shared" ref="AB25:AL25" si="16">SUM(AB22:AB24)</f>
        <v>0</v>
      </c>
      <c r="AC25" s="52">
        <f t="shared" si="16"/>
        <v>0</v>
      </c>
      <c r="AD25" s="52">
        <f t="shared" si="16"/>
        <v>0</v>
      </c>
      <c r="AE25" s="52">
        <f t="shared" si="16"/>
        <v>0</v>
      </c>
      <c r="AF25" s="52">
        <f t="shared" si="16"/>
        <v>0</v>
      </c>
      <c r="AG25" s="52">
        <f t="shared" si="16"/>
        <v>0</v>
      </c>
      <c r="AH25" s="52">
        <f t="shared" si="16"/>
        <v>0</v>
      </c>
      <c r="AI25" s="52">
        <f t="shared" si="16"/>
        <v>0</v>
      </c>
      <c r="AJ25" s="52">
        <f t="shared" si="16"/>
        <v>0</v>
      </c>
      <c r="AK25" s="52">
        <f t="shared" si="16"/>
        <v>0</v>
      </c>
      <c r="AL25" s="52">
        <f t="shared" si="16"/>
        <v>0</v>
      </c>
      <c r="AM25" s="56"/>
      <c r="AN25" s="52">
        <f t="shared" ref="AN25" si="17">SUM(AA25:AL25)</f>
        <v>405836.68388888944</v>
      </c>
    </row>
    <row r="27" spans="2:40" x14ac:dyDescent="0.35">
      <c r="B27" s="42" t="s">
        <v>300</v>
      </c>
      <c r="C27" s="19" t="s">
        <v>162</v>
      </c>
      <c r="E27" s="52">
        <f>'SA Actual'!E27</f>
        <v>0</v>
      </c>
      <c r="F27" s="52">
        <f>'SA budget'!F27</f>
        <v>0</v>
      </c>
      <c r="G27" s="52">
        <f>'SA budget'!G27</f>
        <v>0</v>
      </c>
      <c r="H27" s="52">
        <f>'SA budget'!H27</f>
        <v>200000</v>
      </c>
      <c r="I27" s="52">
        <f>'SA budget'!I27</f>
        <v>200000</v>
      </c>
      <c r="J27" s="52">
        <f>'SA budget'!J27</f>
        <v>200000</v>
      </c>
      <c r="K27" s="52">
        <f>'SA budget'!K27</f>
        <v>200000</v>
      </c>
      <c r="L27" s="52">
        <f>'SA budget'!L27</f>
        <v>200000</v>
      </c>
      <c r="M27" s="52">
        <f>'SA budget'!M27</f>
        <v>200000</v>
      </c>
      <c r="N27" s="52">
        <f>'SA budget'!N27</f>
        <v>200000</v>
      </c>
      <c r="O27" s="52">
        <f>'SA budget'!O27</f>
        <v>200000</v>
      </c>
      <c r="P27" s="52">
        <f>'SA budget'!P27</f>
        <v>200000</v>
      </c>
      <c r="Q27" s="56"/>
      <c r="R27" s="52">
        <f t="shared" ref="R27" si="18">SUM(E27:P27)</f>
        <v>1800000</v>
      </c>
      <c r="AA27" s="53">
        <f>E27-'SA budget'!E27</f>
        <v>0</v>
      </c>
      <c r="AB27" s="53">
        <f>F27-'SA budget'!F27</f>
        <v>0</v>
      </c>
      <c r="AC27" s="53">
        <f>G27-'SA budget'!G27</f>
        <v>0</v>
      </c>
      <c r="AD27" s="53">
        <f>H27-'SA budget'!H27</f>
        <v>0</v>
      </c>
      <c r="AE27" s="53">
        <f>I27-'SA budget'!I27</f>
        <v>0</v>
      </c>
      <c r="AF27" s="53">
        <f>J27-'SA budget'!J27</f>
        <v>0</v>
      </c>
      <c r="AG27" s="53">
        <f>K27-'SA budget'!K27</f>
        <v>0</v>
      </c>
      <c r="AH27" s="53">
        <f>L27-'SA budget'!L27</f>
        <v>0</v>
      </c>
      <c r="AI27" s="53">
        <f>M27-'SA budget'!M27</f>
        <v>0</v>
      </c>
      <c r="AJ27" s="53">
        <f>N27-'SA budget'!N27</f>
        <v>0</v>
      </c>
      <c r="AK27" s="53">
        <f>O27-'SA budget'!O27</f>
        <v>0</v>
      </c>
      <c r="AL27" s="53">
        <f>P27-'SA budget'!P27</f>
        <v>0</v>
      </c>
      <c r="AM27" s="56"/>
      <c r="AN27" s="52">
        <f t="shared" ref="AN27" si="19">SUM(AA27:AL27)</f>
        <v>0</v>
      </c>
    </row>
    <row r="28" spans="2:40" x14ac:dyDescent="0.35"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</row>
    <row r="29" spans="2:40" x14ac:dyDescent="0.35">
      <c r="B29" s="5" t="s">
        <v>26</v>
      </c>
      <c r="C29" s="19" t="s">
        <v>162</v>
      </c>
      <c r="E29" s="53">
        <f>'SA Actual'!E29</f>
        <v>309076.43</v>
      </c>
      <c r="F29" s="53">
        <f>'SA budget'!F29</f>
        <v>296854.80682433327</v>
      </c>
      <c r="G29" s="53">
        <f>'SA budget'!G29</f>
        <v>296854.80682433327</v>
      </c>
      <c r="H29" s="53">
        <f>'SA budget'!H29</f>
        <v>296854.80682433327</v>
      </c>
      <c r="I29" s="53">
        <f>'SA budget'!I29</f>
        <v>296854.80682433327</v>
      </c>
      <c r="J29" s="53">
        <f>'SA budget'!J29</f>
        <v>296854.80682433327</v>
      </c>
      <c r="K29" s="53">
        <f>'SA budget'!K29</f>
        <v>296854.80682433327</v>
      </c>
      <c r="L29" s="53">
        <f>'SA budget'!L29</f>
        <v>296854.80682433327</v>
      </c>
      <c r="M29" s="53">
        <f>'SA budget'!M29</f>
        <v>296854.80682433327</v>
      </c>
      <c r="N29" s="53">
        <f>'SA budget'!N29</f>
        <v>296854.80682433327</v>
      </c>
      <c r="O29" s="53">
        <f>'SA budget'!O29</f>
        <v>296854.80682433327</v>
      </c>
      <c r="P29" s="53">
        <f>'SA budget'!P29</f>
        <v>296854.80682433327</v>
      </c>
      <c r="Q29" s="56"/>
      <c r="R29" s="53">
        <f t="shared" si="10"/>
        <v>3574479.3050676649</v>
      </c>
      <c r="AA29" s="53">
        <f>E29-'SA budget'!E29</f>
        <v>12221.623175666726</v>
      </c>
      <c r="AB29" s="53">
        <f>F29-'SA budget'!F29</f>
        <v>0</v>
      </c>
      <c r="AC29" s="53">
        <f>G29-'SA budget'!G29</f>
        <v>0</v>
      </c>
      <c r="AD29" s="53">
        <f>H29-'SA budget'!H29</f>
        <v>0</v>
      </c>
      <c r="AE29" s="53">
        <f>I29-'SA budget'!I29</f>
        <v>0</v>
      </c>
      <c r="AF29" s="53">
        <f>J29-'SA budget'!J29</f>
        <v>0</v>
      </c>
      <c r="AG29" s="53">
        <f>K29-'SA budget'!K29</f>
        <v>0</v>
      </c>
      <c r="AH29" s="53">
        <f>L29-'SA budget'!L29</f>
        <v>0</v>
      </c>
      <c r="AI29" s="53">
        <f>M29-'SA budget'!M29</f>
        <v>0</v>
      </c>
      <c r="AJ29" s="53">
        <f>N29-'SA budget'!N29</f>
        <v>0</v>
      </c>
      <c r="AK29" s="53">
        <f>O29-'SA budget'!O29</f>
        <v>0</v>
      </c>
      <c r="AL29" s="53">
        <f>P29-'SA budget'!P29</f>
        <v>0</v>
      </c>
      <c r="AM29" s="56"/>
      <c r="AN29" s="53">
        <f t="shared" ref="AN29:AN36" si="20">SUM(AA29:AL29)</f>
        <v>12221.623175666726</v>
      </c>
    </row>
    <row r="30" spans="2:40" x14ac:dyDescent="0.35">
      <c r="B30" s="5" t="s">
        <v>27</v>
      </c>
      <c r="C30" s="19" t="s">
        <v>162</v>
      </c>
      <c r="E30" s="53">
        <f>'SA Actual'!E30</f>
        <v>0</v>
      </c>
      <c r="F30" s="53">
        <f>'SA budget'!F30</f>
        <v>662352.22932799999</v>
      </c>
      <c r="G30" s="53">
        <f>'SA budget'!G30</f>
        <v>0</v>
      </c>
      <c r="H30" s="53">
        <f>'SA budget'!H30</f>
        <v>0</v>
      </c>
      <c r="I30" s="53">
        <f>'SA budget'!I30</f>
        <v>0</v>
      </c>
      <c r="J30" s="53">
        <f>'SA budget'!J30</f>
        <v>277342.06499999994</v>
      </c>
      <c r="K30" s="53">
        <f>'SA budget'!K30</f>
        <v>0</v>
      </c>
      <c r="L30" s="53">
        <f>'SA budget'!L30</f>
        <v>0</v>
      </c>
      <c r="M30" s="53">
        <f>'SA budget'!M30</f>
        <v>0</v>
      </c>
      <c r="N30" s="53">
        <f>'SA budget'!N30</f>
        <v>0</v>
      </c>
      <c r="O30" s="53">
        <f>'SA budget'!O30</f>
        <v>0</v>
      </c>
      <c r="P30" s="53">
        <f>'SA budget'!P30</f>
        <v>0</v>
      </c>
      <c r="Q30" s="56"/>
      <c r="R30" s="53">
        <f t="shared" si="10"/>
        <v>939694.29432799993</v>
      </c>
      <c r="AA30" s="53">
        <f>E30-'SA budget'!E30</f>
        <v>0</v>
      </c>
      <c r="AB30" s="53">
        <f>F30-'SA budget'!F30</f>
        <v>0</v>
      </c>
      <c r="AC30" s="53">
        <f>G30-'SA budget'!G30</f>
        <v>0</v>
      </c>
      <c r="AD30" s="53">
        <f>H30-'SA budget'!H30</f>
        <v>0</v>
      </c>
      <c r="AE30" s="53">
        <f>I30-'SA budget'!I30</f>
        <v>0</v>
      </c>
      <c r="AF30" s="53">
        <f>J30-'SA budget'!J30</f>
        <v>0</v>
      </c>
      <c r="AG30" s="53">
        <f>K30-'SA budget'!K30</f>
        <v>0</v>
      </c>
      <c r="AH30" s="53">
        <f>L30-'SA budget'!L30</f>
        <v>0</v>
      </c>
      <c r="AI30" s="53">
        <f>M30-'SA budget'!M30</f>
        <v>0</v>
      </c>
      <c r="AJ30" s="53">
        <f>N30-'SA budget'!N30</f>
        <v>0</v>
      </c>
      <c r="AK30" s="53">
        <f>O30-'SA budget'!O30</f>
        <v>0</v>
      </c>
      <c r="AL30" s="53">
        <f>P30-'SA budget'!P30</f>
        <v>0</v>
      </c>
      <c r="AM30" s="56"/>
      <c r="AN30" s="53">
        <f t="shared" si="20"/>
        <v>0</v>
      </c>
    </row>
    <row r="31" spans="2:40" x14ac:dyDescent="0.35">
      <c r="B31" s="5" t="s">
        <v>28</v>
      </c>
      <c r="C31" s="19" t="s">
        <v>162</v>
      </c>
      <c r="E31" s="53">
        <f>'SA Actual'!E31</f>
        <v>175083</v>
      </c>
      <c r="F31" s="53">
        <f>'SA budget'!F31</f>
        <v>213251.39038233334</v>
      </c>
      <c r="G31" s="53">
        <f>'SA budget'!G31</f>
        <v>689064.92137433344</v>
      </c>
      <c r="H31" s="53">
        <f>'SA budget'!H31</f>
        <v>213251.39038233334</v>
      </c>
      <c r="I31" s="53">
        <f>'SA budget'!I31</f>
        <v>213251.39038233334</v>
      </c>
      <c r="J31" s="53">
        <f>'SA budget'!J31</f>
        <v>213251.39038233334</v>
      </c>
      <c r="K31" s="53">
        <f>'SA budget'!K31</f>
        <v>412485.4253823334</v>
      </c>
      <c r="L31" s="53">
        <f>'SA budget'!L31</f>
        <v>213251.39038233334</v>
      </c>
      <c r="M31" s="53">
        <f>'SA budget'!M31</f>
        <v>213251.39038233334</v>
      </c>
      <c r="N31" s="53">
        <f>'SA budget'!N31</f>
        <v>213251.39038233334</v>
      </c>
      <c r="O31" s="53">
        <f>'SA budget'!O31</f>
        <v>213251.39038233334</v>
      </c>
      <c r="P31" s="53">
        <f>'SA budget'!P31</f>
        <v>213251.39038233334</v>
      </c>
      <c r="Q31" s="56"/>
      <c r="R31" s="53">
        <f t="shared" si="10"/>
        <v>3195895.8601976666</v>
      </c>
      <c r="AA31" s="53">
        <f>E31-'SA budget'!E31</f>
        <v>-38168.390382333338</v>
      </c>
      <c r="AB31" s="53">
        <f>F31-'SA budget'!F31</f>
        <v>0</v>
      </c>
      <c r="AC31" s="53">
        <f>G31-'SA budget'!G31</f>
        <v>0</v>
      </c>
      <c r="AD31" s="53">
        <f>H31-'SA budget'!H31</f>
        <v>0</v>
      </c>
      <c r="AE31" s="53">
        <f>I31-'SA budget'!I31</f>
        <v>0</v>
      </c>
      <c r="AF31" s="53">
        <f>J31-'SA budget'!J31</f>
        <v>0</v>
      </c>
      <c r="AG31" s="53">
        <f>K31-'SA budget'!K31</f>
        <v>0</v>
      </c>
      <c r="AH31" s="53">
        <f>L31-'SA budget'!L31</f>
        <v>0</v>
      </c>
      <c r="AI31" s="53">
        <f>M31-'SA budget'!M31</f>
        <v>0</v>
      </c>
      <c r="AJ31" s="53">
        <f>N31-'SA budget'!N31</f>
        <v>0</v>
      </c>
      <c r="AK31" s="53">
        <f>O31-'SA budget'!O31</f>
        <v>0</v>
      </c>
      <c r="AL31" s="53">
        <f>P31-'SA budget'!P31</f>
        <v>0</v>
      </c>
      <c r="AM31" s="56"/>
      <c r="AN31" s="53">
        <f t="shared" si="20"/>
        <v>-38168.390382333338</v>
      </c>
    </row>
    <row r="32" spans="2:40" x14ac:dyDescent="0.35">
      <c r="B32" s="5" t="s">
        <v>29</v>
      </c>
      <c r="C32" s="19" t="s">
        <v>162</v>
      </c>
      <c r="E32" s="53">
        <f>'SA Actual'!E32</f>
        <v>70015.02</v>
      </c>
      <c r="F32" s="53">
        <f>'SA budget'!F32</f>
        <v>93053.398923333327</v>
      </c>
      <c r="G32" s="53">
        <f>'SA budget'!G32</f>
        <v>300677.20964333334</v>
      </c>
      <c r="H32" s="53">
        <f>'SA budget'!H32</f>
        <v>93053.398923333327</v>
      </c>
      <c r="I32" s="53">
        <f>'SA budget'!I32</f>
        <v>93053.398923333327</v>
      </c>
      <c r="J32" s="53">
        <f>'SA budget'!J32</f>
        <v>93053.398923333327</v>
      </c>
      <c r="K32" s="53">
        <f>'SA budget'!K32</f>
        <v>179990.24892333333</v>
      </c>
      <c r="L32" s="53">
        <f>'SA budget'!L32</f>
        <v>93053.398923333327</v>
      </c>
      <c r="M32" s="53">
        <f>'SA budget'!M32</f>
        <v>93053.398923333327</v>
      </c>
      <c r="N32" s="53">
        <f>'SA budget'!N32</f>
        <v>93053.398923333327</v>
      </c>
      <c r="O32" s="53">
        <f>'SA budget'!O32</f>
        <v>93053.398923333327</v>
      </c>
      <c r="P32" s="53">
        <f>'SA budget'!P32</f>
        <v>93053.398923333327</v>
      </c>
      <c r="Q32" s="56"/>
      <c r="R32" s="53">
        <f t="shared" si="10"/>
        <v>1388163.0688766662</v>
      </c>
      <c r="AA32" s="53">
        <f>E32-'SA budget'!E32</f>
        <v>-23038.378923333323</v>
      </c>
      <c r="AB32" s="53">
        <f>F32-'SA budget'!F32</f>
        <v>0</v>
      </c>
      <c r="AC32" s="53">
        <f>G32-'SA budget'!G32</f>
        <v>0</v>
      </c>
      <c r="AD32" s="53">
        <f>H32-'SA budget'!H32</f>
        <v>0</v>
      </c>
      <c r="AE32" s="53">
        <f>I32-'SA budget'!I32</f>
        <v>0</v>
      </c>
      <c r="AF32" s="53">
        <f>J32-'SA budget'!J32</f>
        <v>0</v>
      </c>
      <c r="AG32" s="53">
        <f>K32-'SA budget'!K32</f>
        <v>0</v>
      </c>
      <c r="AH32" s="53">
        <f>L32-'SA budget'!L32</f>
        <v>0</v>
      </c>
      <c r="AI32" s="53">
        <f>M32-'SA budget'!M32</f>
        <v>0</v>
      </c>
      <c r="AJ32" s="53">
        <f>N32-'SA budget'!N32</f>
        <v>0</v>
      </c>
      <c r="AK32" s="53">
        <f>O32-'SA budget'!O32</f>
        <v>0</v>
      </c>
      <c r="AL32" s="53">
        <f>P32-'SA budget'!P32</f>
        <v>0</v>
      </c>
      <c r="AM32" s="56"/>
      <c r="AN32" s="53">
        <f t="shared" si="20"/>
        <v>-23038.378923333323</v>
      </c>
    </row>
    <row r="33" spans="2:40" x14ac:dyDescent="0.35">
      <c r="B33" s="5" t="s">
        <v>30</v>
      </c>
      <c r="C33" s="19" t="s">
        <v>162</v>
      </c>
      <c r="E33" s="53">
        <f>'SA Actual'!E33</f>
        <v>0</v>
      </c>
      <c r="F33" s="53">
        <f>'SA budget'!F33</f>
        <v>0</v>
      </c>
      <c r="G33" s="53">
        <f>'SA budget'!G33</f>
        <v>0</v>
      </c>
      <c r="H33" s="53">
        <f>'SA budget'!H33</f>
        <v>44138.446275000002</v>
      </c>
      <c r="I33" s="53">
        <f>'SA budget'!I33</f>
        <v>0</v>
      </c>
      <c r="J33" s="53">
        <f>'SA budget'!J33</f>
        <v>0</v>
      </c>
      <c r="K33" s="53">
        <f>'SA budget'!K33</f>
        <v>25312.453075000001</v>
      </c>
      <c r="L33" s="53">
        <f>'SA budget'!L33</f>
        <v>0</v>
      </c>
      <c r="M33" s="53">
        <f>'SA budget'!M33</f>
        <v>0</v>
      </c>
      <c r="N33" s="53">
        <f>'SA budget'!N33</f>
        <v>25312.453075000001</v>
      </c>
      <c r="O33" s="53">
        <f>'SA budget'!O33</f>
        <v>0</v>
      </c>
      <c r="P33" s="53">
        <f>'SA budget'!P33</f>
        <v>0</v>
      </c>
      <c r="Q33" s="56"/>
      <c r="R33" s="53">
        <f t="shared" si="10"/>
        <v>94763.352425000005</v>
      </c>
      <c r="AA33" s="53">
        <f>E33-'SA budget'!E33</f>
        <v>-25312.453074999998</v>
      </c>
      <c r="AB33" s="53">
        <f>F33-'SA budget'!F33</f>
        <v>0</v>
      </c>
      <c r="AC33" s="53">
        <f>G33-'SA budget'!G33</f>
        <v>0</v>
      </c>
      <c r="AD33" s="53">
        <f>H33-'SA budget'!H33</f>
        <v>0</v>
      </c>
      <c r="AE33" s="53">
        <f>I33-'SA budget'!I33</f>
        <v>0</v>
      </c>
      <c r="AF33" s="53">
        <f>J33-'SA budget'!J33</f>
        <v>0</v>
      </c>
      <c r="AG33" s="53">
        <f>K33-'SA budget'!K33</f>
        <v>0</v>
      </c>
      <c r="AH33" s="53">
        <f>L33-'SA budget'!L33</f>
        <v>0</v>
      </c>
      <c r="AI33" s="53">
        <f>M33-'SA budget'!M33</f>
        <v>0</v>
      </c>
      <c r="AJ33" s="53">
        <f>N33-'SA budget'!N33</f>
        <v>0</v>
      </c>
      <c r="AK33" s="53">
        <f>O33-'SA budget'!O33</f>
        <v>0</v>
      </c>
      <c r="AL33" s="53">
        <f>P33-'SA budget'!P33</f>
        <v>0</v>
      </c>
      <c r="AM33" s="56"/>
      <c r="AN33" s="53">
        <f t="shared" si="20"/>
        <v>-25312.453074999998</v>
      </c>
    </row>
    <row r="34" spans="2:40" x14ac:dyDescent="0.35">
      <c r="B34" s="5" t="s">
        <v>31</v>
      </c>
      <c r="C34" s="19" t="s">
        <v>162</v>
      </c>
      <c r="E34" s="53">
        <f>'SA Actual'!E34</f>
        <v>6151.49</v>
      </c>
      <c r="F34" s="53">
        <f>'SA budget'!F34</f>
        <v>0</v>
      </c>
      <c r="G34" s="53">
        <f>'SA budget'!G34</f>
        <v>0</v>
      </c>
      <c r="H34" s="53">
        <f>'SA budget'!H34</f>
        <v>38337.393335999994</v>
      </c>
      <c r="I34" s="53">
        <f>'SA budget'!I34</f>
        <v>0</v>
      </c>
      <c r="J34" s="53">
        <f>'SA budget'!J34</f>
        <v>0</v>
      </c>
      <c r="K34" s="53">
        <f>'SA budget'!K34</f>
        <v>21985.673527999999</v>
      </c>
      <c r="L34" s="53">
        <f>'SA budget'!L34</f>
        <v>0</v>
      </c>
      <c r="M34" s="53">
        <f>'SA budget'!M34</f>
        <v>0</v>
      </c>
      <c r="N34" s="53">
        <f>'SA budget'!N34</f>
        <v>21985.673527999999</v>
      </c>
      <c r="O34" s="53">
        <f>'SA budget'!O34</f>
        <v>0</v>
      </c>
      <c r="P34" s="53">
        <f>'SA budget'!P34</f>
        <v>0</v>
      </c>
      <c r="Q34" s="56"/>
      <c r="R34" s="53">
        <f t="shared" si="10"/>
        <v>88460.230391999983</v>
      </c>
      <c r="AA34" s="53">
        <f>E34-'SA budget'!E34</f>
        <v>-15834.183528</v>
      </c>
      <c r="AB34" s="53">
        <f>F34-'SA budget'!F34</f>
        <v>0</v>
      </c>
      <c r="AC34" s="53">
        <f>G34-'SA budget'!G34</f>
        <v>0</v>
      </c>
      <c r="AD34" s="53">
        <f>H34-'SA budget'!H34</f>
        <v>0</v>
      </c>
      <c r="AE34" s="53">
        <f>I34-'SA budget'!I34</f>
        <v>0</v>
      </c>
      <c r="AF34" s="53">
        <f>J34-'SA budget'!J34</f>
        <v>0</v>
      </c>
      <c r="AG34" s="53">
        <f>K34-'SA budget'!K34</f>
        <v>0</v>
      </c>
      <c r="AH34" s="53">
        <f>L34-'SA budget'!L34</f>
        <v>0</v>
      </c>
      <c r="AI34" s="53">
        <f>M34-'SA budget'!M34</f>
        <v>0</v>
      </c>
      <c r="AJ34" s="53">
        <f>N34-'SA budget'!N34</f>
        <v>0</v>
      </c>
      <c r="AK34" s="53">
        <f>O34-'SA budget'!O34</f>
        <v>0</v>
      </c>
      <c r="AL34" s="53">
        <f>P34-'SA budget'!P34</f>
        <v>0</v>
      </c>
      <c r="AM34" s="56"/>
      <c r="AN34" s="53">
        <f t="shared" si="20"/>
        <v>-15834.183528</v>
      </c>
    </row>
    <row r="35" spans="2:40" x14ac:dyDescent="0.35">
      <c r="B35" s="5" t="s">
        <v>32</v>
      </c>
      <c r="C35" s="19" t="s">
        <v>162</v>
      </c>
      <c r="E35" s="53">
        <f>'SA Actual'!E35</f>
        <v>69813</v>
      </c>
      <c r="F35" s="53">
        <f>'SA budget'!F35</f>
        <v>80276.636895000003</v>
      </c>
      <c r="G35" s="53">
        <f>'SA budget'!G35</f>
        <v>259392.51505500003</v>
      </c>
      <c r="H35" s="53">
        <f>'SA budget'!H35</f>
        <v>80276.636895000003</v>
      </c>
      <c r="I35" s="53">
        <f>'SA budget'!I35</f>
        <v>80276.636895000003</v>
      </c>
      <c r="J35" s="53">
        <f>'SA budget'!J35</f>
        <v>80276.636895000003</v>
      </c>
      <c r="K35" s="53">
        <f>'SA budget'!K35</f>
        <v>155276.56189500002</v>
      </c>
      <c r="L35" s="53">
        <f>'SA budget'!L35</f>
        <v>80276.636895000003</v>
      </c>
      <c r="M35" s="53">
        <f>'SA budget'!M35</f>
        <v>80276.636895000003</v>
      </c>
      <c r="N35" s="53">
        <f>'SA budget'!N35</f>
        <v>80276.636895000003</v>
      </c>
      <c r="O35" s="53">
        <f>'SA budget'!O35</f>
        <v>80276.636895000003</v>
      </c>
      <c r="P35" s="53">
        <f>'SA budget'!P35</f>
        <v>80276.636895000003</v>
      </c>
      <c r="Q35" s="56"/>
      <c r="R35" s="53">
        <f t="shared" si="10"/>
        <v>1206971.8090050002</v>
      </c>
      <c r="AA35" s="53">
        <f>E35-'SA budget'!E35</f>
        <v>-10463.636895000003</v>
      </c>
      <c r="AB35" s="53">
        <f>F35-'SA budget'!F35</f>
        <v>0</v>
      </c>
      <c r="AC35" s="53">
        <f>G35-'SA budget'!G35</f>
        <v>0</v>
      </c>
      <c r="AD35" s="53">
        <f>H35-'SA budget'!H35</f>
        <v>0</v>
      </c>
      <c r="AE35" s="53">
        <f>I35-'SA budget'!I35</f>
        <v>0</v>
      </c>
      <c r="AF35" s="53">
        <f>J35-'SA budget'!J35</f>
        <v>0</v>
      </c>
      <c r="AG35" s="53">
        <f>K35-'SA budget'!K35</f>
        <v>0</v>
      </c>
      <c r="AH35" s="53">
        <f>L35-'SA budget'!L35</f>
        <v>0</v>
      </c>
      <c r="AI35" s="53">
        <f>M35-'SA budget'!M35</f>
        <v>0</v>
      </c>
      <c r="AJ35" s="53">
        <f>N35-'SA budget'!N35</f>
        <v>0</v>
      </c>
      <c r="AK35" s="53">
        <f>O35-'SA budget'!O35</f>
        <v>0</v>
      </c>
      <c r="AL35" s="53">
        <f>P35-'SA budget'!P35</f>
        <v>0</v>
      </c>
      <c r="AM35" s="56"/>
      <c r="AN35" s="53">
        <f t="shared" si="20"/>
        <v>-10463.636895000003</v>
      </c>
    </row>
    <row r="36" spans="2:40" x14ac:dyDescent="0.35">
      <c r="B36" s="42" t="s">
        <v>43</v>
      </c>
      <c r="C36" s="19" t="s">
        <v>162</v>
      </c>
      <c r="E36" s="55">
        <f>SUM(E29:E35)</f>
        <v>630138.93999999994</v>
      </c>
      <c r="F36" s="55">
        <f t="shared" ref="F36:P36" si="21">SUM(F29:F35)</f>
        <v>1345788.462353</v>
      </c>
      <c r="G36" s="55">
        <f t="shared" si="21"/>
        <v>1545989.4528970001</v>
      </c>
      <c r="H36" s="55">
        <f t="shared" si="21"/>
        <v>765912.072636</v>
      </c>
      <c r="I36" s="55">
        <f t="shared" si="21"/>
        <v>683436.23302499996</v>
      </c>
      <c r="J36" s="55">
        <f t="shared" si="21"/>
        <v>960778.29802499991</v>
      </c>
      <c r="K36" s="55">
        <f t="shared" si="21"/>
        <v>1091905.1696279999</v>
      </c>
      <c r="L36" s="55">
        <f t="shared" si="21"/>
        <v>683436.23302499996</v>
      </c>
      <c r="M36" s="55">
        <f t="shared" si="21"/>
        <v>683436.23302499996</v>
      </c>
      <c r="N36" s="55">
        <f t="shared" si="21"/>
        <v>730734.35962799995</v>
      </c>
      <c r="O36" s="55">
        <f t="shared" si="21"/>
        <v>683436.23302499996</v>
      </c>
      <c r="P36" s="55">
        <f>SUM(P29:P35)</f>
        <v>683436.23302499996</v>
      </c>
      <c r="Q36" s="56"/>
      <c r="R36" s="55">
        <f t="shared" si="10"/>
        <v>10488427.920291997</v>
      </c>
      <c r="AA36" s="55">
        <f>SUM(AA29:AA35)</f>
        <v>-100595.41962799993</v>
      </c>
      <c r="AB36" s="55">
        <f t="shared" ref="AB36:AL36" si="22">SUM(AB29:AB35)</f>
        <v>0</v>
      </c>
      <c r="AC36" s="55">
        <f t="shared" si="22"/>
        <v>0</v>
      </c>
      <c r="AD36" s="55">
        <f t="shared" si="22"/>
        <v>0</v>
      </c>
      <c r="AE36" s="55">
        <f t="shared" si="22"/>
        <v>0</v>
      </c>
      <c r="AF36" s="55">
        <f t="shared" si="22"/>
        <v>0</v>
      </c>
      <c r="AG36" s="55">
        <f t="shared" si="22"/>
        <v>0</v>
      </c>
      <c r="AH36" s="55">
        <f t="shared" si="22"/>
        <v>0</v>
      </c>
      <c r="AI36" s="55">
        <f t="shared" si="22"/>
        <v>0</v>
      </c>
      <c r="AJ36" s="55">
        <f t="shared" si="22"/>
        <v>0</v>
      </c>
      <c r="AK36" s="55">
        <f t="shared" si="22"/>
        <v>0</v>
      </c>
      <c r="AL36" s="55">
        <f t="shared" si="22"/>
        <v>0</v>
      </c>
      <c r="AM36" s="56"/>
      <c r="AN36" s="55">
        <f t="shared" si="20"/>
        <v>-100595.41962799993</v>
      </c>
    </row>
    <row r="37" spans="2:40" ht="5.25" customHeight="1" x14ac:dyDescent="0.35"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6"/>
      <c r="R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6"/>
      <c r="AN37" s="54"/>
    </row>
    <row r="38" spans="2:40" x14ac:dyDescent="0.35">
      <c r="B38" s="5" t="s">
        <v>36</v>
      </c>
      <c r="C38" s="19" t="s">
        <v>162</v>
      </c>
      <c r="E38" s="53">
        <f>'SA Actual'!E38</f>
        <v>75500</v>
      </c>
      <c r="F38" s="53">
        <f>'SA budget'!F38</f>
        <v>0</v>
      </c>
      <c r="G38" s="53">
        <f>'SA budget'!G38</f>
        <v>0</v>
      </c>
      <c r="H38" s="53">
        <f>'SA budget'!H38</f>
        <v>0</v>
      </c>
      <c r="I38" s="53">
        <f>'SA budget'!I38</f>
        <v>0</v>
      </c>
      <c r="J38" s="52">
        <f>'SA budget'!J38</f>
        <v>385000</v>
      </c>
      <c r="K38" s="53">
        <f>'SA budget'!K38</f>
        <v>0</v>
      </c>
      <c r="L38" s="53">
        <f>'SA budget'!L38</f>
        <v>0</v>
      </c>
      <c r="M38" s="53">
        <f>'SA budget'!M38</f>
        <v>0</v>
      </c>
      <c r="N38" s="53">
        <f>'SA budget'!N38</f>
        <v>0</v>
      </c>
      <c r="O38" s="53">
        <f>'SA budget'!O38</f>
        <v>0</v>
      </c>
      <c r="P38" s="52">
        <f>'SA budget'!P38</f>
        <v>385000</v>
      </c>
      <c r="Q38" s="56"/>
      <c r="R38" s="53">
        <f t="shared" si="10"/>
        <v>845500</v>
      </c>
      <c r="AA38" s="53">
        <f>E38-'SA budget'!E38</f>
        <v>75500</v>
      </c>
      <c r="AB38" s="53">
        <f>F38-'SA budget'!F38</f>
        <v>0</v>
      </c>
      <c r="AC38" s="53">
        <f>G38-'SA budget'!G38</f>
        <v>0</v>
      </c>
      <c r="AD38" s="53">
        <f>H38-'SA budget'!H38</f>
        <v>0</v>
      </c>
      <c r="AE38" s="53">
        <f>I38-'SA budget'!I38</f>
        <v>0</v>
      </c>
      <c r="AF38" s="53">
        <f>J38-'SA budget'!J38</f>
        <v>0</v>
      </c>
      <c r="AG38" s="53">
        <f>K38-'SA budget'!K38</f>
        <v>0</v>
      </c>
      <c r="AH38" s="53">
        <f>L38-'SA budget'!L38</f>
        <v>0</v>
      </c>
      <c r="AI38" s="53">
        <f>M38-'SA budget'!M38</f>
        <v>0</v>
      </c>
      <c r="AJ38" s="53">
        <f>N38-'SA budget'!N38</f>
        <v>0</v>
      </c>
      <c r="AK38" s="53">
        <f>O38-'SA budget'!O38</f>
        <v>0</v>
      </c>
      <c r="AL38" s="53">
        <f>P38-'SA budget'!P38</f>
        <v>0</v>
      </c>
      <c r="AM38" s="56"/>
      <c r="AN38" s="53">
        <f t="shared" ref="AN38:AN40" si="23">SUM(AA38:AL38)</f>
        <v>75500</v>
      </c>
    </row>
    <row r="39" spans="2:40" x14ac:dyDescent="0.35">
      <c r="B39" s="5" t="s">
        <v>33</v>
      </c>
      <c r="C39" s="19" t="s">
        <v>162</v>
      </c>
      <c r="E39" s="53">
        <f>'SA Actual'!E39</f>
        <v>0</v>
      </c>
      <c r="F39" s="53">
        <f>'SA budget'!F39</f>
        <v>0</v>
      </c>
      <c r="G39" s="53">
        <f>'SA budget'!G39</f>
        <v>0</v>
      </c>
      <c r="H39" s="53">
        <f>'SA budget'!H39</f>
        <v>0</v>
      </c>
      <c r="I39" s="53">
        <f>'SA budget'!I39</f>
        <v>0</v>
      </c>
      <c r="J39" s="53">
        <f>'SA budget'!J39</f>
        <v>0</v>
      </c>
      <c r="K39" s="53">
        <f>'SA budget'!K39</f>
        <v>90500</v>
      </c>
      <c r="L39" s="53">
        <f>'SA budget'!L39</f>
        <v>0</v>
      </c>
      <c r="M39" s="53">
        <f>'SA budget'!M39</f>
        <v>0</v>
      </c>
      <c r="N39" s="53">
        <f>'SA budget'!N39</f>
        <v>0</v>
      </c>
      <c r="O39" s="53">
        <f>'SA budget'!O39</f>
        <v>0</v>
      </c>
      <c r="P39" s="53">
        <f>'SA budget'!P39</f>
        <v>0</v>
      </c>
      <c r="Q39" s="56"/>
      <c r="R39" s="53">
        <f t="shared" si="10"/>
        <v>90500</v>
      </c>
      <c r="AA39" s="53">
        <f>E39-'SA budget'!E39</f>
        <v>-77000</v>
      </c>
      <c r="AB39" s="53">
        <f>F39-'SA budget'!F39</f>
        <v>0</v>
      </c>
      <c r="AC39" s="53">
        <f>G39-'SA budget'!G39</f>
        <v>0</v>
      </c>
      <c r="AD39" s="53">
        <f>H39-'SA budget'!H39</f>
        <v>0</v>
      </c>
      <c r="AE39" s="53">
        <f>I39-'SA budget'!I39</f>
        <v>0</v>
      </c>
      <c r="AF39" s="53">
        <f>J39-'SA budget'!J39</f>
        <v>0</v>
      </c>
      <c r="AG39" s="53">
        <f>K39-'SA budget'!K39</f>
        <v>0</v>
      </c>
      <c r="AH39" s="53">
        <f>L39-'SA budget'!L39</f>
        <v>0</v>
      </c>
      <c r="AI39" s="53">
        <f>M39-'SA budget'!M39</f>
        <v>0</v>
      </c>
      <c r="AJ39" s="53">
        <f>N39-'SA budget'!N39</f>
        <v>0</v>
      </c>
      <c r="AK39" s="53">
        <f>O39-'SA budget'!O39</f>
        <v>0</v>
      </c>
      <c r="AL39" s="53">
        <f>P39-'SA budget'!P39</f>
        <v>0</v>
      </c>
      <c r="AM39" s="56"/>
      <c r="AN39" s="53">
        <f t="shared" si="23"/>
        <v>-77000</v>
      </c>
    </row>
    <row r="40" spans="2:40" x14ac:dyDescent="0.35">
      <c r="B40" s="42" t="s">
        <v>44</v>
      </c>
      <c r="C40" s="19" t="s">
        <v>162</v>
      </c>
      <c r="D40" s="10"/>
      <c r="E40" s="55">
        <f>SUM(E38:E39)</f>
        <v>75500</v>
      </c>
      <c r="F40" s="55">
        <f t="shared" ref="F40:P40" si="24">SUM(F38:F39)</f>
        <v>0</v>
      </c>
      <c r="G40" s="55">
        <f t="shared" si="24"/>
        <v>0</v>
      </c>
      <c r="H40" s="55">
        <f t="shared" si="24"/>
        <v>0</v>
      </c>
      <c r="I40" s="55">
        <f t="shared" si="24"/>
        <v>0</v>
      </c>
      <c r="J40" s="55">
        <f t="shared" si="24"/>
        <v>385000</v>
      </c>
      <c r="K40" s="55">
        <f t="shared" si="24"/>
        <v>90500</v>
      </c>
      <c r="L40" s="55">
        <f t="shared" si="24"/>
        <v>0</v>
      </c>
      <c r="M40" s="55">
        <f t="shared" si="24"/>
        <v>0</v>
      </c>
      <c r="N40" s="55">
        <f t="shared" si="24"/>
        <v>0</v>
      </c>
      <c r="O40" s="55">
        <f t="shared" si="24"/>
        <v>0</v>
      </c>
      <c r="P40" s="55">
        <f t="shared" si="24"/>
        <v>385000</v>
      </c>
      <c r="Q40" s="56"/>
      <c r="R40" s="55">
        <f t="shared" si="10"/>
        <v>936000</v>
      </c>
      <c r="AA40" s="55">
        <f>SUM(AA38:AA39)</f>
        <v>-1500</v>
      </c>
      <c r="AB40" s="55">
        <f t="shared" ref="AB40:AL40" si="25">SUM(AB38:AB39)</f>
        <v>0</v>
      </c>
      <c r="AC40" s="55">
        <f t="shared" si="25"/>
        <v>0</v>
      </c>
      <c r="AD40" s="55">
        <f t="shared" si="25"/>
        <v>0</v>
      </c>
      <c r="AE40" s="55">
        <f t="shared" si="25"/>
        <v>0</v>
      </c>
      <c r="AF40" s="55">
        <f t="shared" si="25"/>
        <v>0</v>
      </c>
      <c r="AG40" s="55">
        <f t="shared" si="25"/>
        <v>0</v>
      </c>
      <c r="AH40" s="55">
        <f t="shared" si="25"/>
        <v>0</v>
      </c>
      <c r="AI40" s="55">
        <f t="shared" si="25"/>
        <v>0</v>
      </c>
      <c r="AJ40" s="55">
        <f t="shared" si="25"/>
        <v>0</v>
      </c>
      <c r="AK40" s="55">
        <f t="shared" si="25"/>
        <v>0</v>
      </c>
      <c r="AL40" s="55">
        <f t="shared" si="25"/>
        <v>0</v>
      </c>
      <c r="AM40" s="56"/>
      <c r="AN40" s="55">
        <f t="shared" si="23"/>
        <v>-1500</v>
      </c>
    </row>
    <row r="41" spans="2:40" ht="12" customHeight="1" x14ac:dyDescent="0.35"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6"/>
      <c r="R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6"/>
      <c r="AN41" s="54"/>
    </row>
    <row r="42" spans="2:40" x14ac:dyDescent="0.35">
      <c r="B42" s="5" t="s">
        <v>209</v>
      </c>
      <c r="C42" s="19" t="s">
        <v>162</v>
      </c>
      <c r="E42" s="53">
        <f>'SA Actual'!E42</f>
        <v>0</v>
      </c>
      <c r="F42" s="53">
        <f>'SA budget'!F42</f>
        <v>274324.76500000001</v>
      </c>
      <c r="G42" s="53">
        <f>'SA budget'!G42</f>
        <v>0</v>
      </c>
      <c r="H42" s="53">
        <f>'SA budget'!H42</f>
        <v>787709.15327999997</v>
      </c>
      <c r="I42" s="53">
        <f>'SA budget'!I42</f>
        <v>0</v>
      </c>
      <c r="J42" s="53">
        <f>'SA budget'!J42</f>
        <v>0</v>
      </c>
      <c r="K42" s="53">
        <f>'SA budget'!K42</f>
        <v>787709.15327999997</v>
      </c>
      <c r="L42" s="53">
        <f>'SA budget'!L42</f>
        <v>0</v>
      </c>
      <c r="M42" s="53">
        <f>'SA budget'!M42</f>
        <v>0</v>
      </c>
      <c r="N42" s="53">
        <f>'SA budget'!N42</f>
        <v>787709.15327999997</v>
      </c>
      <c r="O42" s="53">
        <f>'SA budget'!O42</f>
        <v>0</v>
      </c>
      <c r="P42" s="53">
        <f>'SA budget'!P42</f>
        <v>787709.15327999997</v>
      </c>
      <c r="Q42" s="56"/>
      <c r="R42" s="53">
        <f t="shared" si="10"/>
        <v>3425161.3781199995</v>
      </c>
      <c r="AA42" s="53">
        <f>E42-'SA budget'!E42</f>
        <v>0</v>
      </c>
      <c r="AB42" s="53">
        <f>F42-'SA budget'!F42</f>
        <v>0</v>
      </c>
      <c r="AC42" s="53">
        <f>G42-'SA budget'!G42</f>
        <v>0</v>
      </c>
      <c r="AD42" s="53">
        <f>H42-'SA budget'!H42</f>
        <v>0</v>
      </c>
      <c r="AE42" s="53">
        <f>I42-'SA budget'!I42</f>
        <v>0</v>
      </c>
      <c r="AF42" s="53">
        <f>J42-'SA budget'!J42</f>
        <v>0</v>
      </c>
      <c r="AG42" s="53">
        <f>K42-'SA budget'!K42</f>
        <v>0</v>
      </c>
      <c r="AH42" s="53">
        <f>L42-'SA budget'!L42</f>
        <v>0</v>
      </c>
      <c r="AI42" s="53">
        <f>M42-'SA budget'!M42</f>
        <v>0</v>
      </c>
      <c r="AJ42" s="53">
        <f>N42-'SA budget'!N42</f>
        <v>0</v>
      </c>
      <c r="AK42" s="53">
        <f>O42-'SA budget'!O42</f>
        <v>0</v>
      </c>
      <c r="AL42" s="53">
        <f>P42-'SA budget'!P42</f>
        <v>0</v>
      </c>
      <c r="AM42" s="56"/>
      <c r="AN42" s="53">
        <f t="shared" ref="AN42:AN46" si="26">SUM(AA42:AL42)</f>
        <v>0</v>
      </c>
    </row>
    <row r="43" spans="2:40" x14ac:dyDescent="0.35">
      <c r="B43" s="5" t="s">
        <v>210</v>
      </c>
      <c r="C43" s="19" t="s">
        <v>162</v>
      </c>
      <c r="E43" s="53">
        <f>'SA Actual'!E43</f>
        <v>0</v>
      </c>
      <c r="F43" s="53">
        <f>'SA budget'!F43</f>
        <v>274324.76500000001</v>
      </c>
      <c r="G43" s="53">
        <f>'SA budget'!G43</f>
        <v>0</v>
      </c>
      <c r="H43" s="53">
        <f>'SA budget'!H43</f>
        <v>787709.15327999997</v>
      </c>
      <c r="I43" s="53">
        <f>'SA budget'!I43</f>
        <v>0</v>
      </c>
      <c r="J43" s="53">
        <f>'SA budget'!J43</f>
        <v>0</v>
      </c>
      <c r="K43" s="53">
        <f>'SA budget'!K43</f>
        <v>787709.15327999997</v>
      </c>
      <c r="L43" s="53">
        <f>'SA budget'!L43</f>
        <v>0</v>
      </c>
      <c r="M43" s="53">
        <f>'SA budget'!M43</f>
        <v>0</v>
      </c>
      <c r="N43" s="53">
        <f>'SA budget'!N43</f>
        <v>787709.15327999997</v>
      </c>
      <c r="O43" s="53">
        <f>'SA budget'!O43</f>
        <v>0</v>
      </c>
      <c r="P43" s="53">
        <f>'SA budget'!P43</f>
        <v>787709.15327999997</v>
      </c>
      <c r="Q43" s="56"/>
      <c r="R43" s="53">
        <f t="shared" si="10"/>
        <v>3425161.3781199995</v>
      </c>
      <c r="AA43" s="53">
        <f>E43-'SA budget'!E43</f>
        <v>0</v>
      </c>
      <c r="AB43" s="53">
        <f>F43-'SA budget'!F43</f>
        <v>0</v>
      </c>
      <c r="AC43" s="53">
        <f>G43-'SA budget'!G43</f>
        <v>0</v>
      </c>
      <c r="AD43" s="53">
        <f>H43-'SA budget'!H43</f>
        <v>0</v>
      </c>
      <c r="AE43" s="53">
        <f>I43-'SA budget'!I43</f>
        <v>0</v>
      </c>
      <c r="AF43" s="53">
        <f>J43-'SA budget'!J43</f>
        <v>0</v>
      </c>
      <c r="AG43" s="53">
        <f>K43-'SA budget'!K43</f>
        <v>0</v>
      </c>
      <c r="AH43" s="53">
        <f>L43-'SA budget'!L43</f>
        <v>0</v>
      </c>
      <c r="AI43" s="53">
        <f>M43-'SA budget'!M43</f>
        <v>0</v>
      </c>
      <c r="AJ43" s="53">
        <f>N43-'SA budget'!N43</f>
        <v>0</v>
      </c>
      <c r="AK43" s="53">
        <f>O43-'SA budget'!O43</f>
        <v>0</v>
      </c>
      <c r="AL43" s="53">
        <f>P43-'SA budget'!P43</f>
        <v>0</v>
      </c>
      <c r="AM43" s="56"/>
      <c r="AN43" s="53">
        <f t="shared" si="26"/>
        <v>0</v>
      </c>
    </row>
    <row r="44" spans="2:40" x14ac:dyDescent="0.35">
      <c r="B44" s="5" t="s">
        <v>211</v>
      </c>
      <c r="C44" s="19" t="s">
        <v>162</v>
      </c>
      <c r="E44" s="53">
        <f>'SA Actual'!E44</f>
        <v>-400704.4</v>
      </c>
      <c r="F44" s="53">
        <f>'SA budget'!F44</f>
        <v>0</v>
      </c>
      <c r="G44" s="53">
        <f>'SA budget'!G44</f>
        <v>0</v>
      </c>
      <c r="H44" s="53">
        <f>'SA budget'!H44</f>
        <v>0</v>
      </c>
      <c r="I44" s="53">
        <f>'SA budget'!I44</f>
        <v>0</v>
      </c>
      <c r="J44" s="53">
        <f>'SA budget'!J44</f>
        <v>0</v>
      </c>
      <c r="K44" s="53">
        <f>'SA budget'!K44</f>
        <v>0</v>
      </c>
      <c r="L44" s="53">
        <f>'SA budget'!L44</f>
        <v>0</v>
      </c>
      <c r="M44" s="53">
        <f>'SA budget'!M44</f>
        <v>0</v>
      </c>
      <c r="N44" s="53">
        <f>'SA budget'!N44</f>
        <v>0</v>
      </c>
      <c r="O44" s="53">
        <f>'SA budget'!O44</f>
        <v>0</v>
      </c>
      <c r="P44" s="53">
        <f>'SA budget'!P44</f>
        <v>-3425161.3781199995</v>
      </c>
      <c r="Q44" s="56"/>
      <c r="R44" s="53">
        <f t="shared" si="10"/>
        <v>-3825865.7781199994</v>
      </c>
      <c r="AA44" s="53">
        <f>E44-'SA budget'!E44</f>
        <v>0</v>
      </c>
      <c r="AB44" s="53">
        <f>F44-'SA budget'!F44</f>
        <v>0</v>
      </c>
      <c r="AC44" s="53">
        <f>G44-'SA budget'!G44</f>
        <v>0</v>
      </c>
      <c r="AD44" s="53">
        <f>H44-'SA budget'!H44</f>
        <v>0</v>
      </c>
      <c r="AE44" s="53">
        <f>I44-'SA budget'!I44</f>
        <v>0</v>
      </c>
      <c r="AF44" s="53">
        <f>J44-'SA budget'!J44</f>
        <v>0</v>
      </c>
      <c r="AG44" s="53">
        <f>K44-'SA budget'!K44</f>
        <v>0</v>
      </c>
      <c r="AH44" s="53">
        <f>L44-'SA budget'!L44</f>
        <v>0</v>
      </c>
      <c r="AI44" s="53">
        <f>M44-'SA budget'!M44</f>
        <v>0</v>
      </c>
      <c r="AJ44" s="53">
        <f>N44-'SA budget'!N44</f>
        <v>0</v>
      </c>
      <c r="AK44" s="53">
        <f>O44-'SA budget'!O44</f>
        <v>0</v>
      </c>
      <c r="AL44" s="53">
        <f>P44-'SA budget'!P44</f>
        <v>0</v>
      </c>
      <c r="AM44" s="56"/>
      <c r="AN44" s="53">
        <f t="shared" si="26"/>
        <v>0</v>
      </c>
    </row>
    <row r="45" spans="2:40" x14ac:dyDescent="0.35">
      <c r="B45" s="5" t="s">
        <v>35</v>
      </c>
      <c r="C45" s="19" t="s">
        <v>162</v>
      </c>
      <c r="E45" s="53">
        <f>'SA Actual'!E45</f>
        <v>353002</v>
      </c>
      <c r="F45" s="53">
        <f>'SA budget'!F45</f>
        <v>352350</v>
      </c>
      <c r="G45" s="53">
        <f>'SA budget'!G45</f>
        <v>0</v>
      </c>
      <c r="H45" s="53">
        <f>'SA budget'!H45</f>
        <v>8715600</v>
      </c>
      <c r="I45" s="53">
        <f>'SA budget'!I45</f>
        <v>210600</v>
      </c>
      <c r="J45" s="53">
        <f>'SA budget'!J45</f>
        <v>0</v>
      </c>
      <c r="K45" s="53">
        <f>'SA budget'!K45</f>
        <v>502200</v>
      </c>
      <c r="L45" s="53">
        <f>'SA budget'!L45</f>
        <v>0</v>
      </c>
      <c r="M45" s="53">
        <f>'SA budget'!M45</f>
        <v>252720</v>
      </c>
      <c r="N45" s="53">
        <f>'SA budget'!N45</f>
        <v>0</v>
      </c>
      <c r="O45" s="53">
        <f>'SA budget'!O45</f>
        <v>3997349.9999999995</v>
      </c>
      <c r="P45" s="53">
        <f>'SA budget'!P45</f>
        <v>0</v>
      </c>
      <c r="Q45" s="56"/>
      <c r="R45" s="69">
        <f t="shared" si="10"/>
        <v>14383822</v>
      </c>
      <c r="AA45" s="53">
        <f>E45-'SA budget'!E45</f>
        <v>353002</v>
      </c>
      <c r="AB45" s="53">
        <f>F45-'SA budget'!F45</f>
        <v>0</v>
      </c>
      <c r="AC45" s="53">
        <f>G45-'SA budget'!G45</f>
        <v>0</v>
      </c>
      <c r="AD45" s="53">
        <f>H45-'SA budget'!H45</f>
        <v>0</v>
      </c>
      <c r="AE45" s="53">
        <f>I45-'SA budget'!I45</f>
        <v>0</v>
      </c>
      <c r="AF45" s="53">
        <f>J45-'SA budget'!J45</f>
        <v>0</v>
      </c>
      <c r="AG45" s="53">
        <f>K45-'SA budget'!K45</f>
        <v>0</v>
      </c>
      <c r="AH45" s="53">
        <f>L45-'SA budget'!L45</f>
        <v>0</v>
      </c>
      <c r="AI45" s="53">
        <f>M45-'SA budget'!M45</f>
        <v>0</v>
      </c>
      <c r="AJ45" s="53">
        <f>N45-'SA budget'!N45</f>
        <v>0</v>
      </c>
      <c r="AK45" s="53">
        <f>O45-'SA budget'!O45</f>
        <v>0</v>
      </c>
      <c r="AL45" s="53">
        <f>P45-'SA budget'!P45</f>
        <v>0</v>
      </c>
      <c r="AM45" s="56"/>
      <c r="AN45" s="69">
        <f t="shared" si="26"/>
        <v>353002</v>
      </c>
    </row>
    <row r="46" spans="2:40" x14ac:dyDescent="0.35">
      <c r="B46" s="42" t="s">
        <v>45</v>
      </c>
      <c r="C46" s="19" t="s">
        <v>162</v>
      </c>
      <c r="D46" s="10"/>
      <c r="E46" s="55">
        <f t="shared" ref="E46:P46" si="27">SUM(E42:E45)</f>
        <v>-47702.400000000023</v>
      </c>
      <c r="F46" s="55">
        <f t="shared" si="27"/>
        <v>900999.53</v>
      </c>
      <c r="G46" s="55">
        <f t="shared" si="27"/>
        <v>0</v>
      </c>
      <c r="H46" s="55">
        <f t="shared" si="27"/>
        <v>10291018.30656</v>
      </c>
      <c r="I46" s="55">
        <f t="shared" si="27"/>
        <v>210600</v>
      </c>
      <c r="J46" s="55">
        <f t="shared" si="27"/>
        <v>0</v>
      </c>
      <c r="K46" s="55">
        <f t="shared" si="27"/>
        <v>2077618.3065599999</v>
      </c>
      <c r="L46" s="55">
        <f t="shared" si="27"/>
        <v>0</v>
      </c>
      <c r="M46" s="55">
        <f t="shared" si="27"/>
        <v>252720</v>
      </c>
      <c r="N46" s="55">
        <f t="shared" si="27"/>
        <v>1575418.3065599999</v>
      </c>
      <c r="O46" s="55">
        <f t="shared" si="27"/>
        <v>3997349.9999999995</v>
      </c>
      <c r="P46" s="55">
        <f t="shared" si="27"/>
        <v>-1849743.0715599996</v>
      </c>
      <c r="Q46" s="56"/>
      <c r="R46" s="55">
        <f t="shared" si="10"/>
        <v>17408278.978120003</v>
      </c>
      <c r="AA46" s="55">
        <f t="shared" ref="AA46:AL46" si="28">SUM(AA42:AA45)</f>
        <v>353002</v>
      </c>
      <c r="AB46" s="55">
        <f t="shared" si="28"/>
        <v>0</v>
      </c>
      <c r="AC46" s="55">
        <f t="shared" si="28"/>
        <v>0</v>
      </c>
      <c r="AD46" s="55">
        <f t="shared" si="28"/>
        <v>0</v>
      </c>
      <c r="AE46" s="55">
        <f t="shared" si="28"/>
        <v>0</v>
      </c>
      <c r="AF46" s="55">
        <f t="shared" si="28"/>
        <v>0</v>
      </c>
      <c r="AG46" s="55">
        <f t="shared" si="28"/>
        <v>0</v>
      </c>
      <c r="AH46" s="55">
        <f t="shared" si="28"/>
        <v>0</v>
      </c>
      <c r="AI46" s="55">
        <f t="shared" si="28"/>
        <v>0</v>
      </c>
      <c r="AJ46" s="55">
        <f t="shared" si="28"/>
        <v>0</v>
      </c>
      <c r="AK46" s="55">
        <f t="shared" si="28"/>
        <v>0</v>
      </c>
      <c r="AL46" s="55">
        <f t="shared" si="28"/>
        <v>0</v>
      </c>
      <c r="AM46" s="56"/>
      <c r="AN46" s="55">
        <f t="shared" si="26"/>
        <v>353002</v>
      </c>
    </row>
    <row r="47" spans="2:40" ht="6" customHeight="1" x14ac:dyDescent="0.35"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</row>
    <row r="48" spans="2:40" x14ac:dyDescent="0.35">
      <c r="B48" s="42" t="s">
        <v>46</v>
      </c>
      <c r="C48" s="19" t="s">
        <v>162</v>
      </c>
      <c r="E48" s="55">
        <f>E46+E40+E36</f>
        <v>657936.53999999992</v>
      </c>
      <c r="F48" s="55">
        <f t="shared" ref="F48:P48" si="29">F46+F40+F36</f>
        <v>2246787.9923529997</v>
      </c>
      <c r="G48" s="55">
        <f t="shared" si="29"/>
        <v>1545989.4528970001</v>
      </c>
      <c r="H48" s="55">
        <f t="shared" si="29"/>
        <v>11056930.379196001</v>
      </c>
      <c r="I48" s="55">
        <f t="shared" si="29"/>
        <v>894036.23302499996</v>
      </c>
      <c r="J48" s="55">
        <f t="shared" si="29"/>
        <v>1345778.2980249999</v>
      </c>
      <c r="K48" s="55">
        <f t="shared" si="29"/>
        <v>3260023.4761879998</v>
      </c>
      <c r="L48" s="55">
        <f t="shared" si="29"/>
        <v>683436.23302499996</v>
      </c>
      <c r="M48" s="55">
        <f t="shared" si="29"/>
        <v>936156.23302499996</v>
      </c>
      <c r="N48" s="55">
        <f t="shared" si="29"/>
        <v>2306152.6661879998</v>
      </c>
      <c r="O48" s="55">
        <f t="shared" si="29"/>
        <v>4680786.2330249995</v>
      </c>
      <c r="P48" s="55">
        <f t="shared" si="29"/>
        <v>-781306.83853499964</v>
      </c>
      <c r="Q48" s="56"/>
      <c r="R48" s="55">
        <f t="shared" si="10"/>
        <v>28832706.898412</v>
      </c>
      <c r="AA48" s="55">
        <f t="shared" ref="AA48:AL48" si="30">AA46+AA40+AA36</f>
        <v>250906.58037200005</v>
      </c>
      <c r="AB48" s="55">
        <f t="shared" si="30"/>
        <v>0</v>
      </c>
      <c r="AC48" s="55">
        <f t="shared" si="30"/>
        <v>0</v>
      </c>
      <c r="AD48" s="55">
        <f t="shared" si="30"/>
        <v>0</v>
      </c>
      <c r="AE48" s="55">
        <f t="shared" si="30"/>
        <v>0</v>
      </c>
      <c r="AF48" s="55">
        <f t="shared" si="30"/>
        <v>0</v>
      </c>
      <c r="AG48" s="55">
        <f t="shared" si="30"/>
        <v>0</v>
      </c>
      <c r="AH48" s="55">
        <f t="shared" si="30"/>
        <v>0</v>
      </c>
      <c r="AI48" s="55">
        <f t="shared" si="30"/>
        <v>0</v>
      </c>
      <c r="AJ48" s="55">
        <f t="shared" si="30"/>
        <v>0</v>
      </c>
      <c r="AK48" s="55">
        <f t="shared" si="30"/>
        <v>0</v>
      </c>
      <c r="AL48" s="55">
        <f t="shared" si="30"/>
        <v>0</v>
      </c>
      <c r="AM48" s="56"/>
      <c r="AN48" s="55">
        <f t="shared" ref="AN48" si="31">SUM(AA48:AL48)</f>
        <v>250906.58037200005</v>
      </c>
    </row>
    <row r="49" spans="2:40" ht="6" customHeight="1" x14ac:dyDescent="0.35"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</row>
    <row r="50" spans="2:40" x14ac:dyDescent="0.35">
      <c r="B50" s="5" t="s">
        <v>75</v>
      </c>
      <c r="C50" s="19" t="s">
        <v>162</v>
      </c>
      <c r="E50" s="53">
        <f>'SA Actual'!E50</f>
        <v>0</v>
      </c>
      <c r="F50" s="53">
        <f>'SA budget'!F50</f>
        <v>0</v>
      </c>
      <c r="G50" s="53">
        <f>'SA budget'!G50</f>
        <v>0</v>
      </c>
      <c r="H50" s="53">
        <f>'SA budget'!H50</f>
        <v>0</v>
      </c>
      <c r="I50" s="53">
        <f>'SA budget'!I50</f>
        <v>0</v>
      </c>
      <c r="J50" s="53">
        <f>'SA budget'!J50</f>
        <v>0</v>
      </c>
      <c r="K50" s="53">
        <f>'SA budget'!K50</f>
        <v>0</v>
      </c>
      <c r="L50" s="53">
        <f>'SA budget'!L50</f>
        <v>0</v>
      </c>
      <c r="M50" s="52">
        <f>'SA budget'!M50</f>
        <v>-5000000</v>
      </c>
      <c r="N50" s="53">
        <f>'SA budget'!N50</f>
        <v>0</v>
      </c>
      <c r="O50" s="53">
        <f>'SA budget'!O50</f>
        <v>0</v>
      </c>
      <c r="P50" s="53">
        <f>'SA budget'!P50</f>
        <v>0</v>
      </c>
      <c r="Q50" s="56"/>
      <c r="R50" s="53">
        <f t="shared" si="10"/>
        <v>-5000000</v>
      </c>
      <c r="AA50" s="53">
        <f>E50-'SA budget'!E50</f>
        <v>0</v>
      </c>
      <c r="AB50" s="53">
        <f>F50-'SA budget'!F50</f>
        <v>0</v>
      </c>
      <c r="AC50" s="53">
        <f>G50-'SA budget'!G50</f>
        <v>0</v>
      </c>
      <c r="AD50" s="53">
        <f>H50-'SA budget'!H50</f>
        <v>0</v>
      </c>
      <c r="AE50" s="53">
        <f>I50-'SA budget'!I50</f>
        <v>0</v>
      </c>
      <c r="AF50" s="53">
        <f>J50-'SA budget'!J50</f>
        <v>0</v>
      </c>
      <c r="AG50" s="53">
        <f>K50-'SA budget'!K50</f>
        <v>0</v>
      </c>
      <c r="AH50" s="53">
        <f>L50-'SA budget'!L50</f>
        <v>0</v>
      </c>
      <c r="AI50" s="53">
        <f>M50-'SA budget'!M50</f>
        <v>0</v>
      </c>
      <c r="AJ50" s="53">
        <f>N50-'SA budget'!N50</f>
        <v>0</v>
      </c>
      <c r="AK50" s="53">
        <f>O50-'SA budget'!O50</f>
        <v>0</v>
      </c>
      <c r="AL50" s="53">
        <f>P50-'SA budget'!P50</f>
        <v>0</v>
      </c>
      <c r="AM50" s="56"/>
      <c r="AN50" s="53">
        <f t="shared" ref="AN50:AN55" si="32">SUM(AA50:AL50)</f>
        <v>0</v>
      </c>
    </row>
    <row r="51" spans="2:40" x14ac:dyDescent="0.35">
      <c r="B51" s="5" t="s">
        <v>263</v>
      </c>
      <c r="C51" s="19" t="s">
        <v>162</v>
      </c>
      <c r="E51" s="53">
        <f>'SA Actual'!E51</f>
        <v>0</v>
      </c>
      <c r="F51" s="53">
        <f>'SA budget'!F51</f>
        <v>0</v>
      </c>
      <c r="G51" s="53">
        <f>'SA budget'!G51</f>
        <v>0</v>
      </c>
      <c r="H51" s="53">
        <f>'SA budget'!H51</f>
        <v>0</v>
      </c>
      <c r="I51" s="53">
        <f>'SA budget'!I51</f>
        <v>0</v>
      </c>
      <c r="J51" s="53">
        <f>'SA budget'!J51</f>
        <v>0</v>
      </c>
      <c r="K51" s="53">
        <f>'SA budget'!K51</f>
        <v>0</v>
      </c>
      <c r="L51" s="53">
        <f>'SA budget'!L51</f>
        <v>0</v>
      </c>
      <c r="M51" s="53">
        <f>'SA budget'!M51</f>
        <v>0</v>
      </c>
      <c r="N51" s="53">
        <f>'SA budget'!N51</f>
        <v>0</v>
      </c>
      <c r="O51" s="53">
        <f>'SA budget'!O51</f>
        <v>0</v>
      </c>
      <c r="P51" s="53">
        <f>'SA budget'!P51</f>
        <v>-7739045.21</v>
      </c>
      <c r="Q51" s="56"/>
      <c r="R51" s="53"/>
      <c r="AA51" s="53">
        <f>E51-'SA budget'!E51</f>
        <v>0</v>
      </c>
      <c r="AB51" s="53">
        <f>F51-'SA budget'!F51</f>
        <v>0</v>
      </c>
      <c r="AC51" s="53">
        <f>G51-'SA budget'!G51</f>
        <v>0</v>
      </c>
      <c r="AD51" s="53">
        <f>H51-'SA budget'!H51</f>
        <v>0</v>
      </c>
      <c r="AE51" s="53">
        <f>I51-'SA budget'!I51</f>
        <v>0</v>
      </c>
      <c r="AF51" s="53">
        <f>J51-'SA budget'!J51</f>
        <v>0</v>
      </c>
      <c r="AG51" s="53">
        <f>K51-'SA budget'!K51</f>
        <v>0</v>
      </c>
      <c r="AH51" s="53">
        <f>L51-'SA budget'!L51</f>
        <v>0</v>
      </c>
      <c r="AI51" s="53">
        <f>M51-'SA budget'!M51</f>
        <v>0</v>
      </c>
      <c r="AJ51" s="53">
        <f>N51-'SA budget'!N51</f>
        <v>0</v>
      </c>
      <c r="AK51" s="53">
        <f>O51-'SA budget'!O51</f>
        <v>0</v>
      </c>
      <c r="AL51" s="53">
        <f>P51-'SA budget'!P51</f>
        <v>0</v>
      </c>
      <c r="AM51" s="56"/>
      <c r="AN51" s="53">
        <f t="shared" si="32"/>
        <v>0</v>
      </c>
    </row>
    <row r="52" spans="2:40" x14ac:dyDescent="0.35">
      <c r="B52" s="5" t="s">
        <v>172</v>
      </c>
      <c r="C52" s="19" t="s">
        <v>162</v>
      </c>
      <c r="E52" s="53">
        <f>'SA Actual'!E52</f>
        <v>-22758.400000000001</v>
      </c>
      <c r="F52" s="53">
        <f>'SA budget'!F52</f>
        <v>0</v>
      </c>
      <c r="G52" s="53">
        <f>'SA budget'!G52</f>
        <v>0</v>
      </c>
      <c r="H52" s="53">
        <f>'SA budget'!H52</f>
        <v>0</v>
      </c>
      <c r="I52" s="53">
        <f>'SA budget'!I52</f>
        <v>0</v>
      </c>
      <c r="J52" s="53">
        <f>'SA budget'!J52</f>
        <v>0</v>
      </c>
      <c r="K52" s="53">
        <f>'SA budget'!K52</f>
        <v>0</v>
      </c>
      <c r="L52" s="53">
        <f>'SA budget'!L52</f>
        <v>0</v>
      </c>
      <c r="M52" s="53">
        <f>'SA budget'!M52</f>
        <v>0</v>
      </c>
      <c r="N52" s="53">
        <f>'SA budget'!N52</f>
        <v>0</v>
      </c>
      <c r="O52" s="53">
        <f>'SA budget'!O52</f>
        <v>0</v>
      </c>
      <c r="P52" s="53">
        <f>'SA budget'!P52</f>
        <v>0</v>
      </c>
      <c r="Q52" s="56"/>
      <c r="R52" s="53"/>
      <c r="AA52" s="53">
        <f>E52-'SA budget'!E52</f>
        <v>-22758.400000000001</v>
      </c>
      <c r="AB52" s="53">
        <f>F52-'SA budget'!F52</f>
        <v>0</v>
      </c>
      <c r="AC52" s="53">
        <f>G52-'SA budget'!G52</f>
        <v>0</v>
      </c>
      <c r="AD52" s="53">
        <f>H52-'SA budget'!H52</f>
        <v>0</v>
      </c>
      <c r="AE52" s="53">
        <f>I52-'SA budget'!I52</f>
        <v>0</v>
      </c>
      <c r="AF52" s="53">
        <f>J52-'SA budget'!J52</f>
        <v>0</v>
      </c>
      <c r="AG52" s="53">
        <f>K52-'SA budget'!K52</f>
        <v>0</v>
      </c>
      <c r="AH52" s="53">
        <f>L52-'SA budget'!L52</f>
        <v>0</v>
      </c>
      <c r="AI52" s="53">
        <f>M52-'SA budget'!M52</f>
        <v>0</v>
      </c>
      <c r="AJ52" s="53">
        <f>N52-'SA budget'!N52</f>
        <v>0</v>
      </c>
      <c r="AK52" s="53">
        <f>O52-'SA budget'!O52</f>
        <v>0</v>
      </c>
      <c r="AL52" s="53">
        <f>P52-'SA budget'!P52</f>
        <v>0</v>
      </c>
      <c r="AM52" s="56"/>
      <c r="AN52" s="53">
        <f t="shared" si="32"/>
        <v>-22758.400000000001</v>
      </c>
    </row>
    <row r="53" spans="2:40" x14ac:dyDescent="0.35">
      <c r="B53" s="5" t="s">
        <v>81</v>
      </c>
      <c r="C53" s="19" t="s">
        <v>162</v>
      </c>
      <c r="E53" s="53">
        <f>'SA Actual'!E53</f>
        <v>-38317.47</v>
      </c>
      <c r="F53" s="53">
        <f>'SA budget'!F53</f>
        <v>-306069.93969126116</v>
      </c>
      <c r="G53" s="53">
        <f>'SA budget'!G53</f>
        <v>-286733.13423942716</v>
      </c>
      <c r="H53" s="53">
        <f>'SA budget'!H53</f>
        <v>-258046.39606373015</v>
      </c>
      <c r="I53" s="53">
        <f>'SA budget'!I53</f>
        <v>-217456.09154513368</v>
      </c>
      <c r="J53" s="53">
        <f>'SA budget'!J53</f>
        <v>-191222.04523220425</v>
      </c>
      <c r="K53" s="53">
        <f>'SA budget'!K53</f>
        <v>-173007.14764111748</v>
      </c>
      <c r="L53" s="53">
        <f>'SA budget'!L53</f>
        <v>-146865.35303890973</v>
      </c>
      <c r="M53" s="53">
        <f>'SA budget'!M53</f>
        <v>-122059.84095109468</v>
      </c>
      <c r="N53" s="53">
        <f>'SA budget'!N53</f>
        <v>-118602.04726259496</v>
      </c>
      <c r="O53" s="53">
        <f>'SA budget'!O53</f>
        <v>-99609.829127964986</v>
      </c>
      <c r="P53" s="53">
        <f>'SA budget'!P53</f>
        <v>-76608.912708881035</v>
      </c>
      <c r="Q53" s="56"/>
      <c r="R53" s="53">
        <f t="shared" ref="R53" si="33">SUM(E53:P53)</f>
        <v>-2034598.2075023195</v>
      </c>
      <c r="AA53" s="53">
        <f>E53-'SA budget'!E53</f>
        <v>290251.15294189774</v>
      </c>
      <c r="AB53" s="53">
        <f>F53-'SA budget'!F53</f>
        <v>0</v>
      </c>
      <c r="AC53" s="53">
        <f>G53-'SA budget'!G53</f>
        <v>0</v>
      </c>
      <c r="AD53" s="53">
        <f>H53-'SA budget'!H53</f>
        <v>0</v>
      </c>
      <c r="AE53" s="53">
        <f>I53-'SA budget'!I53</f>
        <v>0</v>
      </c>
      <c r="AF53" s="53">
        <f>J53-'SA budget'!J53</f>
        <v>0</v>
      </c>
      <c r="AG53" s="53">
        <f>K53-'SA budget'!K53</f>
        <v>0</v>
      </c>
      <c r="AH53" s="53">
        <f>L53-'SA budget'!L53</f>
        <v>0</v>
      </c>
      <c r="AI53" s="53">
        <f>M53-'SA budget'!M53</f>
        <v>0</v>
      </c>
      <c r="AJ53" s="53">
        <f>N53-'SA budget'!N53</f>
        <v>0</v>
      </c>
      <c r="AK53" s="53">
        <f>O53-'SA budget'!O53</f>
        <v>0</v>
      </c>
      <c r="AL53" s="53">
        <f>P53-'SA budget'!P53</f>
        <v>0</v>
      </c>
      <c r="AM53" s="56"/>
      <c r="AN53" s="53">
        <f t="shared" si="32"/>
        <v>290251.15294189774</v>
      </c>
    </row>
    <row r="54" spans="2:40" x14ac:dyDescent="0.35">
      <c r="B54" s="5" t="s">
        <v>182</v>
      </c>
      <c r="C54" s="19" t="s">
        <v>162</v>
      </c>
      <c r="E54" s="53">
        <f>'SA Actual'!E54</f>
        <v>-111686</v>
      </c>
      <c r="F54" s="53">
        <f>'SA budget'!F54</f>
        <v>0</v>
      </c>
      <c r="G54" s="53">
        <f>'SA budget'!G54</f>
        <v>0</v>
      </c>
      <c r="H54" s="53">
        <f>'SA budget'!H54</f>
        <v>0</v>
      </c>
      <c r="I54" s="53">
        <f>'SA budget'!I54</f>
        <v>0</v>
      </c>
      <c r="J54" s="53">
        <f>'SA budget'!J54</f>
        <v>0</v>
      </c>
      <c r="K54" s="53">
        <f>'SA budget'!K54</f>
        <v>0</v>
      </c>
      <c r="L54" s="53">
        <f>'SA budget'!L54</f>
        <v>0</v>
      </c>
      <c r="M54" s="53">
        <f>'SA budget'!M54</f>
        <v>0</v>
      </c>
      <c r="N54" s="53">
        <f>'SA budget'!N54</f>
        <v>0</v>
      </c>
      <c r="O54" s="53">
        <f>'SA budget'!O54</f>
        <v>0</v>
      </c>
      <c r="P54" s="53">
        <f>'SA budget'!P54</f>
        <v>0</v>
      </c>
      <c r="Q54" s="56"/>
      <c r="R54" s="53"/>
      <c r="AA54" s="53">
        <f>E54-'SA budget'!E54</f>
        <v>-111686</v>
      </c>
      <c r="AB54" s="53">
        <f>F54-'SA budget'!F54</f>
        <v>0</v>
      </c>
      <c r="AC54" s="53">
        <f>G54-'SA budget'!G54</f>
        <v>0</v>
      </c>
      <c r="AD54" s="53">
        <f>H54-'SA budget'!H54</f>
        <v>0</v>
      </c>
      <c r="AE54" s="53">
        <f>I54-'SA budget'!I54</f>
        <v>0</v>
      </c>
      <c r="AF54" s="53">
        <f>J54-'SA budget'!J54</f>
        <v>0</v>
      </c>
      <c r="AG54" s="53">
        <f>K54-'SA budget'!K54</f>
        <v>0</v>
      </c>
      <c r="AH54" s="53">
        <f>L54-'SA budget'!L54</f>
        <v>0</v>
      </c>
      <c r="AI54" s="53">
        <f>M54-'SA budget'!M54</f>
        <v>0</v>
      </c>
      <c r="AJ54" s="53">
        <f>N54-'SA budget'!N54</f>
        <v>0</v>
      </c>
      <c r="AK54" s="53">
        <f>O54-'SA budget'!O54</f>
        <v>0</v>
      </c>
      <c r="AL54" s="53">
        <f>P54-'SA budget'!P54</f>
        <v>0</v>
      </c>
      <c r="AM54" s="56"/>
      <c r="AN54" s="53">
        <f t="shared" si="32"/>
        <v>-111686</v>
      </c>
    </row>
    <row r="55" spans="2:40" x14ac:dyDescent="0.35">
      <c r="B55" s="51" t="s">
        <v>181</v>
      </c>
      <c r="C55" s="19" t="s">
        <v>162</v>
      </c>
      <c r="E55" s="53">
        <f>'SA Actual'!E55</f>
        <v>-200245.61</v>
      </c>
      <c r="F55" s="53">
        <f>'SA budget'!F55</f>
        <v>0</v>
      </c>
      <c r="G55" s="53">
        <f>'SA budget'!G55</f>
        <v>0</v>
      </c>
      <c r="H55" s="53">
        <f>'SA budget'!H55</f>
        <v>0</v>
      </c>
      <c r="I55" s="53">
        <f>'SA budget'!I55</f>
        <v>0</v>
      </c>
      <c r="J55" s="53">
        <f>'SA budget'!J55</f>
        <v>0</v>
      </c>
      <c r="K55" s="53">
        <f>'SA budget'!K55</f>
        <v>0</v>
      </c>
      <c r="L55" s="53">
        <f>'SA budget'!L55</f>
        <v>0</v>
      </c>
      <c r="M55" s="53">
        <f>'SA budget'!M55</f>
        <v>0</v>
      </c>
      <c r="N55" s="53">
        <f>'SA budget'!N55</f>
        <v>0</v>
      </c>
      <c r="O55" s="53">
        <f>'SA budget'!O55</f>
        <v>0</v>
      </c>
      <c r="P55" s="53">
        <f>'SA budget'!P55</f>
        <v>0</v>
      </c>
      <c r="Q55" s="56"/>
      <c r="R55" s="53"/>
      <c r="T55" s="4"/>
      <c r="U55" s="4"/>
      <c r="V55" s="4"/>
      <c r="W55" s="4"/>
      <c r="X55" s="4"/>
      <c r="Y55" s="4"/>
      <c r="Z55" s="4"/>
      <c r="AA55" s="53">
        <f>E55-'SA budget'!E55</f>
        <v>-200245.61</v>
      </c>
      <c r="AB55" s="53">
        <f>F55-'SA budget'!F55</f>
        <v>0</v>
      </c>
      <c r="AC55" s="53">
        <f>G55-'SA budget'!G55</f>
        <v>0</v>
      </c>
      <c r="AD55" s="53">
        <f>H55-'SA budget'!H55</f>
        <v>0</v>
      </c>
      <c r="AE55" s="53">
        <f>I55-'SA budget'!I55</f>
        <v>0</v>
      </c>
      <c r="AF55" s="53">
        <f>J55-'SA budget'!J55</f>
        <v>0</v>
      </c>
      <c r="AG55" s="53">
        <f>K55-'SA budget'!K55</f>
        <v>0</v>
      </c>
      <c r="AH55" s="53">
        <f>L55-'SA budget'!L55</f>
        <v>0</v>
      </c>
      <c r="AI55" s="53">
        <f>M55-'SA budget'!M55</f>
        <v>0</v>
      </c>
      <c r="AJ55" s="53">
        <f>N55-'SA budget'!N55</f>
        <v>0</v>
      </c>
      <c r="AK55" s="53">
        <f>O55-'SA budget'!O55</f>
        <v>0</v>
      </c>
      <c r="AL55" s="53">
        <f>P55-'SA budget'!P55</f>
        <v>0</v>
      </c>
      <c r="AM55" s="56"/>
      <c r="AN55" s="53">
        <f t="shared" si="32"/>
        <v>-200245.61</v>
      </c>
    </row>
    <row r="56" spans="2:40" x14ac:dyDescent="0.35">
      <c r="I56" s="54"/>
      <c r="J56" s="54"/>
      <c r="K56" s="54"/>
      <c r="L56" s="54"/>
      <c r="M56" s="54"/>
      <c r="N56" s="54"/>
      <c r="O56" s="54"/>
      <c r="P56" s="54"/>
      <c r="Q56" s="56"/>
      <c r="R56" s="54"/>
      <c r="T56" s="4"/>
      <c r="U56" s="4"/>
      <c r="V56" s="4"/>
      <c r="W56" s="4"/>
      <c r="X56" s="4"/>
      <c r="Y56" s="4"/>
      <c r="Z56" s="4"/>
      <c r="AE56" s="54"/>
      <c r="AF56" s="54"/>
      <c r="AG56" s="54"/>
      <c r="AH56" s="54"/>
      <c r="AI56" s="54"/>
      <c r="AJ56" s="54"/>
      <c r="AK56" s="54"/>
      <c r="AL56" s="54"/>
      <c r="AM56" s="56"/>
      <c r="AN56" s="54"/>
    </row>
    <row r="57" spans="2:40" x14ac:dyDescent="0.35">
      <c r="I57" s="54"/>
      <c r="J57" s="54"/>
      <c r="K57" s="54"/>
      <c r="L57" s="54"/>
      <c r="M57" s="54"/>
      <c r="N57" s="54"/>
      <c r="O57" s="54"/>
      <c r="P57" s="54"/>
      <c r="Q57" s="56"/>
      <c r="R57" s="54"/>
      <c r="T57" s="4"/>
      <c r="U57" s="4"/>
      <c r="V57" s="4"/>
      <c r="W57" s="4"/>
      <c r="X57" s="4"/>
      <c r="Y57" s="4"/>
      <c r="Z57" s="4"/>
      <c r="AE57" s="54"/>
      <c r="AF57" s="54"/>
      <c r="AG57" s="54"/>
      <c r="AH57" s="54"/>
      <c r="AI57" s="54"/>
      <c r="AJ57" s="54"/>
      <c r="AK57" s="54"/>
      <c r="AL57" s="54"/>
      <c r="AM57" s="56"/>
      <c r="AN57" s="54"/>
    </row>
    <row r="58" spans="2:40" x14ac:dyDescent="0.35">
      <c r="E58" s="56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6"/>
      <c r="R58" s="54"/>
      <c r="AA58" s="56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6"/>
      <c r="AN58" s="54"/>
    </row>
    <row r="59" spans="2:40" x14ac:dyDescent="0.35">
      <c r="B59" s="5" t="s">
        <v>157</v>
      </c>
      <c r="C59" s="19" t="s">
        <v>162</v>
      </c>
      <c r="E59" s="53">
        <f>'SA Actual'!E59</f>
        <v>3099119.4250000003</v>
      </c>
      <c r="F59" s="53">
        <f>'SA budget'!F59</f>
        <v>1603314.8862222224</v>
      </c>
      <c r="G59" s="53">
        <f>'SA budget'!G59</f>
        <v>1760064.9545555555</v>
      </c>
      <c r="H59" s="53">
        <f>'SA budget'!H59</f>
        <v>3223438.2995555555</v>
      </c>
      <c r="I59" s="53">
        <f>'SA budget'!I59</f>
        <v>3503210.6555555556</v>
      </c>
      <c r="J59" s="53">
        <f>'SA budget'!J59</f>
        <v>1654721.7095555556</v>
      </c>
      <c r="K59" s="53">
        <f>'SA budget'!K59</f>
        <v>2419668.8115555556</v>
      </c>
      <c r="L59" s="53">
        <f>'SA budget'!L59</f>
        <v>3488289.5477881432</v>
      </c>
      <c r="M59" s="53">
        <f>'SA budget'!M59</f>
        <v>1386433.8659999997</v>
      </c>
      <c r="N59" s="53">
        <f>'SA budget'!N59</f>
        <v>1177092.7539999997</v>
      </c>
      <c r="O59" s="53">
        <f>'SA budget'!O59</f>
        <v>2875571.3548888885</v>
      </c>
      <c r="P59" s="53">
        <f>'SA budget'!P59</f>
        <v>1228941.6428888885</v>
      </c>
      <c r="Q59" s="56"/>
      <c r="R59" s="53">
        <f t="shared" ref="R59:R60" si="34">SUM(E59:P59)</f>
        <v>27419867.907565922</v>
      </c>
      <c r="AA59" s="53">
        <f>E59-'SA budget'!E59</f>
        <v>77612.458777777385</v>
      </c>
      <c r="AB59" s="53">
        <f>F59-'SA budget'!F59</f>
        <v>0</v>
      </c>
      <c r="AC59" s="53">
        <f>G59-'SA budget'!G59</f>
        <v>0</v>
      </c>
      <c r="AD59" s="53">
        <f>H59-'SA budget'!H59</f>
        <v>0</v>
      </c>
      <c r="AE59" s="53">
        <f>I59-'SA budget'!I59</f>
        <v>0</v>
      </c>
      <c r="AF59" s="53">
        <f>J59-'SA budget'!J59</f>
        <v>0</v>
      </c>
      <c r="AG59" s="53">
        <f>K59-'SA budget'!K59</f>
        <v>0</v>
      </c>
      <c r="AH59" s="53">
        <f>L59-'SA budget'!L59</f>
        <v>0</v>
      </c>
      <c r="AI59" s="53">
        <f>M59-'SA budget'!M59</f>
        <v>0</v>
      </c>
      <c r="AJ59" s="53">
        <f>N59-'SA budget'!N59</f>
        <v>0</v>
      </c>
      <c r="AK59" s="53">
        <f>O59-'SA budget'!O59</f>
        <v>0</v>
      </c>
      <c r="AL59" s="53">
        <f>P59-'SA budget'!P59</f>
        <v>0</v>
      </c>
      <c r="AM59" s="56"/>
      <c r="AN59" s="53">
        <f t="shared" ref="AN59:AN60" si="35">SUM(AA59:AL59)</f>
        <v>77612.458777777385</v>
      </c>
    </row>
    <row r="60" spans="2:40" x14ac:dyDescent="0.35">
      <c r="B60" s="5" t="s">
        <v>158</v>
      </c>
      <c r="C60" s="19" t="s">
        <v>162</v>
      </c>
      <c r="E60" s="53">
        <f>'SA Actual'!E60</f>
        <v>-2082692</v>
      </c>
      <c r="F60" s="53">
        <f>'SA budget'!F60</f>
        <v>0</v>
      </c>
      <c r="G60" s="53">
        <f>'SA budget'!G60</f>
        <v>-3021506.9662222229</v>
      </c>
      <c r="H60" s="53">
        <f>'SA budget'!H60</f>
        <v>-1603314.8862222224</v>
      </c>
      <c r="I60" s="53">
        <f>'SA budget'!I60</f>
        <v>-1760064.9545555555</v>
      </c>
      <c r="J60" s="53">
        <f>'SA budget'!J60</f>
        <v>-3223438.2995555555</v>
      </c>
      <c r="K60" s="53">
        <f>'SA budget'!K60</f>
        <v>-3503210.6555555556</v>
      </c>
      <c r="L60" s="53">
        <f>'SA budget'!L60</f>
        <v>-1654721.7095555556</v>
      </c>
      <c r="M60" s="53">
        <f>'SA budget'!M60</f>
        <v>-2419668.8115555556</v>
      </c>
      <c r="N60" s="53">
        <f>'SA budget'!N60</f>
        <v>-3488289.5477881432</v>
      </c>
      <c r="O60" s="53">
        <f>'SA budget'!O60</f>
        <v>-1386433.8659999997</v>
      </c>
      <c r="P60" s="53">
        <f>'SA budget'!P60</f>
        <v>-1177092.7539999997</v>
      </c>
      <c r="Q60" s="56"/>
      <c r="R60" s="53">
        <f t="shared" si="34"/>
        <v>-25320434.451010369</v>
      </c>
      <c r="AA60" s="53">
        <f>E60-'SA budget'!E60</f>
        <v>0</v>
      </c>
      <c r="AB60" s="53">
        <f>F60-'SA budget'!F60</f>
        <v>0</v>
      </c>
      <c r="AC60" s="53">
        <f>G60-'SA budget'!G60</f>
        <v>0</v>
      </c>
      <c r="AD60" s="53">
        <f>H60-'SA budget'!H60</f>
        <v>0</v>
      </c>
      <c r="AE60" s="53">
        <f>I60-'SA budget'!I60</f>
        <v>0</v>
      </c>
      <c r="AF60" s="53">
        <f>J60-'SA budget'!J60</f>
        <v>0</v>
      </c>
      <c r="AG60" s="53">
        <f>K60-'SA budget'!K60</f>
        <v>0</v>
      </c>
      <c r="AH60" s="53">
        <f>L60-'SA budget'!L60</f>
        <v>0</v>
      </c>
      <c r="AI60" s="53">
        <f>M60-'SA budget'!M60</f>
        <v>0</v>
      </c>
      <c r="AJ60" s="53">
        <f>N60-'SA budget'!N60</f>
        <v>0</v>
      </c>
      <c r="AK60" s="53">
        <f>O60-'SA budget'!O60</f>
        <v>0</v>
      </c>
      <c r="AL60" s="53">
        <f>P60-'SA budget'!P60</f>
        <v>0</v>
      </c>
      <c r="AM60" s="56"/>
      <c r="AN60" s="53">
        <f t="shared" si="35"/>
        <v>0</v>
      </c>
    </row>
    <row r="61" spans="2:40" ht="6" customHeight="1" x14ac:dyDescent="0.35"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</row>
    <row r="62" spans="2:40" x14ac:dyDescent="0.35">
      <c r="B62" s="42" t="s">
        <v>19</v>
      </c>
      <c r="C62" s="19" t="s">
        <v>162</v>
      </c>
      <c r="E62" s="55">
        <f>+E48+E25+E20+SUM(E50:E55)+SUM(E59:E60)+E27</f>
        <v>16814728</v>
      </c>
      <c r="F62" s="55">
        <f t="shared" ref="F62:P62" si="36">+F48+F25+F20+SUM(F50:F55)+SUM(F59:F60)+F27</f>
        <v>11560607.369995074</v>
      </c>
      <c r="G62" s="55">
        <f t="shared" si="36"/>
        <v>8798139.0797686838</v>
      </c>
      <c r="H62" s="55">
        <f t="shared" si="36"/>
        <v>28736198.894243382</v>
      </c>
      <c r="I62" s="55">
        <f t="shared" si="36"/>
        <v>20135779.120257642</v>
      </c>
      <c r="J62" s="55">
        <f t="shared" si="36"/>
        <v>8059448.2105705719</v>
      </c>
      <c r="K62" s="55">
        <f t="shared" si="36"/>
        <v>14301818.54232466</v>
      </c>
      <c r="L62" s="55">
        <f t="shared" si="36"/>
        <v>20011586.457159393</v>
      </c>
      <c r="M62" s="55">
        <f t="shared" si="36"/>
        <v>1913030.7765183493</v>
      </c>
      <c r="N62" s="55">
        <f t="shared" si="36"/>
        <v>5961817.5951372599</v>
      </c>
      <c r="O62" s="55">
        <f t="shared" si="36"/>
        <v>20648170.667230371</v>
      </c>
      <c r="P62" s="55">
        <f t="shared" si="36"/>
        <v>-2200403.8579105493</v>
      </c>
      <c r="Q62" s="56"/>
      <c r="R62" s="55">
        <f t="shared" ref="R62" si="37">SUM(E62:P62)</f>
        <v>154740920.85529485</v>
      </c>
      <c r="AA62" s="55">
        <f>+AA48+AA25+AA20+SUM(AA50:AA55)+SUM(AA59:AA60)+AA27</f>
        <v>689916.86598056462</v>
      </c>
      <c r="AB62" s="55">
        <f t="shared" ref="AB62:AL62" si="38">+AB48+AB25+AB20+SUM(AB50:AB55)+SUM(AB59:AB60)+AB27</f>
        <v>0</v>
      </c>
      <c r="AC62" s="55">
        <f t="shared" si="38"/>
        <v>0</v>
      </c>
      <c r="AD62" s="55">
        <f t="shared" si="38"/>
        <v>0</v>
      </c>
      <c r="AE62" s="55">
        <f t="shared" si="38"/>
        <v>0</v>
      </c>
      <c r="AF62" s="55">
        <f t="shared" si="38"/>
        <v>0</v>
      </c>
      <c r="AG62" s="55">
        <f t="shared" si="38"/>
        <v>0</v>
      </c>
      <c r="AH62" s="55">
        <f t="shared" si="38"/>
        <v>0</v>
      </c>
      <c r="AI62" s="55">
        <f t="shared" si="38"/>
        <v>0</v>
      </c>
      <c r="AJ62" s="55">
        <f t="shared" si="38"/>
        <v>0</v>
      </c>
      <c r="AK62" s="55">
        <f t="shared" si="38"/>
        <v>0</v>
      </c>
      <c r="AL62" s="55">
        <f t="shared" si="38"/>
        <v>0</v>
      </c>
      <c r="AM62" s="56"/>
      <c r="AN62" s="55">
        <f t="shared" ref="AN62" si="39">SUM(AA62:AL62)</f>
        <v>689916.86598056462</v>
      </c>
    </row>
    <row r="63" spans="2:40" x14ac:dyDescent="0.35"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8">
        <f>R62/12</f>
        <v>12895076.737941237</v>
      </c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8">
        <f>AN62/12</f>
        <v>57493.072165047051</v>
      </c>
    </row>
    <row r="64" spans="2:40" x14ac:dyDescent="0.35">
      <c r="B64" s="5" t="s">
        <v>51</v>
      </c>
      <c r="C64" s="19" t="s">
        <v>162</v>
      </c>
      <c r="E64" s="77">
        <f>'SA Actual'!E64</f>
        <v>204898456.16050819</v>
      </c>
      <c r="F64" s="55">
        <f>E65</f>
        <v>188083728.16050819</v>
      </c>
      <c r="G64" s="55">
        <f t="shared" ref="G64:P64" si="40">F65</f>
        <v>176523120.7905131</v>
      </c>
      <c r="H64" s="55">
        <f t="shared" si="40"/>
        <v>167724981.71074441</v>
      </c>
      <c r="I64" s="55">
        <f t="shared" si="40"/>
        <v>138988782.81650102</v>
      </c>
      <c r="J64" s="55">
        <f t="shared" si="40"/>
        <v>118853003.69624338</v>
      </c>
      <c r="K64" s="55">
        <f t="shared" si="40"/>
        <v>110793555.4856728</v>
      </c>
      <c r="L64" s="55">
        <f t="shared" si="40"/>
        <v>96491736.94334814</v>
      </c>
      <c r="M64" s="55">
        <f t="shared" si="40"/>
        <v>76480150.48618874</v>
      </c>
      <c r="N64" s="55">
        <f t="shared" si="40"/>
        <v>74567119.709670395</v>
      </c>
      <c r="O64" s="55">
        <f t="shared" si="40"/>
        <v>68605302.114533141</v>
      </c>
      <c r="P64" s="55">
        <f t="shared" si="40"/>
        <v>47957131.447302774</v>
      </c>
      <c r="Q64" s="56"/>
      <c r="R64" s="56"/>
      <c r="AA64" s="77">
        <f>E64-'SA budget'!E64</f>
        <v>0</v>
      </c>
      <c r="AB64" s="55">
        <f>F64-'SA budget'!F64</f>
        <v>-689916.86598056555</v>
      </c>
      <c r="AC64" s="55">
        <f>G64-'SA budget'!G64</f>
        <v>-689916.86598056555</v>
      </c>
      <c r="AD64" s="55">
        <f>H64-'SA budget'!H64</f>
        <v>-689916.86598056555</v>
      </c>
      <c r="AE64" s="55">
        <f>I64-'SA budget'!I64</f>
        <v>-689916.86598056555</v>
      </c>
      <c r="AF64" s="55">
        <f>J64-'SA budget'!J64</f>
        <v>-689916.86598056555</v>
      </c>
      <c r="AG64" s="55">
        <f>K64-'SA budget'!K64</f>
        <v>-689916.86598056555</v>
      </c>
      <c r="AH64" s="55">
        <f>L64-'SA budget'!L64</f>
        <v>-689916.86598056555</v>
      </c>
      <c r="AI64" s="55">
        <f>M64-'SA budget'!M64</f>
        <v>-689916.86598056555</v>
      </c>
      <c r="AJ64" s="55">
        <f>N64-'SA budget'!N64</f>
        <v>-689916.86598056555</v>
      </c>
      <c r="AK64" s="55">
        <f>O64-'SA budget'!O64</f>
        <v>-689916.86598056555</v>
      </c>
      <c r="AL64" s="55">
        <f>P64-'SA budget'!P64</f>
        <v>-689916.86598056555</v>
      </c>
      <c r="AM64" s="56"/>
      <c r="AN64" s="56"/>
    </row>
    <row r="65" spans="2:40" x14ac:dyDescent="0.35">
      <c r="B65" s="5" t="s">
        <v>52</v>
      </c>
      <c r="C65" s="19" t="s">
        <v>162</v>
      </c>
      <c r="E65" s="55">
        <f>E64-E62</f>
        <v>188083728.16050819</v>
      </c>
      <c r="F65" s="55">
        <f>F64-F62</f>
        <v>176523120.7905131</v>
      </c>
      <c r="G65" s="55">
        <f t="shared" ref="G65:P65" si="41">G64-G62</f>
        <v>167724981.71074441</v>
      </c>
      <c r="H65" s="55">
        <f t="shared" si="41"/>
        <v>138988782.81650102</v>
      </c>
      <c r="I65" s="55">
        <f t="shared" si="41"/>
        <v>118853003.69624338</v>
      </c>
      <c r="J65" s="55">
        <f t="shared" si="41"/>
        <v>110793555.4856728</v>
      </c>
      <c r="K65" s="55">
        <f t="shared" si="41"/>
        <v>96491736.94334814</v>
      </c>
      <c r="L65" s="55">
        <f t="shared" si="41"/>
        <v>76480150.48618874</v>
      </c>
      <c r="M65" s="55">
        <f t="shared" si="41"/>
        <v>74567119.709670395</v>
      </c>
      <c r="N65" s="55">
        <f t="shared" si="41"/>
        <v>68605302.114533141</v>
      </c>
      <c r="O65" s="55">
        <f t="shared" si="41"/>
        <v>47957131.447302774</v>
      </c>
      <c r="P65" s="55">
        <f t="shared" si="41"/>
        <v>50157535.305213325</v>
      </c>
      <c r="Q65" s="56"/>
      <c r="R65" s="56"/>
      <c r="AA65" s="55">
        <f>E65-'SA budget'!E65</f>
        <v>-689916.86598056555</v>
      </c>
      <c r="AB65" s="55">
        <f>F65-'SA budget'!F65</f>
        <v>-689916.86598056555</v>
      </c>
      <c r="AC65" s="55">
        <f>G65-'SA budget'!G65</f>
        <v>-689916.86598056555</v>
      </c>
      <c r="AD65" s="55">
        <f>H65-'SA budget'!H65</f>
        <v>-689916.86598056555</v>
      </c>
      <c r="AE65" s="55">
        <f>I65-'SA budget'!I65</f>
        <v>-689916.86598056555</v>
      </c>
      <c r="AF65" s="55">
        <f>J65-'SA budget'!J65</f>
        <v>-689916.86598056555</v>
      </c>
      <c r="AG65" s="55">
        <f>K65-'SA budget'!K65</f>
        <v>-689916.86598056555</v>
      </c>
      <c r="AH65" s="55">
        <f>L65-'SA budget'!L65</f>
        <v>-689916.86598056555</v>
      </c>
      <c r="AI65" s="55">
        <f>M65-'SA budget'!M65</f>
        <v>-689916.86598056555</v>
      </c>
      <c r="AJ65" s="55">
        <f>N65-'SA budget'!N65</f>
        <v>-689916.86598056555</v>
      </c>
      <c r="AK65" s="55">
        <f>O65-'SA budget'!O65</f>
        <v>-689916.86598056555</v>
      </c>
      <c r="AL65" s="55">
        <f>P65-'SA budget'!P65</f>
        <v>-689916.86598056555</v>
      </c>
      <c r="AM65" s="56"/>
      <c r="AN65" s="56"/>
    </row>
    <row r="66" spans="2:40" x14ac:dyDescent="0.35"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</row>
    <row r="67" spans="2:40" x14ac:dyDescent="0.35"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</row>
    <row r="68" spans="2:40" x14ac:dyDescent="0.35"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</row>
    <row r="69" spans="2:40" x14ac:dyDescent="0.35"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</row>
    <row r="70" spans="2:40" x14ac:dyDescent="0.35">
      <c r="B70" s="3" t="s">
        <v>8</v>
      </c>
      <c r="C70" s="3"/>
      <c r="E70" s="57">
        <v>46023</v>
      </c>
      <c r="F70" s="57">
        <f t="shared" ref="F70:J70" si="42">EDATE(E70,1)</f>
        <v>46054</v>
      </c>
      <c r="G70" s="57">
        <f t="shared" si="42"/>
        <v>46082</v>
      </c>
      <c r="H70" s="57">
        <f t="shared" si="42"/>
        <v>46113</v>
      </c>
      <c r="I70" s="57">
        <f t="shared" si="42"/>
        <v>46143</v>
      </c>
      <c r="J70" s="57">
        <f t="shared" si="42"/>
        <v>46174</v>
      </c>
      <c r="K70" s="57">
        <f>EDATE(J70,1)</f>
        <v>46204</v>
      </c>
      <c r="L70" s="57">
        <f t="shared" ref="L70:N70" si="43">EDATE(K70,1)</f>
        <v>46235</v>
      </c>
      <c r="M70" s="57">
        <f t="shared" si="43"/>
        <v>46266</v>
      </c>
      <c r="N70" s="57">
        <f t="shared" si="43"/>
        <v>46296</v>
      </c>
      <c r="O70" s="57">
        <f>EDATE(N70,1)</f>
        <v>46327</v>
      </c>
      <c r="P70" s="57">
        <f t="shared" ref="P70" si="44">EDATE(O70,1)</f>
        <v>46357</v>
      </c>
      <c r="Q70" s="56"/>
      <c r="R70" s="15">
        <v>2025</v>
      </c>
      <c r="AA70" s="57">
        <v>46023</v>
      </c>
      <c r="AB70" s="57">
        <f t="shared" ref="AB70" si="45">EDATE(AA70,1)</f>
        <v>46054</v>
      </c>
      <c r="AC70" s="57">
        <f t="shared" ref="AC70" si="46">EDATE(AB70,1)</f>
        <v>46082</v>
      </c>
      <c r="AD70" s="57">
        <f t="shared" ref="AD70" si="47">EDATE(AC70,1)</f>
        <v>46113</v>
      </c>
      <c r="AE70" s="57">
        <f t="shared" ref="AE70" si="48">EDATE(AD70,1)</f>
        <v>46143</v>
      </c>
      <c r="AF70" s="57">
        <f t="shared" ref="AF70" si="49">EDATE(AE70,1)</f>
        <v>46174</v>
      </c>
      <c r="AG70" s="57">
        <f>EDATE(AF70,1)</f>
        <v>46204</v>
      </c>
      <c r="AH70" s="57">
        <f t="shared" ref="AH70" si="50">EDATE(AG70,1)</f>
        <v>46235</v>
      </c>
      <c r="AI70" s="57">
        <f t="shared" ref="AI70" si="51">EDATE(AH70,1)</f>
        <v>46266</v>
      </c>
      <c r="AJ70" s="57">
        <f t="shared" ref="AJ70" si="52">EDATE(AI70,1)</f>
        <v>46296</v>
      </c>
      <c r="AK70" s="57">
        <f>EDATE(AJ70,1)</f>
        <v>46327</v>
      </c>
      <c r="AL70" s="57">
        <f t="shared" ref="AL70" si="53">EDATE(AK70,1)</f>
        <v>46357</v>
      </c>
      <c r="AM70" s="56"/>
      <c r="AN70" s="15">
        <v>2025</v>
      </c>
    </row>
    <row r="71" spans="2:40" x14ac:dyDescent="0.35"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</row>
    <row r="72" spans="2:40" x14ac:dyDescent="0.35">
      <c r="B72" s="5" t="s">
        <v>207</v>
      </c>
      <c r="C72" s="19" t="s">
        <v>163</v>
      </c>
      <c r="E72" s="53">
        <f>'SA Actual'!E72</f>
        <v>1654184.97</v>
      </c>
      <c r="F72" s="53">
        <f>'SA budget'!F72</f>
        <v>2652656.2266666666</v>
      </c>
      <c r="G72" s="53">
        <f>'SA budget'!G72</f>
        <v>2652656.2266666666</v>
      </c>
      <c r="H72" s="53">
        <f>'SA budget'!H72</f>
        <v>2652656.2266666666</v>
      </c>
      <c r="I72" s="53">
        <f>'SA budget'!I72</f>
        <v>2692903.84</v>
      </c>
      <c r="J72" s="53">
        <f>'SA budget'!J72</f>
        <v>2692903.84</v>
      </c>
      <c r="K72" s="53">
        <f>'SA budget'!K72</f>
        <v>2692903.84</v>
      </c>
      <c r="L72" s="53">
        <f>'SA budget'!L72</f>
        <v>5399665.3833333328</v>
      </c>
      <c r="M72" s="53">
        <f>'SA budget'!M72</f>
        <v>5399665.3833333328</v>
      </c>
      <c r="N72" s="53">
        <f>'SA budget'!N72</f>
        <v>5399665.3833333328</v>
      </c>
      <c r="O72" s="53">
        <f>'SA budget'!O72</f>
        <v>3292479.84</v>
      </c>
      <c r="P72" s="53">
        <f>'SA budget'!P72</f>
        <v>3292479.84</v>
      </c>
      <c r="Q72" s="56"/>
      <c r="R72" s="53">
        <f t="shared" ref="R72:R76" si="54">SUM(E72:P72)</f>
        <v>40474821</v>
      </c>
      <c r="S72" t="s">
        <v>118</v>
      </c>
      <c r="AA72" s="53">
        <f>E72-'SA budget'!E72</f>
        <v>-998471.2566666666</v>
      </c>
      <c r="AB72" s="53">
        <f>F72-'SA budget'!F72</f>
        <v>0</v>
      </c>
      <c r="AC72" s="53">
        <f>G72-'SA budget'!G72</f>
        <v>0</v>
      </c>
      <c r="AD72" s="53">
        <f>H72-'SA budget'!H72</f>
        <v>0</v>
      </c>
      <c r="AE72" s="53">
        <f>I72-'SA budget'!I72</f>
        <v>0</v>
      </c>
      <c r="AF72" s="53">
        <f>J72-'SA budget'!J72</f>
        <v>0</v>
      </c>
      <c r="AG72" s="53">
        <f>K72-'SA budget'!K72</f>
        <v>0</v>
      </c>
      <c r="AH72" s="53">
        <f>L72-'SA budget'!L72</f>
        <v>0</v>
      </c>
      <c r="AI72" s="53">
        <f>M72-'SA budget'!M72</f>
        <v>0</v>
      </c>
      <c r="AJ72" s="53">
        <f>N72-'SA budget'!N72</f>
        <v>0</v>
      </c>
      <c r="AK72" s="53">
        <f>O72-'SA budget'!O72</f>
        <v>0</v>
      </c>
      <c r="AL72" s="53">
        <f>P72-'SA budget'!P72</f>
        <v>0</v>
      </c>
      <c r="AM72" s="56"/>
      <c r="AN72" s="53">
        <f t="shared" ref="AN72:AN80" si="55">SUM(AA72:AL72)</f>
        <v>-998471.2566666666</v>
      </c>
    </row>
    <row r="73" spans="2:40" x14ac:dyDescent="0.35">
      <c r="B73" s="5" t="s">
        <v>178</v>
      </c>
      <c r="C73" s="19" t="s">
        <v>163</v>
      </c>
      <c r="E73" s="53">
        <f>'SA Actual'!E73</f>
        <v>462906.43</v>
      </c>
      <c r="F73" s="53">
        <f>'SA budget'!F73</f>
        <v>841253.33333333337</v>
      </c>
      <c r="G73" s="53">
        <f>'SA budget'!G73</f>
        <v>841253.33333333337</v>
      </c>
      <c r="H73" s="53">
        <f>'SA budget'!H73</f>
        <v>841253.33333333337</v>
      </c>
      <c r="I73" s="53">
        <f>'SA budget'!I73</f>
        <v>861520</v>
      </c>
      <c r="J73" s="53">
        <f>'SA budget'!J73</f>
        <v>861520</v>
      </c>
      <c r="K73" s="53">
        <f>'SA budget'!K73</f>
        <v>861520</v>
      </c>
      <c r="L73" s="53">
        <f>'SA budget'!L73</f>
        <v>852720</v>
      </c>
      <c r="M73" s="53">
        <f>'SA budget'!M73</f>
        <v>852720</v>
      </c>
      <c r="N73" s="53">
        <f>'SA budget'!N73</f>
        <v>852720</v>
      </c>
      <c r="O73" s="53">
        <f>'SA budget'!O73</f>
        <v>849973.33333333337</v>
      </c>
      <c r="P73" s="53">
        <f>'SA budget'!P73</f>
        <v>849973.33333333337</v>
      </c>
      <c r="Q73" s="56"/>
      <c r="R73" s="53">
        <f>SUM(E73:P73)</f>
        <v>9829333.0966666676</v>
      </c>
      <c r="AA73" s="53">
        <f>E73-'SA budget'!E73</f>
        <v>-378346.90333333338</v>
      </c>
      <c r="AB73" s="53">
        <f>F73-'SA budget'!F73</f>
        <v>0</v>
      </c>
      <c r="AC73" s="53">
        <f>G73-'SA budget'!G73</f>
        <v>0</v>
      </c>
      <c r="AD73" s="53">
        <f>H73-'SA budget'!H73</f>
        <v>0</v>
      </c>
      <c r="AE73" s="53">
        <f>I73-'SA budget'!I73</f>
        <v>0</v>
      </c>
      <c r="AF73" s="53">
        <f>J73-'SA budget'!J73</f>
        <v>0</v>
      </c>
      <c r="AG73" s="53">
        <f>K73-'SA budget'!K73</f>
        <v>0</v>
      </c>
      <c r="AH73" s="53">
        <f>L73-'SA budget'!L73</f>
        <v>0</v>
      </c>
      <c r="AI73" s="53">
        <f>M73-'SA budget'!M73</f>
        <v>0</v>
      </c>
      <c r="AJ73" s="53">
        <f>N73-'SA budget'!N73</f>
        <v>0</v>
      </c>
      <c r="AK73" s="53">
        <f>O73-'SA budget'!O73</f>
        <v>0</v>
      </c>
      <c r="AL73" s="53">
        <f>P73-'SA budget'!P73</f>
        <v>0</v>
      </c>
      <c r="AM73" s="56"/>
      <c r="AN73" s="53">
        <f t="shared" si="55"/>
        <v>-378346.90333333338</v>
      </c>
    </row>
    <row r="74" spans="2:40" x14ac:dyDescent="0.35">
      <c r="B74" s="5" t="s">
        <v>80</v>
      </c>
      <c r="C74" s="19" t="s">
        <v>163</v>
      </c>
      <c r="E74" s="53">
        <f>'SA Actual'!E74</f>
        <v>407.48</v>
      </c>
      <c r="F74" s="53">
        <f>'SA budget'!F74</f>
        <v>0</v>
      </c>
      <c r="G74" s="53">
        <f>'SA budget'!G74</f>
        <v>0</v>
      </c>
      <c r="H74" s="53">
        <f>'SA budget'!H74</f>
        <v>0</v>
      </c>
      <c r="I74" s="53">
        <f>'SA budget'!I74</f>
        <v>0</v>
      </c>
      <c r="J74" s="53">
        <f>'SA budget'!J74</f>
        <v>0</v>
      </c>
      <c r="K74" s="53">
        <f>'SA budget'!K74</f>
        <v>0</v>
      </c>
      <c r="L74" s="53">
        <f>'SA budget'!L74</f>
        <v>0</v>
      </c>
      <c r="M74" s="53">
        <f>'SA budget'!M74</f>
        <v>0</v>
      </c>
      <c r="N74" s="53">
        <f>'SA budget'!N74</f>
        <v>0</v>
      </c>
      <c r="O74" s="53">
        <f>'SA budget'!O74</f>
        <v>0</v>
      </c>
      <c r="P74" s="53">
        <f>'SA budget'!P74</f>
        <v>0</v>
      </c>
      <c r="Q74" s="56"/>
      <c r="R74" s="53"/>
      <c r="AA74" s="53">
        <f>E74-'SA budget'!E74</f>
        <v>407.48</v>
      </c>
      <c r="AB74" s="53">
        <f>F74-'SA budget'!F74</f>
        <v>0</v>
      </c>
      <c r="AC74" s="53">
        <f>G74-'SA budget'!G74</f>
        <v>0</v>
      </c>
      <c r="AD74" s="53">
        <f>H74-'SA budget'!H74</f>
        <v>0</v>
      </c>
      <c r="AE74" s="53">
        <f>I74-'SA budget'!I74</f>
        <v>0</v>
      </c>
      <c r="AF74" s="53">
        <f>J74-'SA budget'!J74</f>
        <v>0</v>
      </c>
      <c r="AG74" s="53">
        <f>K74-'SA budget'!K74</f>
        <v>0</v>
      </c>
      <c r="AH74" s="53">
        <f>L74-'SA budget'!L74</f>
        <v>0</v>
      </c>
      <c r="AI74" s="53">
        <f>M74-'SA budget'!M74</f>
        <v>0</v>
      </c>
      <c r="AJ74" s="53">
        <f>N74-'SA budget'!N74</f>
        <v>0</v>
      </c>
      <c r="AK74" s="53">
        <f>O74-'SA budget'!O74</f>
        <v>0</v>
      </c>
      <c r="AL74" s="53">
        <f>P74-'SA budget'!P74</f>
        <v>0</v>
      </c>
      <c r="AM74" s="56"/>
      <c r="AN74" s="53">
        <f t="shared" si="55"/>
        <v>407.48</v>
      </c>
    </row>
    <row r="75" spans="2:40" x14ac:dyDescent="0.35">
      <c r="B75" s="5" t="s">
        <v>187</v>
      </c>
      <c r="C75" s="19" t="s">
        <v>163</v>
      </c>
      <c r="E75" s="53">
        <f>'SA Actual'!E75</f>
        <v>0</v>
      </c>
      <c r="F75" s="53">
        <f>'SA budget'!F75</f>
        <v>0</v>
      </c>
      <c r="G75" s="53">
        <f>'SA budget'!G75</f>
        <v>0</v>
      </c>
      <c r="H75" s="53">
        <f>'SA budget'!H75</f>
        <v>0</v>
      </c>
      <c r="I75" s="53">
        <f>'SA budget'!I75</f>
        <v>0</v>
      </c>
      <c r="J75" s="53">
        <f>'SA budget'!J75</f>
        <v>0</v>
      </c>
      <c r="K75" s="53">
        <f>'SA budget'!K75</f>
        <v>0</v>
      </c>
      <c r="L75" s="53">
        <f>'SA budget'!L75</f>
        <v>0</v>
      </c>
      <c r="M75" s="53">
        <f>'SA budget'!M75</f>
        <v>0</v>
      </c>
      <c r="N75" s="53">
        <f>'SA budget'!N75</f>
        <v>0</v>
      </c>
      <c r="O75" s="53">
        <f>'SA budget'!O75</f>
        <v>0</v>
      </c>
      <c r="P75" s="53">
        <f>'SA budget'!P75</f>
        <v>0</v>
      </c>
      <c r="Q75" s="56"/>
      <c r="R75" s="53"/>
      <c r="AA75" s="53">
        <f>E75-'SA budget'!E75</f>
        <v>0</v>
      </c>
      <c r="AB75" s="53">
        <f>F75-'SA budget'!F75</f>
        <v>0</v>
      </c>
      <c r="AC75" s="53">
        <f>G75-'SA budget'!G75</f>
        <v>0</v>
      </c>
      <c r="AD75" s="53">
        <f>H75-'SA budget'!H75</f>
        <v>0</v>
      </c>
      <c r="AE75" s="53">
        <f>I75-'SA budget'!I75</f>
        <v>0</v>
      </c>
      <c r="AF75" s="53">
        <f>J75-'SA budget'!J75</f>
        <v>0</v>
      </c>
      <c r="AG75" s="53">
        <f>K75-'SA budget'!K75</f>
        <v>0</v>
      </c>
      <c r="AH75" s="53">
        <f>L75-'SA budget'!L75</f>
        <v>0</v>
      </c>
      <c r="AI75" s="53">
        <f>M75-'SA budget'!M75</f>
        <v>0</v>
      </c>
      <c r="AJ75" s="53">
        <f>N75-'SA budget'!N75</f>
        <v>0</v>
      </c>
      <c r="AK75" s="53">
        <f>O75-'SA budget'!O75</f>
        <v>0</v>
      </c>
      <c r="AL75" s="53">
        <f>P75-'SA budget'!P75</f>
        <v>0</v>
      </c>
      <c r="AM75" s="56"/>
      <c r="AN75" s="53">
        <f t="shared" si="55"/>
        <v>0</v>
      </c>
    </row>
    <row r="76" spans="2:40" x14ac:dyDescent="0.35">
      <c r="B76" s="5" t="s">
        <v>126</v>
      </c>
      <c r="C76" s="19" t="s">
        <v>163</v>
      </c>
      <c r="E76" s="53">
        <f>'SA Actual'!E76</f>
        <v>-4307.63</v>
      </c>
      <c r="F76" s="53">
        <f>'SA budget'!F76</f>
        <v>-448629.22432406247</v>
      </c>
      <c r="G76" s="53">
        <f>'SA budget'!G76</f>
        <v>-441016.02348487265</v>
      </c>
      <c r="H76" s="53">
        <f>'SA budget'!H76</f>
        <v>-433383.78964358487</v>
      </c>
      <c r="I76" s="53">
        <f>'SA budget'!I76</f>
        <v>-425656.83236769377</v>
      </c>
      <c r="J76" s="53">
        <f>'SA budget'!J76</f>
        <v>-417834.91484861303</v>
      </c>
      <c r="K76" s="53">
        <f>'SA budget'!K76</f>
        <v>-409993.44253573462</v>
      </c>
      <c r="L76" s="53">
        <f>'SA budget'!L76</f>
        <v>-398759.91461290728</v>
      </c>
      <c r="M76" s="53">
        <f>'SA budget'!M76</f>
        <v>-384125.85094110615</v>
      </c>
      <c r="N76" s="53">
        <f>'SA budget'!N76</f>
        <v>-369455.20211012557</v>
      </c>
      <c r="O76" s="53">
        <f>'SA budget'!O76</f>
        <v>-357385.29191956751</v>
      </c>
      <c r="P76" s="53">
        <f>'SA budget'!P76</f>
        <v>-347922.62221603311</v>
      </c>
      <c r="Q76" s="56"/>
      <c r="R76" s="53">
        <f t="shared" si="54"/>
        <v>-4438470.7390043018</v>
      </c>
      <c r="AA76" s="53">
        <f>E76-'SA budget'!E76</f>
        <v>451915.80962499999</v>
      </c>
      <c r="AB76" s="53">
        <f>F76-'SA budget'!F76</f>
        <v>0</v>
      </c>
      <c r="AC76" s="53">
        <f>G76-'SA budget'!G76</f>
        <v>0</v>
      </c>
      <c r="AD76" s="53">
        <f>H76-'SA budget'!H76</f>
        <v>0</v>
      </c>
      <c r="AE76" s="53">
        <f>I76-'SA budget'!I76</f>
        <v>0</v>
      </c>
      <c r="AF76" s="53">
        <f>J76-'SA budget'!J76</f>
        <v>0</v>
      </c>
      <c r="AG76" s="53">
        <f>K76-'SA budget'!K76</f>
        <v>0</v>
      </c>
      <c r="AH76" s="53">
        <f>L76-'SA budget'!L76</f>
        <v>0</v>
      </c>
      <c r="AI76" s="53">
        <f>M76-'SA budget'!M76</f>
        <v>0</v>
      </c>
      <c r="AJ76" s="53">
        <f>N76-'SA budget'!N76</f>
        <v>0</v>
      </c>
      <c r="AK76" s="53">
        <f>O76-'SA budget'!O76</f>
        <v>0</v>
      </c>
      <c r="AL76" s="53">
        <f>P76-'SA budget'!P76</f>
        <v>0</v>
      </c>
      <c r="AM76" s="56"/>
      <c r="AN76" s="53">
        <f t="shared" si="55"/>
        <v>451915.80962499999</v>
      </c>
    </row>
    <row r="77" spans="2:40" x14ac:dyDescent="0.35">
      <c r="B77" s="5" t="s">
        <v>182</v>
      </c>
      <c r="C77" s="19" t="s">
        <v>163</v>
      </c>
      <c r="E77" s="53">
        <f>'SA Actual'!E77</f>
        <v>-490769.4</v>
      </c>
      <c r="F77" s="53">
        <f>'SA budget'!F77</f>
        <v>0</v>
      </c>
      <c r="G77" s="53">
        <f>'SA budget'!G77</f>
        <v>0</v>
      </c>
      <c r="H77" s="53">
        <f>'SA budget'!H77</f>
        <v>0</v>
      </c>
      <c r="I77" s="53">
        <f>'SA budget'!I77</f>
        <v>0</v>
      </c>
      <c r="J77" s="53">
        <f>'SA budget'!J77</f>
        <v>0</v>
      </c>
      <c r="K77" s="53">
        <f>'SA budget'!K77</f>
        <v>0</v>
      </c>
      <c r="L77" s="53">
        <f>'SA budget'!L77</f>
        <v>0</v>
      </c>
      <c r="M77" s="53">
        <f>'SA budget'!M77</f>
        <v>0</v>
      </c>
      <c r="N77" s="53">
        <f>'SA budget'!N77</f>
        <v>0</v>
      </c>
      <c r="O77" s="53">
        <f>'SA budget'!O77</f>
        <v>0</v>
      </c>
      <c r="P77" s="53">
        <f>'SA budget'!P77</f>
        <v>0</v>
      </c>
      <c r="Q77" s="56"/>
      <c r="R77" s="53"/>
      <c r="AA77" s="53">
        <f>E77-'SA budget'!E77</f>
        <v>-490769.4</v>
      </c>
      <c r="AB77" s="53">
        <f>F77-'SA budget'!F77</f>
        <v>0</v>
      </c>
      <c r="AC77" s="53">
        <f>G77-'SA budget'!G77</f>
        <v>0</v>
      </c>
      <c r="AD77" s="53">
        <f>H77-'SA budget'!H77</f>
        <v>0</v>
      </c>
      <c r="AE77" s="53">
        <f>I77-'SA budget'!I77</f>
        <v>0</v>
      </c>
      <c r="AF77" s="53">
        <f>J77-'SA budget'!J77</f>
        <v>0</v>
      </c>
      <c r="AG77" s="53">
        <f>K77-'SA budget'!K77</f>
        <v>0</v>
      </c>
      <c r="AH77" s="53">
        <f>L77-'SA budget'!L77</f>
        <v>0</v>
      </c>
      <c r="AI77" s="53">
        <f>M77-'SA budget'!M77</f>
        <v>0</v>
      </c>
      <c r="AJ77" s="53">
        <f>N77-'SA budget'!N77</f>
        <v>0</v>
      </c>
      <c r="AK77" s="53">
        <f>O77-'SA budget'!O77</f>
        <v>0</v>
      </c>
      <c r="AL77" s="53">
        <f>P77-'SA budget'!P77</f>
        <v>0</v>
      </c>
      <c r="AM77" s="56"/>
      <c r="AN77" s="53">
        <f t="shared" si="55"/>
        <v>-490769.4</v>
      </c>
    </row>
    <row r="78" spans="2:40" x14ac:dyDescent="0.35">
      <c r="B78" s="5" t="s">
        <v>168</v>
      </c>
      <c r="C78" s="19" t="s">
        <v>163</v>
      </c>
      <c r="E78" s="53">
        <f>'SA Actual'!E78</f>
        <v>0</v>
      </c>
      <c r="F78" s="53">
        <f>'SA budget'!F78</f>
        <v>0</v>
      </c>
      <c r="G78" s="53">
        <f>'SA budget'!G78</f>
        <v>0</v>
      </c>
      <c r="H78" s="53">
        <f>'SA budget'!H78</f>
        <v>0</v>
      </c>
      <c r="I78" s="53">
        <f>'SA budget'!I78</f>
        <v>0</v>
      </c>
      <c r="J78" s="53">
        <f>'SA budget'!J78</f>
        <v>0</v>
      </c>
      <c r="K78" s="53">
        <f>'SA budget'!K78</f>
        <v>0</v>
      </c>
      <c r="L78" s="53">
        <f>'SA budget'!L78</f>
        <v>0</v>
      </c>
      <c r="M78" s="53">
        <f>'SA budget'!M78</f>
        <v>0</v>
      </c>
      <c r="N78" s="53">
        <f>'SA budget'!N78</f>
        <v>0</v>
      </c>
      <c r="O78" s="53">
        <f>'SA budget'!O78</f>
        <v>0</v>
      </c>
      <c r="P78" s="53">
        <f>'SA budget'!P78</f>
        <v>0</v>
      </c>
      <c r="Q78" s="56"/>
      <c r="R78" s="53"/>
      <c r="AA78" s="53">
        <f>E78-'SA budget'!E78</f>
        <v>0</v>
      </c>
      <c r="AB78" s="53">
        <f>F78-'SA budget'!F78</f>
        <v>0</v>
      </c>
      <c r="AC78" s="53">
        <f>G78-'SA budget'!G78</f>
        <v>0</v>
      </c>
      <c r="AD78" s="53">
        <f>H78-'SA budget'!H78</f>
        <v>0</v>
      </c>
      <c r="AE78" s="53">
        <f>I78-'SA budget'!I78</f>
        <v>0</v>
      </c>
      <c r="AF78" s="53">
        <f>J78-'SA budget'!J78</f>
        <v>0</v>
      </c>
      <c r="AG78" s="53">
        <f>K78-'SA budget'!K78</f>
        <v>0</v>
      </c>
      <c r="AH78" s="53">
        <f>L78-'SA budget'!L78</f>
        <v>0</v>
      </c>
      <c r="AI78" s="53">
        <f>M78-'SA budget'!M78</f>
        <v>0</v>
      </c>
      <c r="AJ78" s="53">
        <f>N78-'SA budget'!N78</f>
        <v>0</v>
      </c>
      <c r="AK78" s="53">
        <f>O78-'SA budget'!O78</f>
        <v>0</v>
      </c>
      <c r="AL78" s="53">
        <f>P78-'SA budget'!P78</f>
        <v>0</v>
      </c>
      <c r="AM78" s="56"/>
      <c r="AN78" s="53">
        <f t="shared" si="55"/>
        <v>0</v>
      </c>
    </row>
    <row r="79" spans="2:40" x14ac:dyDescent="0.35">
      <c r="B79" s="5" t="s">
        <v>175</v>
      </c>
      <c r="C79" s="19" t="s">
        <v>163</v>
      </c>
      <c r="E79" s="53">
        <f>'SA Actual'!E79</f>
        <v>0</v>
      </c>
      <c r="F79" s="53">
        <f>'SA budget'!F79</f>
        <v>0</v>
      </c>
      <c r="G79" s="53">
        <f>'SA budget'!G79</f>
        <v>0</v>
      </c>
      <c r="H79" s="53">
        <f>'SA budget'!H79</f>
        <v>0</v>
      </c>
      <c r="I79" s="53">
        <f>'SA budget'!I79</f>
        <v>0</v>
      </c>
      <c r="J79" s="53">
        <f>'SA budget'!J79</f>
        <v>0</v>
      </c>
      <c r="K79" s="53">
        <f>'SA budget'!K79</f>
        <v>0</v>
      </c>
      <c r="L79" s="53">
        <f>'SA budget'!L79</f>
        <v>0</v>
      </c>
      <c r="M79" s="53">
        <f>'SA budget'!M79</f>
        <v>0</v>
      </c>
      <c r="N79" s="53">
        <f>'SA budget'!N79</f>
        <v>0</v>
      </c>
      <c r="O79" s="53">
        <f>'SA budget'!O79</f>
        <v>0</v>
      </c>
      <c r="P79" s="53">
        <f>'SA budget'!P79</f>
        <v>0</v>
      </c>
      <c r="Q79" s="56"/>
      <c r="R79" s="53"/>
      <c r="AA79" s="53">
        <f>E79-'SA budget'!E79</f>
        <v>0</v>
      </c>
      <c r="AB79" s="53">
        <f>F79-'SA budget'!F79</f>
        <v>0</v>
      </c>
      <c r="AC79" s="53">
        <f>G79-'SA budget'!G79</f>
        <v>0</v>
      </c>
      <c r="AD79" s="53">
        <f>H79-'SA budget'!H79</f>
        <v>0</v>
      </c>
      <c r="AE79" s="53">
        <f>I79-'SA budget'!I79</f>
        <v>0</v>
      </c>
      <c r="AF79" s="53">
        <f>J79-'SA budget'!J79</f>
        <v>0</v>
      </c>
      <c r="AG79" s="53">
        <f>K79-'SA budget'!K79</f>
        <v>0</v>
      </c>
      <c r="AH79" s="53">
        <f>L79-'SA budget'!L79</f>
        <v>0</v>
      </c>
      <c r="AI79" s="53">
        <f>M79-'SA budget'!M79</f>
        <v>0</v>
      </c>
      <c r="AJ79" s="53">
        <f>N79-'SA budget'!N79</f>
        <v>0</v>
      </c>
      <c r="AK79" s="53">
        <f>O79-'SA budget'!O79</f>
        <v>0</v>
      </c>
      <c r="AL79" s="53">
        <f>P79-'SA budget'!P79</f>
        <v>0</v>
      </c>
      <c r="AM79" s="56"/>
      <c r="AN79" s="53">
        <f t="shared" si="55"/>
        <v>0</v>
      </c>
    </row>
    <row r="80" spans="2:40" x14ac:dyDescent="0.35">
      <c r="B80" s="5" t="s">
        <v>174</v>
      </c>
      <c r="C80" s="19" t="s">
        <v>163</v>
      </c>
      <c r="E80" s="53">
        <f>'SA Actual'!E80</f>
        <v>0</v>
      </c>
      <c r="F80" s="53">
        <f>'SA budget'!F80</f>
        <v>0</v>
      </c>
      <c r="G80" s="53">
        <f>'SA budget'!G80</f>
        <v>0</v>
      </c>
      <c r="H80" s="53">
        <f>'SA budget'!H80</f>
        <v>0</v>
      </c>
      <c r="I80" s="53">
        <f>'SA budget'!I80</f>
        <v>0</v>
      </c>
      <c r="J80" s="53">
        <f>'SA budget'!J80</f>
        <v>0</v>
      </c>
      <c r="K80" s="53">
        <f>'SA budget'!K80</f>
        <v>0</v>
      </c>
      <c r="L80" s="53">
        <f>'SA budget'!L80</f>
        <v>0</v>
      </c>
      <c r="M80" s="53">
        <f>'SA budget'!M80</f>
        <v>0</v>
      </c>
      <c r="N80" s="53">
        <f>'SA budget'!N80</f>
        <v>0</v>
      </c>
      <c r="O80" s="53">
        <f>'SA budget'!O80</f>
        <v>0</v>
      </c>
      <c r="P80" s="53">
        <f>'SA budget'!P80</f>
        <v>0</v>
      </c>
      <c r="Q80" s="56"/>
      <c r="R80" s="53"/>
      <c r="AA80" s="53">
        <f>E80-'SA budget'!E80</f>
        <v>0</v>
      </c>
      <c r="AB80" s="53">
        <f>F80-'SA budget'!F80</f>
        <v>0</v>
      </c>
      <c r="AC80" s="53">
        <f>G80-'SA budget'!G80</f>
        <v>0</v>
      </c>
      <c r="AD80" s="53">
        <f>H80-'SA budget'!H80</f>
        <v>0</v>
      </c>
      <c r="AE80" s="53">
        <f>I80-'SA budget'!I80</f>
        <v>0</v>
      </c>
      <c r="AF80" s="53">
        <f>J80-'SA budget'!J80</f>
        <v>0</v>
      </c>
      <c r="AG80" s="53">
        <f>K80-'SA budget'!K80</f>
        <v>0</v>
      </c>
      <c r="AH80" s="53">
        <f>L80-'SA budget'!L80</f>
        <v>0</v>
      </c>
      <c r="AI80" s="53">
        <f>M80-'SA budget'!M80</f>
        <v>0</v>
      </c>
      <c r="AJ80" s="53">
        <f>N80-'SA budget'!N80</f>
        <v>0</v>
      </c>
      <c r="AK80" s="53">
        <f>O80-'SA budget'!O80</f>
        <v>0</v>
      </c>
      <c r="AL80" s="53">
        <f>P80-'SA budget'!P80</f>
        <v>0</v>
      </c>
      <c r="AM80" s="56"/>
      <c r="AN80" s="53">
        <f t="shared" si="55"/>
        <v>0</v>
      </c>
    </row>
    <row r="81" spans="2:40" x14ac:dyDescent="0.35">
      <c r="C81" s="3"/>
      <c r="E81" s="55">
        <f t="shared" ref="E81:P81" si="56">SUM(E72:E76)</f>
        <v>2113191.25</v>
      </c>
      <c r="F81" s="55">
        <f t="shared" si="56"/>
        <v>3045280.3356759376</v>
      </c>
      <c r="G81" s="55">
        <f t="shared" si="56"/>
        <v>3052893.5365151274</v>
      </c>
      <c r="H81" s="55">
        <f t="shared" si="56"/>
        <v>3060525.7703564153</v>
      </c>
      <c r="I81" s="55">
        <f t="shared" si="56"/>
        <v>3128767.0076323058</v>
      </c>
      <c r="J81" s="55">
        <f t="shared" si="56"/>
        <v>3136588.9251513868</v>
      </c>
      <c r="K81" s="55">
        <f t="shared" si="56"/>
        <v>3144430.3974642651</v>
      </c>
      <c r="L81" s="55">
        <f t="shared" si="56"/>
        <v>5853625.4687204259</v>
      </c>
      <c r="M81" s="55">
        <f t="shared" si="56"/>
        <v>5868259.5323922271</v>
      </c>
      <c r="N81" s="55">
        <f t="shared" si="56"/>
        <v>5882930.1812232072</v>
      </c>
      <c r="O81" s="55">
        <f t="shared" si="56"/>
        <v>3785067.8814137657</v>
      </c>
      <c r="P81" s="55">
        <f t="shared" si="56"/>
        <v>3794530.5511173001</v>
      </c>
      <c r="Q81" s="56"/>
      <c r="R81" s="55">
        <f>SUM(R72:R72)</f>
        <v>40474821</v>
      </c>
      <c r="S81" t="s">
        <v>119</v>
      </c>
      <c r="AA81" s="55">
        <f t="shared" ref="AA81:AL81" si="57">SUM(AA72:AA76)</f>
        <v>-924494.87037499994</v>
      </c>
      <c r="AB81" s="55">
        <f t="shared" si="57"/>
        <v>0</v>
      </c>
      <c r="AC81" s="55">
        <f t="shared" si="57"/>
        <v>0</v>
      </c>
      <c r="AD81" s="55">
        <f t="shared" si="57"/>
        <v>0</v>
      </c>
      <c r="AE81" s="55">
        <f t="shared" si="57"/>
        <v>0</v>
      </c>
      <c r="AF81" s="55">
        <f t="shared" si="57"/>
        <v>0</v>
      </c>
      <c r="AG81" s="55">
        <f t="shared" si="57"/>
        <v>0</v>
      </c>
      <c r="AH81" s="55">
        <f t="shared" si="57"/>
        <v>0</v>
      </c>
      <c r="AI81" s="55">
        <f t="shared" si="57"/>
        <v>0</v>
      </c>
      <c r="AJ81" s="55">
        <f t="shared" si="57"/>
        <v>0</v>
      </c>
      <c r="AK81" s="55">
        <f t="shared" si="57"/>
        <v>0</v>
      </c>
      <c r="AL81" s="55">
        <f t="shared" si="57"/>
        <v>0</v>
      </c>
      <c r="AM81" s="56"/>
      <c r="AN81" s="55">
        <f>SUM(AN72:AN72)</f>
        <v>-998471.2566666666</v>
      </c>
    </row>
    <row r="82" spans="2:40" x14ac:dyDescent="0.35">
      <c r="C82" s="3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</row>
    <row r="83" spans="2:40" x14ac:dyDescent="0.35">
      <c r="B83" s="3" t="s">
        <v>152</v>
      </c>
      <c r="C83" s="3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</row>
    <row r="84" spans="2:40" x14ac:dyDescent="0.35">
      <c r="C84" s="3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</row>
    <row r="85" spans="2:40" x14ac:dyDescent="0.35">
      <c r="B85" s="5" t="s">
        <v>57</v>
      </c>
      <c r="C85" s="19" t="s">
        <v>163</v>
      </c>
      <c r="E85" s="77">
        <f>'SA Actual'!E85</f>
        <v>184236330.63000005</v>
      </c>
      <c r="F85" s="55">
        <f>E86</f>
        <v>182123139.38000005</v>
      </c>
      <c r="G85" s="55">
        <f t="shared" ref="G85:P85" si="58">F86</f>
        <v>179077859.04432413</v>
      </c>
      <c r="H85" s="55">
        <f t="shared" si="58"/>
        <v>176024965.50780901</v>
      </c>
      <c r="I85" s="55">
        <f t="shared" si="58"/>
        <v>172964439.7374526</v>
      </c>
      <c r="J85" s="55">
        <f t="shared" si="58"/>
        <v>169835672.72982028</v>
      </c>
      <c r="K85" s="55">
        <f t="shared" si="58"/>
        <v>166699083.8046689</v>
      </c>
      <c r="L85" s="55">
        <f t="shared" si="58"/>
        <v>163554653.40720463</v>
      </c>
      <c r="M85" s="55">
        <f t="shared" si="58"/>
        <v>157701027.93848419</v>
      </c>
      <c r="N85" s="55">
        <f t="shared" si="58"/>
        <v>151832768.40609196</v>
      </c>
      <c r="O85" s="55">
        <f t="shared" si="58"/>
        <v>145949838.22486874</v>
      </c>
      <c r="P85" s="55">
        <f t="shared" si="58"/>
        <v>142164770.34345499</v>
      </c>
      <c r="Q85" s="56"/>
      <c r="R85" s="56"/>
      <c r="AA85" s="77">
        <f>E85-'SA budget'!E85</f>
        <v>0</v>
      </c>
      <c r="AB85" s="55">
        <f>F85-'SA budget'!F85</f>
        <v>924494.870375067</v>
      </c>
      <c r="AC85" s="55">
        <f>G85-'SA budget'!G85</f>
        <v>924494.870375067</v>
      </c>
      <c r="AD85" s="55">
        <f>H85-'SA budget'!H85</f>
        <v>924494.870375067</v>
      </c>
      <c r="AE85" s="55">
        <f>I85-'SA budget'!I85</f>
        <v>924494.870375067</v>
      </c>
      <c r="AF85" s="55">
        <f>J85-'SA budget'!J85</f>
        <v>924494.870375067</v>
      </c>
      <c r="AG85" s="55">
        <f>K85-'SA budget'!K85</f>
        <v>924494.870375067</v>
      </c>
      <c r="AH85" s="55">
        <f>L85-'SA budget'!L85</f>
        <v>924494.870375067</v>
      </c>
      <c r="AI85" s="55">
        <f>M85-'SA budget'!M85</f>
        <v>924494.870375067</v>
      </c>
      <c r="AJ85" s="55">
        <f>N85-'SA budget'!N85</f>
        <v>924494.870375067</v>
      </c>
      <c r="AK85" s="55">
        <f>O85-'SA budget'!O85</f>
        <v>924494.870375067</v>
      </c>
      <c r="AL85" s="55">
        <f>P85-'SA budget'!P85</f>
        <v>924494.870375067</v>
      </c>
      <c r="AM85" s="56"/>
      <c r="AN85" s="56"/>
    </row>
    <row r="86" spans="2:40" x14ac:dyDescent="0.35">
      <c r="B86" s="5" t="s">
        <v>58</v>
      </c>
      <c r="C86" s="19" t="s">
        <v>163</v>
      </c>
      <c r="E86" s="55">
        <f t="shared" ref="E86:P86" si="59">E85-E81</f>
        <v>182123139.38000005</v>
      </c>
      <c r="F86" s="55">
        <f t="shared" si="59"/>
        <v>179077859.04432413</v>
      </c>
      <c r="G86" s="55">
        <f t="shared" si="59"/>
        <v>176024965.50780901</v>
      </c>
      <c r="H86" s="55">
        <f t="shared" si="59"/>
        <v>172964439.7374526</v>
      </c>
      <c r="I86" s="55">
        <f t="shared" si="59"/>
        <v>169835672.72982028</v>
      </c>
      <c r="J86" s="55">
        <f t="shared" si="59"/>
        <v>166699083.8046689</v>
      </c>
      <c r="K86" s="55">
        <f t="shared" si="59"/>
        <v>163554653.40720463</v>
      </c>
      <c r="L86" s="55">
        <f t="shared" si="59"/>
        <v>157701027.93848419</v>
      </c>
      <c r="M86" s="55">
        <f t="shared" si="59"/>
        <v>151832768.40609196</v>
      </c>
      <c r="N86" s="55">
        <f t="shared" si="59"/>
        <v>145949838.22486874</v>
      </c>
      <c r="O86" s="55">
        <f t="shared" si="59"/>
        <v>142164770.34345499</v>
      </c>
      <c r="P86" s="55">
        <f t="shared" si="59"/>
        <v>138370239.79233769</v>
      </c>
      <c r="Q86" s="56"/>
      <c r="R86" s="56">
        <f>P86+'LLC Reforecast'!P38</f>
        <v>285752755.9371208</v>
      </c>
      <c r="AA86" s="55">
        <f>E86-'SA budget'!E86</f>
        <v>924494.870375067</v>
      </c>
      <c r="AB86" s="55">
        <f>F86-'SA budget'!F86</f>
        <v>924494.870375067</v>
      </c>
      <c r="AC86" s="55">
        <f>G86-'SA budget'!G86</f>
        <v>924494.870375067</v>
      </c>
      <c r="AD86" s="55">
        <f>H86-'SA budget'!H86</f>
        <v>924494.870375067</v>
      </c>
      <c r="AE86" s="55">
        <f>I86-'SA budget'!I86</f>
        <v>924494.870375067</v>
      </c>
      <c r="AF86" s="55">
        <f>J86-'SA budget'!J86</f>
        <v>924494.870375067</v>
      </c>
      <c r="AG86" s="55">
        <f>K86-'SA budget'!K86</f>
        <v>924494.870375067</v>
      </c>
      <c r="AH86" s="55">
        <f>L86-'SA budget'!L86</f>
        <v>924494.870375067</v>
      </c>
      <c r="AI86" s="55">
        <f>M86-'SA budget'!M86</f>
        <v>924494.870375067</v>
      </c>
      <c r="AJ86" s="55">
        <f>N86-'SA budget'!N86</f>
        <v>924494.870375067</v>
      </c>
      <c r="AK86" s="55">
        <f>O86-'SA budget'!O86</f>
        <v>924494.870375067</v>
      </c>
      <c r="AL86" s="55">
        <f>P86-'SA budget'!P86</f>
        <v>924494.870375067</v>
      </c>
      <c r="AM86" s="56"/>
      <c r="AN86" s="56">
        <f>AL86+'LLC Reforecast'!AL38</f>
        <v>-8540082.6319404244</v>
      </c>
    </row>
    <row r="87" spans="2:40" x14ac:dyDescent="0.35"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</row>
    <row r="88" spans="2:40" x14ac:dyDescent="0.35">
      <c r="B88" s="5" t="s">
        <v>73</v>
      </c>
      <c r="C88" s="19" t="s">
        <v>163</v>
      </c>
      <c r="E88" s="85">
        <v>1.175</v>
      </c>
      <c r="F88" s="64">
        <v>1.1599999999999999</v>
      </c>
      <c r="G88" s="64">
        <v>1.1599999999999999</v>
      </c>
      <c r="H88" s="64">
        <v>1.1599999999999999</v>
      </c>
      <c r="I88" s="64">
        <v>1.1599999999999999</v>
      </c>
      <c r="J88" s="64">
        <v>1.1599999999999999</v>
      </c>
      <c r="K88" s="64">
        <v>1.1599999999999999</v>
      </c>
      <c r="L88" s="64">
        <v>1.1599999999999999</v>
      </c>
      <c r="M88" s="64">
        <v>1.1599999999999999</v>
      </c>
      <c r="N88" s="64">
        <v>1.1599999999999999</v>
      </c>
      <c r="O88" s="64">
        <v>1.1599999999999999</v>
      </c>
      <c r="P88" s="64">
        <v>1.1599999999999999</v>
      </c>
      <c r="Q88" s="56"/>
      <c r="R88" s="56"/>
      <c r="AA88" s="104">
        <f>E88-'SA budget'!E88</f>
        <v>0</v>
      </c>
      <c r="AB88" s="104">
        <f>F88-'SA budget'!F88</f>
        <v>0</v>
      </c>
      <c r="AC88" s="104">
        <f>G88-'SA budget'!G88</f>
        <v>0</v>
      </c>
      <c r="AD88" s="104">
        <f>H88-'SA budget'!H88</f>
        <v>0</v>
      </c>
      <c r="AE88" s="104">
        <f>I88-'SA budget'!I88</f>
        <v>0</v>
      </c>
      <c r="AF88" s="104">
        <f>J88-'SA budget'!J88</f>
        <v>0</v>
      </c>
      <c r="AG88" s="104">
        <f>K88-'SA budget'!K88</f>
        <v>0</v>
      </c>
      <c r="AH88" s="104">
        <f>L88-'SA budget'!L88</f>
        <v>0</v>
      </c>
      <c r="AI88" s="104">
        <f>M88-'SA budget'!M88</f>
        <v>0</v>
      </c>
      <c r="AJ88" s="104">
        <f>N88-'SA budget'!N88</f>
        <v>0</v>
      </c>
      <c r="AK88" s="104">
        <f>O88-'SA budget'!O88</f>
        <v>0</v>
      </c>
      <c r="AL88" s="104">
        <f>P88-'SA budget'!P88</f>
        <v>0</v>
      </c>
      <c r="AM88" s="56"/>
      <c r="AN88" s="56"/>
    </row>
    <row r="89" spans="2:40" x14ac:dyDescent="0.35">
      <c r="B89" s="5" t="s">
        <v>74</v>
      </c>
      <c r="C89" s="19" t="s">
        <v>163</v>
      </c>
      <c r="E89" s="64">
        <v>1.1919</v>
      </c>
      <c r="F89" s="64">
        <v>1.1599999999999999</v>
      </c>
      <c r="G89" s="64">
        <v>1.1599999999999999</v>
      </c>
      <c r="H89" s="64">
        <v>1.1599999999999999</v>
      </c>
      <c r="I89" s="64">
        <v>1.1599999999999999</v>
      </c>
      <c r="J89" s="64">
        <v>1.1599999999999999</v>
      </c>
      <c r="K89" s="64">
        <v>1.1599999999999999</v>
      </c>
      <c r="L89" s="64">
        <v>1.1599999999999999</v>
      </c>
      <c r="M89" s="64">
        <v>1.1599999999999999</v>
      </c>
      <c r="N89" s="64">
        <v>1.1599999999999999</v>
      </c>
      <c r="O89" s="64">
        <v>1.1599999999999999</v>
      </c>
      <c r="P89" s="64">
        <v>1.1599999999999999</v>
      </c>
      <c r="Q89" s="56"/>
      <c r="R89" s="56"/>
      <c r="AA89" s="104">
        <f>E89-'SA budget'!E89</f>
        <v>3.1900000000000039E-2</v>
      </c>
      <c r="AB89" s="104">
        <f>F89-'SA budget'!F89</f>
        <v>0</v>
      </c>
      <c r="AC89" s="104">
        <f>G89-'SA budget'!G89</f>
        <v>0</v>
      </c>
      <c r="AD89" s="104">
        <f>H89-'SA budget'!H89</f>
        <v>0</v>
      </c>
      <c r="AE89" s="104">
        <f>I89-'SA budget'!I89</f>
        <v>0</v>
      </c>
      <c r="AF89" s="104">
        <f>J89-'SA budget'!J89</f>
        <v>0</v>
      </c>
      <c r="AG89" s="104">
        <f>K89-'SA budget'!K89</f>
        <v>0</v>
      </c>
      <c r="AH89" s="104">
        <f>L89-'SA budget'!L89</f>
        <v>0</v>
      </c>
      <c r="AI89" s="104">
        <f>M89-'SA budget'!M89</f>
        <v>0</v>
      </c>
      <c r="AJ89" s="104">
        <f>N89-'SA budget'!N89</f>
        <v>0</v>
      </c>
      <c r="AK89" s="104">
        <f>O89-'SA budget'!O89</f>
        <v>0</v>
      </c>
      <c r="AL89" s="104">
        <f>P89-'SA budget'!P89</f>
        <v>0</v>
      </c>
      <c r="AM89" s="56"/>
      <c r="AN89" s="56"/>
    </row>
    <row r="90" spans="2:40" x14ac:dyDescent="0.35"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</row>
    <row r="91" spans="2:40" x14ac:dyDescent="0.35">
      <c r="B91" s="5" t="s">
        <v>57</v>
      </c>
      <c r="C91" s="19" t="s">
        <v>163</v>
      </c>
      <c r="E91" s="55">
        <f>E85/E88</f>
        <v>156796877.13191494</v>
      </c>
      <c r="F91" s="55">
        <f t="shared" ref="F91:P92" si="60">F85/F88</f>
        <v>157002706.36206901</v>
      </c>
      <c r="G91" s="55">
        <f t="shared" si="60"/>
        <v>154377464.69338289</v>
      </c>
      <c r="H91" s="55">
        <f t="shared" si="60"/>
        <v>151745659.92052501</v>
      </c>
      <c r="I91" s="55">
        <f t="shared" si="60"/>
        <v>149107275.63573501</v>
      </c>
      <c r="J91" s="55">
        <f t="shared" si="60"/>
        <v>146410062.69812095</v>
      </c>
      <c r="K91" s="55">
        <f t="shared" si="60"/>
        <v>143706106.72816285</v>
      </c>
      <c r="L91" s="55">
        <f t="shared" si="60"/>
        <v>140995390.86827987</v>
      </c>
      <c r="M91" s="55">
        <f t="shared" si="60"/>
        <v>135949162.01593465</v>
      </c>
      <c r="N91" s="55">
        <f t="shared" si="60"/>
        <v>130890317.59145859</v>
      </c>
      <c r="O91" s="55">
        <f t="shared" si="60"/>
        <v>125818826.05592135</v>
      </c>
      <c r="P91" s="55">
        <f t="shared" si="60"/>
        <v>122555836.50297844</v>
      </c>
      <c r="Q91" s="56"/>
      <c r="R91" s="56"/>
      <c r="AA91" s="77">
        <f>E91-'SA budget'!E91</f>
        <v>0</v>
      </c>
      <c r="AB91" s="55">
        <f>F91-'SA budget'!F91</f>
        <v>796978.33653020859</v>
      </c>
      <c r="AC91" s="55">
        <f>G91-'SA budget'!G91</f>
        <v>796978.33653023839</v>
      </c>
      <c r="AD91" s="55">
        <f>H91-'SA budget'!H91</f>
        <v>796978.33653020859</v>
      </c>
      <c r="AE91" s="55">
        <f>I91-'SA budget'!I91</f>
        <v>796978.33653023839</v>
      </c>
      <c r="AF91" s="55">
        <f>J91-'SA budget'!J91</f>
        <v>796978.33653023839</v>
      </c>
      <c r="AG91" s="55">
        <f>K91-'SA budget'!K91</f>
        <v>796978.33653023839</v>
      </c>
      <c r="AH91" s="55">
        <f>L91-'SA budget'!L91</f>
        <v>796978.33653023839</v>
      </c>
      <c r="AI91" s="55">
        <f>M91-'SA budget'!M91</f>
        <v>796978.33653020859</v>
      </c>
      <c r="AJ91" s="55">
        <f>N91-'SA budget'!N91</f>
        <v>796978.33653022349</v>
      </c>
      <c r="AK91" s="55">
        <f>O91-'SA budget'!O91</f>
        <v>796978.33653023839</v>
      </c>
      <c r="AL91" s="55">
        <f>P91-'SA budget'!P91</f>
        <v>796978.33653022349</v>
      </c>
      <c r="AM91" s="56"/>
      <c r="AN91" s="56"/>
    </row>
    <row r="92" spans="2:40" x14ac:dyDescent="0.35">
      <c r="B92" s="5" t="s">
        <v>58</v>
      </c>
      <c r="C92" s="19" t="s">
        <v>163</v>
      </c>
      <c r="E92" s="55">
        <f>E86/E89</f>
        <v>152800687.45700148</v>
      </c>
      <c r="F92" s="55">
        <f t="shared" si="60"/>
        <v>154377464.69338289</v>
      </c>
      <c r="G92" s="55">
        <f t="shared" si="60"/>
        <v>151745659.92052501</v>
      </c>
      <c r="H92" s="55">
        <f t="shared" si="60"/>
        <v>149107275.63573501</v>
      </c>
      <c r="I92" s="55">
        <f t="shared" si="60"/>
        <v>146410062.69812095</v>
      </c>
      <c r="J92" s="55">
        <f t="shared" si="60"/>
        <v>143706106.72816285</v>
      </c>
      <c r="K92" s="55">
        <f t="shared" si="60"/>
        <v>140995390.86827987</v>
      </c>
      <c r="L92" s="55">
        <f t="shared" si="60"/>
        <v>135949162.01593465</v>
      </c>
      <c r="M92" s="55">
        <f t="shared" si="60"/>
        <v>130890317.59145859</v>
      </c>
      <c r="N92" s="55">
        <f t="shared" si="60"/>
        <v>125818826.05592135</v>
      </c>
      <c r="O92" s="55">
        <f t="shared" si="60"/>
        <v>122555836.50297844</v>
      </c>
      <c r="P92" s="55">
        <f t="shared" si="60"/>
        <v>119284689.47615318</v>
      </c>
      <c r="Q92" s="56"/>
      <c r="R92" s="56"/>
      <c r="AA92" s="55">
        <f>E92-'SA budget'!E92</f>
        <v>-3405040.5685373247</v>
      </c>
      <c r="AB92" s="55">
        <f>F92-'SA budget'!F92</f>
        <v>796978.33653023839</v>
      </c>
      <c r="AC92" s="55">
        <f>G92-'SA budget'!G92</f>
        <v>796978.33653020859</v>
      </c>
      <c r="AD92" s="55">
        <f>H92-'SA budget'!H92</f>
        <v>796978.33653023839</v>
      </c>
      <c r="AE92" s="55">
        <f>I92-'SA budget'!I92</f>
        <v>796978.33653023839</v>
      </c>
      <c r="AF92" s="55">
        <f>J92-'SA budget'!J92</f>
        <v>796978.33653023839</v>
      </c>
      <c r="AG92" s="55">
        <f>K92-'SA budget'!K92</f>
        <v>796978.33653023839</v>
      </c>
      <c r="AH92" s="55">
        <f>L92-'SA budget'!L92</f>
        <v>796978.33653020859</v>
      </c>
      <c r="AI92" s="55">
        <f>M92-'SA budget'!M92</f>
        <v>796978.33653022349</v>
      </c>
      <c r="AJ92" s="55">
        <f>N92-'SA budget'!N92</f>
        <v>796978.33653023839</v>
      </c>
      <c r="AK92" s="55">
        <f>O92-'SA budget'!O92</f>
        <v>796978.33653022349</v>
      </c>
      <c r="AL92" s="55">
        <f>P92-'SA budget'!P92</f>
        <v>796978.33653022349</v>
      </c>
      <c r="AM92" s="56"/>
      <c r="AN92" s="56"/>
    </row>
    <row r="93" spans="2:40" x14ac:dyDescent="0.35"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</row>
    <row r="94" spans="2:40" x14ac:dyDescent="0.35">
      <c r="B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</row>
    <row r="95" spans="2:40" x14ac:dyDescent="0.35">
      <c r="B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</row>
    <row r="96" spans="2:40" x14ac:dyDescent="0.35"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</row>
    <row r="97" spans="2:40" x14ac:dyDescent="0.35"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</row>
    <row r="98" spans="2:40" x14ac:dyDescent="0.35"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</row>
    <row r="99" spans="2:40" x14ac:dyDescent="0.35">
      <c r="B99" s="3" t="s">
        <v>72</v>
      </c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</row>
    <row r="100" spans="2:40" x14ac:dyDescent="0.35"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</row>
    <row r="101" spans="2:40" x14ac:dyDescent="0.35">
      <c r="B101" s="5" t="s">
        <v>57</v>
      </c>
      <c r="C101" s="19" t="s">
        <v>162</v>
      </c>
      <c r="E101" s="55">
        <f t="shared" ref="E101:P102" si="61">E91+E64</f>
        <v>361695333.29242313</v>
      </c>
      <c r="F101" s="55">
        <f t="shared" si="61"/>
        <v>345086434.52257717</v>
      </c>
      <c r="G101" s="55">
        <f t="shared" si="61"/>
        <v>330900585.48389602</v>
      </c>
      <c r="H101" s="55">
        <f t="shared" si="61"/>
        <v>319470641.63126945</v>
      </c>
      <c r="I101" s="55">
        <f t="shared" si="61"/>
        <v>288096058.45223606</v>
      </c>
      <c r="J101" s="55">
        <f t="shared" si="61"/>
        <v>265263066.39436433</v>
      </c>
      <c r="K101" s="55">
        <f t="shared" si="61"/>
        <v>254499662.21383566</v>
      </c>
      <c r="L101" s="55">
        <f t="shared" si="61"/>
        <v>237487127.81162801</v>
      </c>
      <c r="M101" s="55">
        <f t="shared" si="61"/>
        <v>212429312.50212339</v>
      </c>
      <c r="N101" s="55">
        <f t="shared" si="61"/>
        <v>205457437.30112898</v>
      </c>
      <c r="O101" s="55">
        <f t="shared" si="61"/>
        <v>194424128.1704545</v>
      </c>
      <c r="P101" s="55">
        <f t="shared" si="61"/>
        <v>170512967.9502812</v>
      </c>
      <c r="Q101" s="56"/>
      <c r="R101" s="56"/>
      <c r="AA101" s="77">
        <f>E101-'SA budget'!E101</f>
        <v>0</v>
      </c>
      <c r="AB101" s="55">
        <f>F101-'SA budget'!F101</f>
        <v>107061.47054958344</v>
      </c>
      <c r="AC101" s="55">
        <f>G101-'SA budget'!G101</f>
        <v>107061.47054970264</v>
      </c>
      <c r="AD101" s="55">
        <f>H101-'SA budget'!H101</f>
        <v>107061.47054970264</v>
      </c>
      <c r="AE101" s="55">
        <f>I101-'SA budget'!I101</f>
        <v>107061.47054970264</v>
      </c>
      <c r="AF101" s="55">
        <f>J101-'SA budget'!J101</f>
        <v>107061.47054967284</v>
      </c>
      <c r="AG101" s="55">
        <f>K101-'SA budget'!K101</f>
        <v>107061.47054967284</v>
      </c>
      <c r="AH101" s="55">
        <f>L101-'SA budget'!L101</f>
        <v>107061.47054967284</v>
      </c>
      <c r="AI101" s="55">
        <f>M101-'SA budget'!M101</f>
        <v>107061.47054964304</v>
      </c>
      <c r="AJ101" s="55">
        <f>N101-'SA budget'!N101</f>
        <v>107061.47054964304</v>
      </c>
      <c r="AK101" s="55">
        <f>O101-'SA budget'!O101</f>
        <v>107061.47054970264</v>
      </c>
      <c r="AL101" s="55">
        <f>P101-'SA budget'!P101</f>
        <v>107061.47054964304</v>
      </c>
      <c r="AM101" s="56"/>
      <c r="AN101" s="56"/>
    </row>
    <row r="102" spans="2:40" x14ac:dyDescent="0.35">
      <c r="B102" s="5" t="s">
        <v>58</v>
      </c>
      <c r="C102" s="19" t="s">
        <v>162</v>
      </c>
      <c r="E102" s="55">
        <f t="shared" si="61"/>
        <v>340884415.61750966</v>
      </c>
      <c r="F102" s="55">
        <f t="shared" si="61"/>
        <v>330900585.48389602</v>
      </c>
      <c r="G102" s="55">
        <f t="shared" si="61"/>
        <v>319470641.63126945</v>
      </c>
      <c r="H102" s="55">
        <f t="shared" si="61"/>
        <v>288096058.45223606</v>
      </c>
      <c r="I102" s="55">
        <f t="shared" si="61"/>
        <v>265263066.39436433</v>
      </c>
      <c r="J102" s="55">
        <f t="shared" si="61"/>
        <v>254499662.21383566</v>
      </c>
      <c r="K102" s="55">
        <f t="shared" si="61"/>
        <v>237487127.81162801</v>
      </c>
      <c r="L102" s="55">
        <f t="shared" si="61"/>
        <v>212429312.50212339</v>
      </c>
      <c r="M102" s="55">
        <f t="shared" si="61"/>
        <v>205457437.30112898</v>
      </c>
      <c r="N102" s="55">
        <f t="shared" si="61"/>
        <v>194424128.1704545</v>
      </c>
      <c r="O102" s="55">
        <f t="shared" si="61"/>
        <v>170512967.9502812</v>
      </c>
      <c r="P102" s="55">
        <f t="shared" si="61"/>
        <v>169442224.7813665</v>
      </c>
      <c r="Q102" s="56"/>
      <c r="R102" s="56"/>
      <c r="AA102" s="55">
        <f>E102-'SA budget'!E102</f>
        <v>-4094957.43451792</v>
      </c>
      <c r="AB102" s="55">
        <f>F102-'SA budget'!F102</f>
        <v>107061.47054970264</v>
      </c>
      <c r="AC102" s="55">
        <f>G102-'SA budget'!G102</f>
        <v>107061.47054970264</v>
      </c>
      <c r="AD102" s="55">
        <f>H102-'SA budget'!H102</f>
        <v>107061.47054970264</v>
      </c>
      <c r="AE102" s="55">
        <f>I102-'SA budget'!I102</f>
        <v>107061.47054967284</v>
      </c>
      <c r="AF102" s="55">
        <f>J102-'SA budget'!J102</f>
        <v>107061.47054967284</v>
      </c>
      <c r="AG102" s="55">
        <f>K102-'SA budget'!K102</f>
        <v>107061.47054967284</v>
      </c>
      <c r="AH102" s="55">
        <f>L102-'SA budget'!L102</f>
        <v>107061.47054964304</v>
      </c>
      <c r="AI102" s="55">
        <f>M102-'SA budget'!M102</f>
        <v>107061.47054964304</v>
      </c>
      <c r="AJ102" s="55">
        <f>N102-'SA budget'!N102</f>
        <v>107061.47054970264</v>
      </c>
      <c r="AK102" s="55">
        <f>O102-'SA budget'!O102</f>
        <v>107061.47054964304</v>
      </c>
      <c r="AL102" s="55">
        <f>P102-'SA budget'!P102</f>
        <v>107061.47054964304</v>
      </c>
      <c r="AM102" s="56"/>
      <c r="AN102" s="56"/>
    </row>
    <row r="109" spans="2:40" ht="7.5" customHeight="1" x14ac:dyDescent="0.35"/>
  </sheetData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D61FA-99F3-4046-9FF7-BB2F8136CF65}">
  <sheetPr>
    <tabColor theme="6" tint="0.79998168889431442"/>
  </sheetPr>
  <dimension ref="B3:AN46"/>
  <sheetViews>
    <sheetView showGridLines="0" tabSelected="1" workbookViewId="0"/>
  </sheetViews>
  <sheetFormatPr defaultColWidth="10.54296875" defaultRowHeight="14.5" x14ac:dyDescent="0.35"/>
  <cols>
    <col min="1" max="1" width="11" customWidth="1"/>
    <col min="2" max="2" width="36.54296875" customWidth="1"/>
    <col min="3" max="3" width="2.54296875" bestFit="1" customWidth="1"/>
    <col min="4" max="4" width="8.453125" customWidth="1"/>
    <col min="19" max="26" width="5.453125" customWidth="1"/>
  </cols>
  <sheetData>
    <row r="3" spans="2:40" x14ac:dyDescent="0.35">
      <c r="B3" s="3"/>
      <c r="C3" s="10"/>
      <c r="E3" s="3" t="s">
        <v>105</v>
      </c>
      <c r="AA3" s="3" t="s">
        <v>105</v>
      </c>
    </row>
    <row r="6" spans="2:40" x14ac:dyDescent="0.35">
      <c r="B6" s="3" t="s">
        <v>104</v>
      </c>
      <c r="C6" s="3"/>
    </row>
    <row r="7" spans="2:40" x14ac:dyDescent="0.35">
      <c r="E7" s="57">
        <v>46023</v>
      </c>
      <c r="F7" s="57">
        <f t="shared" ref="F7:P7" si="0">EDATE(E7,1)</f>
        <v>46054</v>
      </c>
      <c r="G7" s="57">
        <f t="shared" si="0"/>
        <v>46082</v>
      </c>
      <c r="H7" s="57">
        <f t="shared" si="0"/>
        <v>46113</v>
      </c>
      <c r="I7" s="57">
        <f t="shared" si="0"/>
        <v>46143</v>
      </c>
      <c r="J7" s="57">
        <f t="shared" si="0"/>
        <v>46174</v>
      </c>
      <c r="K7" s="57">
        <f>EDATE(J7,1)</f>
        <v>46204</v>
      </c>
      <c r="L7" s="57">
        <f t="shared" si="0"/>
        <v>46235</v>
      </c>
      <c r="M7" s="57">
        <f t="shared" si="0"/>
        <v>46266</v>
      </c>
      <c r="N7" s="57">
        <f t="shared" si="0"/>
        <v>46296</v>
      </c>
      <c r="O7" s="57">
        <f>EDATE(N7,1)</f>
        <v>46327</v>
      </c>
      <c r="P7" s="57">
        <f t="shared" si="0"/>
        <v>46357</v>
      </c>
      <c r="R7" s="15">
        <v>2026</v>
      </c>
      <c r="AA7" s="57">
        <v>46023</v>
      </c>
      <c r="AB7" s="57">
        <f t="shared" ref="AB7" si="1">EDATE(AA7,1)</f>
        <v>46054</v>
      </c>
      <c r="AC7" s="57">
        <f t="shared" ref="AC7" si="2">EDATE(AB7,1)</f>
        <v>46082</v>
      </c>
      <c r="AD7" s="57">
        <f t="shared" ref="AD7" si="3">EDATE(AC7,1)</f>
        <v>46113</v>
      </c>
      <c r="AE7" s="57">
        <f t="shared" ref="AE7" si="4">EDATE(AD7,1)</f>
        <v>46143</v>
      </c>
      <c r="AF7" s="57">
        <f t="shared" ref="AF7" si="5">EDATE(AE7,1)</f>
        <v>46174</v>
      </c>
      <c r="AG7" s="57">
        <f>EDATE(AF7,1)</f>
        <v>46204</v>
      </c>
      <c r="AH7" s="57">
        <f t="shared" ref="AH7" si="6">EDATE(AG7,1)</f>
        <v>46235</v>
      </c>
      <c r="AI7" s="57">
        <f t="shared" ref="AI7" si="7">EDATE(AH7,1)</f>
        <v>46266</v>
      </c>
      <c r="AJ7" s="57">
        <f t="shared" ref="AJ7" si="8">EDATE(AI7,1)</f>
        <v>46296</v>
      </c>
      <c r="AK7" s="57">
        <f>EDATE(AJ7,1)</f>
        <v>46327</v>
      </c>
      <c r="AL7" s="57">
        <f t="shared" ref="AL7" si="9">EDATE(AK7,1)</f>
        <v>46357</v>
      </c>
      <c r="AN7" s="15">
        <v>2026</v>
      </c>
    </row>
    <row r="8" spans="2:40" x14ac:dyDescent="0.35"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R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N8" s="1"/>
    </row>
    <row r="9" spans="2:40" x14ac:dyDescent="0.35">
      <c r="B9" s="12" t="s">
        <v>13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R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N9" s="1"/>
    </row>
    <row r="10" spans="2:40" x14ac:dyDescent="0.35">
      <c r="B10" s="13" t="s">
        <v>177</v>
      </c>
      <c r="C10" s="19" t="s">
        <v>163</v>
      </c>
      <c r="E10" s="53">
        <f>'LLC actual'!E10</f>
        <v>615407.30000000005</v>
      </c>
      <c r="F10" s="53">
        <f>'LLC Budget'!F10</f>
        <v>945918.41666666663</v>
      </c>
      <c r="G10" s="53">
        <f>'LLC Budget'!G10</f>
        <v>945918.41666666663</v>
      </c>
      <c r="H10" s="53">
        <f>'LLC Budget'!H10</f>
        <v>945918.41666666663</v>
      </c>
      <c r="I10" s="53">
        <f>'LLC Budget'!I10</f>
        <v>870303.41666666663</v>
      </c>
      <c r="J10" s="53">
        <f>'LLC Budget'!J10</f>
        <v>870303.41666666663</v>
      </c>
      <c r="K10" s="53">
        <f>'LLC Budget'!K10</f>
        <v>870303.41666666663</v>
      </c>
      <c r="L10" s="53">
        <f>'LLC Budget'!L10</f>
        <v>2552403.4166666665</v>
      </c>
      <c r="M10" s="53">
        <f>'LLC Budget'!M10</f>
        <v>2552403.4166666665</v>
      </c>
      <c r="N10" s="53">
        <f>'LLC Budget'!N10</f>
        <v>2552403.4166666665</v>
      </c>
      <c r="O10" s="53">
        <f>'LLC Budget'!O10</f>
        <v>2666531.4166666665</v>
      </c>
      <c r="P10" s="53">
        <f>'LLC Budget'!P10</f>
        <v>2666531.4166666665</v>
      </c>
      <c r="Q10" s="56"/>
      <c r="R10" s="53">
        <f t="shared" ref="R10:R26" si="10">SUM(E10:P10)</f>
        <v>19054345.883333333</v>
      </c>
      <c r="S10" s="56"/>
      <c r="AA10" s="53">
        <f>E10-'LLC Budget'!E10</f>
        <v>-330511.11666666658</v>
      </c>
      <c r="AB10" s="53">
        <f>F10-'LLC Budget'!F10</f>
        <v>0</v>
      </c>
      <c r="AC10" s="53">
        <f>G10-'LLC Budget'!G10</f>
        <v>0</v>
      </c>
      <c r="AD10" s="53">
        <f>H10-'LLC Budget'!H10</f>
        <v>0</v>
      </c>
      <c r="AE10" s="53">
        <f>I10-'LLC Budget'!I10</f>
        <v>0</v>
      </c>
      <c r="AF10" s="53">
        <f>J10-'LLC Budget'!J10</f>
        <v>0</v>
      </c>
      <c r="AG10" s="53">
        <f>K10-'LLC Budget'!K10</f>
        <v>0</v>
      </c>
      <c r="AH10" s="53">
        <f>L10-'LLC Budget'!L10</f>
        <v>0</v>
      </c>
      <c r="AI10" s="53">
        <f>M10-'LLC Budget'!M10</f>
        <v>0</v>
      </c>
      <c r="AJ10" s="53">
        <f>N10-'LLC Budget'!N10</f>
        <v>0</v>
      </c>
      <c r="AK10" s="53">
        <f>O10-'LLC Budget'!O10</f>
        <v>0</v>
      </c>
      <c r="AL10" s="53">
        <f>P10-'LLC Budget'!P10</f>
        <v>0</v>
      </c>
      <c r="AM10" s="56"/>
      <c r="AN10" s="53">
        <f t="shared" ref="AN10:AN11" si="11">SUM(AA10:AL10)</f>
        <v>-330511.11666666658</v>
      </c>
    </row>
    <row r="11" spans="2:40" x14ac:dyDescent="0.35">
      <c r="B11" s="13" t="s">
        <v>208</v>
      </c>
      <c r="C11" s="19" t="s">
        <v>163</v>
      </c>
      <c r="E11" s="53">
        <f>'LLC actual'!E11</f>
        <v>0</v>
      </c>
      <c r="F11" s="53">
        <f>'LLC Budget'!F11</f>
        <v>112000</v>
      </c>
      <c r="G11" s="53">
        <f>'LLC Budget'!G11</f>
        <v>112000</v>
      </c>
      <c r="H11" s="53">
        <f>'LLC Budget'!H11</f>
        <v>112000</v>
      </c>
      <c r="I11" s="53">
        <f>'LLC Budget'!I11</f>
        <v>112000</v>
      </c>
      <c r="J11" s="53">
        <f>'LLC Budget'!J11</f>
        <v>112000</v>
      </c>
      <c r="K11" s="53">
        <f>'LLC Budget'!K11</f>
        <v>112000</v>
      </c>
      <c r="L11" s="53">
        <f>'LLC Budget'!L11</f>
        <v>112000</v>
      </c>
      <c r="M11" s="53">
        <f>'LLC Budget'!M11</f>
        <v>112000</v>
      </c>
      <c r="N11" s="53">
        <f>'LLC Budget'!N11</f>
        <v>112000</v>
      </c>
      <c r="O11" s="53">
        <f>'LLC Budget'!O11</f>
        <v>112000</v>
      </c>
      <c r="P11" s="53">
        <f>'LLC Budget'!P11</f>
        <v>112000</v>
      </c>
      <c r="Q11" s="56"/>
      <c r="R11" s="53">
        <f t="shared" si="10"/>
        <v>1232000</v>
      </c>
      <c r="S11" s="56"/>
      <c r="AA11" s="53">
        <f>E11-'LLC Budget'!E11</f>
        <v>-112000</v>
      </c>
      <c r="AB11" s="53">
        <f>F11-'LLC Budget'!F11</f>
        <v>0</v>
      </c>
      <c r="AC11" s="53">
        <f>G11-'LLC Budget'!G11</f>
        <v>0</v>
      </c>
      <c r="AD11" s="53">
        <f>H11-'LLC Budget'!H11</f>
        <v>0</v>
      </c>
      <c r="AE11" s="53">
        <f>I11-'LLC Budget'!I11</f>
        <v>0</v>
      </c>
      <c r="AF11" s="53">
        <f>J11-'LLC Budget'!J11</f>
        <v>0</v>
      </c>
      <c r="AG11" s="53">
        <f>K11-'LLC Budget'!K11</f>
        <v>0</v>
      </c>
      <c r="AH11" s="53">
        <f>L11-'LLC Budget'!L11</f>
        <v>0</v>
      </c>
      <c r="AI11" s="53">
        <f>M11-'LLC Budget'!M11</f>
        <v>0</v>
      </c>
      <c r="AJ11" s="53">
        <f>N11-'LLC Budget'!N11</f>
        <v>0</v>
      </c>
      <c r="AK11" s="53">
        <f>O11-'LLC Budget'!O11</f>
        <v>0</v>
      </c>
      <c r="AL11" s="53">
        <f>P11-'LLC Budget'!P11</f>
        <v>0</v>
      </c>
      <c r="AM11" s="56"/>
      <c r="AN11" s="53">
        <f t="shared" si="11"/>
        <v>-112000</v>
      </c>
    </row>
    <row r="12" spans="2:40" x14ac:dyDescent="0.35">
      <c r="B12" s="13" t="s">
        <v>80</v>
      </c>
      <c r="C12" s="19" t="s">
        <v>163</v>
      </c>
      <c r="E12" s="53">
        <f>'LLC actual'!E12</f>
        <v>1825.81</v>
      </c>
      <c r="F12" s="53">
        <f>'LLC Budget'!F12</f>
        <v>0</v>
      </c>
      <c r="G12" s="53">
        <f>'LLC Budget'!G12</f>
        <v>0</v>
      </c>
      <c r="H12" s="53">
        <f>'LLC Budget'!H12</f>
        <v>0</v>
      </c>
      <c r="I12" s="53">
        <f>'LLC Budget'!I12</f>
        <v>0</v>
      </c>
      <c r="J12" s="53">
        <f>'LLC Budget'!J12</f>
        <v>0</v>
      </c>
      <c r="K12" s="53">
        <f>'LLC Budget'!K12</f>
        <v>0</v>
      </c>
      <c r="L12" s="53">
        <f>'LLC Budget'!L12</f>
        <v>0</v>
      </c>
      <c r="M12" s="53">
        <f>'LLC Budget'!M12</f>
        <v>0</v>
      </c>
      <c r="N12" s="53">
        <f>'LLC Budget'!N12</f>
        <v>0</v>
      </c>
      <c r="O12" s="53">
        <f>'LLC Budget'!O12</f>
        <v>0</v>
      </c>
      <c r="P12" s="53">
        <f>'LLC Budget'!P12</f>
        <v>0</v>
      </c>
      <c r="Q12" s="56"/>
      <c r="R12" s="53"/>
      <c r="S12" s="56"/>
      <c r="AA12" s="53">
        <f>E12-'LLC Budget'!E12</f>
        <v>1825.81</v>
      </c>
      <c r="AB12" s="53">
        <f>F12-'LLC Budget'!F12</f>
        <v>0</v>
      </c>
      <c r="AC12" s="53">
        <f>G12-'LLC Budget'!G12</f>
        <v>0</v>
      </c>
      <c r="AD12" s="53">
        <f>H12-'LLC Budget'!H12</f>
        <v>0</v>
      </c>
      <c r="AE12" s="53">
        <f>I12-'LLC Budget'!I12</f>
        <v>0</v>
      </c>
      <c r="AF12" s="53">
        <f>J12-'LLC Budget'!J12</f>
        <v>0</v>
      </c>
      <c r="AG12" s="53">
        <f>K12-'LLC Budget'!K12</f>
        <v>0</v>
      </c>
      <c r="AH12" s="53">
        <f>L12-'LLC Budget'!L12</f>
        <v>0</v>
      </c>
      <c r="AI12" s="53">
        <f>M12-'LLC Budget'!M12</f>
        <v>0</v>
      </c>
      <c r="AJ12" s="53">
        <f>N12-'LLC Budget'!N12</f>
        <v>0</v>
      </c>
      <c r="AK12" s="53">
        <f>O12-'LLC Budget'!O12</f>
        <v>0</v>
      </c>
      <c r="AL12" s="53">
        <f>P12-'LLC Budget'!P12</f>
        <v>0</v>
      </c>
      <c r="AM12" s="56"/>
      <c r="AN12" s="53"/>
    </row>
    <row r="13" spans="2:40" x14ac:dyDescent="0.35">
      <c r="B13" s="42" t="s">
        <v>59</v>
      </c>
      <c r="C13" s="19" t="s">
        <v>163</v>
      </c>
      <c r="E13" s="52">
        <f t="shared" ref="E13:P13" si="12">E11+E10</f>
        <v>615407.30000000005</v>
      </c>
      <c r="F13" s="52">
        <f t="shared" si="12"/>
        <v>1057918.4166666665</v>
      </c>
      <c r="G13" s="52">
        <f t="shared" si="12"/>
        <v>1057918.4166666665</v>
      </c>
      <c r="H13" s="52">
        <f t="shared" si="12"/>
        <v>1057918.4166666665</v>
      </c>
      <c r="I13" s="52">
        <f t="shared" si="12"/>
        <v>982303.41666666663</v>
      </c>
      <c r="J13" s="52">
        <f t="shared" si="12"/>
        <v>982303.41666666663</v>
      </c>
      <c r="K13" s="52">
        <f t="shared" si="12"/>
        <v>982303.41666666663</v>
      </c>
      <c r="L13" s="52">
        <f t="shared" si="12"/>
        <v>2664403.4166666665</v>
      </c>
      <c r="M13" s="52">
        <f t="shared" si="12"/>
        <v>2664403.4166666665</v>
      </c>
      <c r="N13" s="52">
        <f t="shared" si="12"/>
        <v>2664403.4166666665</v>
      </c>
      <c r="O13" s="52">
        <f t="shared" si="12"/>
        <v>2778531.4166666665</v>
      </c>
      <c r="P13" s="52">
        <f t="shared" si="12"/>
        <v>2778531.4166666665</v>
      </c>
      <c r="Q13" s="56"/>
      <c r="R13" s="52">
        <f t="shared" ref="R13" si="13">SUM(E13:P13)</f>
        <v>20286345.883333333</v>
      </c>
      <c r="S13" s="56"/>
      <c r="AA13" s="52">
        <f t="shared" ref="AA13:AL13" si="14">AA11+AA10</f>
        <v>-442511.11666666658</v>
      </c>
      <c r="AB13" s="52">
        <f t="shared" si="14"/>
        <v>0</v>
      </c>
      <c r="AC13" s="52">
        <f t="shared" si="14"/>
        <v>0</v>
      </c>
      <c r="AD13" s="52">
        <f t="shared" si="14"/>
        <v>0</v>
      </c>
      <c r="AE13" s="52">
        <f t="shared" si="14"/>
        <v>0</v>
      </c>
      <c r="AF13" s="52">
        <f t="shared" si="14"/>
        <v>0</v>
      </c>
      <c r="AG13" s="52">
        <f t="shared" si="14"/>
        <v>0</v>
      </c>
      <c r="AH13" s="52">
        <f t="shared" si="14"/>
        <v>0</v>
      </c>
      <c r="AI13" s="52">
        <f t="shared" si="14"/>
        <v>0</v>
      </c>
      <c r="AJ13" s="52">
        <f t="shared" si="14"/>
        <v>0</v>
      </c>
      <c r="AK13" s="52">
        <f t="shared" si="14"/>
        <v>0</v>
      </c>
      <c r="AL13" s="52">
        <f t="shared" si="14"/>
        <v>0</v>
      </c>
      <c r="AM13" s="56"/>
      <c r="AN13" s="52">
        <f t="shared" ref="AN13" si="15">SUM(AA13:AL13)</f>
        <v>-442511.11666666658</v>
      </c>
    </row>
    <row r="14" spans="2:40" x14ac:dyDescent="0.35"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</row>
    <row r="15" spans="2:40" x14ac:dyDescent="0.35">
      <c r="B15" s="75" t="s">
        <v>220</v>
      </c>
      <c r="C15" s="19" t="s">
        <v>163</v>
      </c>
      <c r="E15" s="53">
        <f>'LLC actual'!E15</f>
        <v>853284.16000000015</v>
      </c>
      <c r="F15" s="53">
        <f>'LLC Budget'!F15</f>
        <v>893415.13934166671</v>
      </c>
      <c r="G15" s="53">
        <f>'LLC Budget'!G15</f>
        <v>893415.13934166671</v>
      </c>
      <c r="H15" s="53">
        <f>'LLC Budget'!H15</f>
        <v>1106748.4726750001</v>
      </c>
      <c r="I15" s="53">
        <f>'LLC Budget'!I15</f>
        <v>1106748.4726750001</v>
      </c>
      <c r="J15" s="53">
        <f>'LLC Budget'!J15</f>
        <v>1106748.4726750001</v>
      </c>
      <c r="K15" s="53">
        <f>'LLC Budget'!K15</f>
        <v>1184650.8893416666</v>
      </c>
      <c r="L15" s="53">
        <f>'LLC Budget'!L15</f>
        <v>1184650.8893416666</v>
      </c>
      <c r="M15" s="53">
        <f>'LLC Budget'!M15</f>
        <v>1184650.8893416666</v>
      </c>
      <c r="N15" s="53">
        <f>'LLC Budget'!N15</f>
        <v>1495900.8893416666</v>
      </c>
      <c r="O15" s="53">
        <f>'LLC Budget'!O15</f>
        <v>1495900.8893416666</v>
      </c>
      <c r="P15" s="53">
        <f>'LLC Budget'!P15</f>
        <v>1495900.8893416666</v>
      </c>
      <c r="Q15" s="56"/>
      <c r="R15" s="53">
        <f t="shared" si="10"/>
        <v>14002015.192758337</v>
      </c>
      <c r="S15" s="56"/>
      <c r="AA15" s="53">
        <f>E15-'LLC Budget'!E15</f>
        <v>-40130.979341666563</v>
      </c>
      <c r="AB15" s="53">
        <f>F15-'LLC Budget'!F15</f>
        <v>0</v>
      </c>
      <c r="AC15" s="53">
        <f>G15-'LLC Budget'!G15</f>
        <v>0</v>
      </c>
      <c r="AD15" s="53">
        <f>H15-'LLC Budget'!H15</f>
        <v>0</v>
      </c>
      <c r="AE15" s="53">
        <f>I15-'LLC Budget'!I15</f>
        <v>0</v>
      </c>
      <c r="AF15" s="53">
        <f>J15-'LLC Budget'!J15</f>
        <v>0</v>
      </c>
      <c r="AG15" s="53">
        <f>K15-'LLC Budget'!K15</f>
        <v>0</v>
      </c>
      <c r="AH15" s="53">
        <f>L15-'LLC Budget'!L15</f>
        <v>0</v>
      </c>
      <c r="AI15" s="53">
        <f>M15-'LLC Budget'!M15</f>
        <v>0</v>
      </c>
      <c r="AJ15" s="53">
        <f>N15-'LLC Budget'!N15</f>
        <v>0</v>
      </c>
      <c r="AK15" s="53">
        <f>O15-'LLC Budget'!O15</f>
        <v>0</v>
      </c>
      <c r="AL15" s="53">
        <f>P15-'LLC Budget'!P15</f>
        <v>0</v>
      </c>
      <c r="AM15" s="56"/>
      <c r="AN15" s="53">
        <f t="shared" ref="AN15:AN19" si="16">SUM(AA15:AL15)</f>
        <v>-40130.979341666563</v>
      </c>
    </row>
    <row r="16" spans="2:40" x14ac:dyDescent="0.35">
      <c r="B16" s="75" t="s">
        <v>221</v>
      </c>
      <c r="C16" s="19" t="s">
        <v>163</v>
      </c>
      <c r="E16" s="53">
        <f>'LLC actual'!E16</f>
        <v>0</v>
      </c>
      <c r="F16" s="53">
        <f>'LLC Budget'!F16</f>
        <v>138479.34659795833</v>
      </c>
      <c r="G16" s="53">
        <f>'LLC Budget'!G16</f>
        <v>138479.34659795833</v>
      </c>
      <c r="H16" s="53">
        <f>'LLC Budget'!H16</f>
        <v>171546.01326462501</v>
      </c>
      <c r="I16" s="53">
        <f>'LLC Budget'!I16</f>
        <v>171546.01326462501</v>
      </c>
      <c r="J16" s="53">
        <f>'LLC Budget'!J16</f>
        <v>171546.01326462501</v>
      </c>
      <c r="K16" s="53">
        <f>'LLC Budget'!K16</f>
        <v>183620.88784795831</v>
      </c>
      <c r="L16" s="53">
        <f>'LLC Budget'!L16</f>
        <v>183620.88784795831</v>
      </c>
      <c r="M16" s="53">
        <f>'LLC Budget'!M16</f>
        <v>183620.88784795831</v>
      </c>
      <c r="N16" s="53">
        <f>'LLC Budget'!N16</f>
        <v>231864.63784795831</v>
      </c>
      <c r="O16" s="53">
        <f>'LLC Budget'!O16</f>
        <v>231864.63784795831</v>
      </c>
      <c r="P16" s="53">
        <f>'LLC Budget'!P16</f>
        <v>231864.63784795831</v>
      </c>
      <c r="Q16" s="56"/>
      <c r="R16" s="53">
        <f t="shared" si="10"/>
        <v>2038053.3100775417</v>
      </c>
      <c r="S16" s="56"/>
      <c r="AA16" s="53">
        <f>E16-'LLC Budget'!E16</f>
        <v>-138479.34659795833</v>
      </c>
      <c r="AB16" s="53">
        <f>F16-'LLC Budget'!F16</f>
        <v>0</v>
      </c>
      <c r="AC16" s="53">
        <f>G16-'LLC Budget'!G16</f>
        <v>0</v>
      </c>
      <c r="AD16" s="53">
        <f>H16-'LLC Budget'!H16</f>
        <v>0</v>
      </c>
      <c r="AE16" s="53">
        <f>I16-'LLC Budget'!I16</f>
        <v>0</v>
      </c>
      <c r="AF16" s="53">
        <f>J16-'LLC Budget'!J16</f>
        <v>0</v>
      </c>
      <c r="AG16" s="53">
        <f>K16-'LLC Budget'!K16</f>
        <v>0</v>
      </c>
      <c r="AH16" s="53">
        <f>L16-'LLC Budget'!L16</f>
        <v>0</v>
      </c>
      <c r="AI16" s="53">
        <f>M16-'LLC Budget'!M16</f>
        <v>0</v>
      </c>
      <c r="AJ16" s="53">
        <f>N16-'LLC Budget'!N16</f>
        <v>0</v>
      </c>
      <c r="AK16" s="53">
        <f>O16-'LLC Budget'!O16</f>
        <v>0</v>
      </c>
      <c r="AL16" s="53">
        <f>P16-'LLC Budget'!P16</f>
        <v>0</v>
      </c>
      <c r="AM16" s="56"/>
      <c r="AN16" s="53">
        <f t="shared" si="16"/>
        <v>-138479.34659795833</v>
      </c>
    </row>
    <row r="17" spans="2:40" x14ac:dyDescent="0.35">
      <c r="B17" s="75" t="s">
        <v>222</v>
      </c>
      <c r="C17" s="19" t="s">
        <v>163</v>
      </c>
      <c r="E17" s="53">
        <f>'LLC actual'!E17</f>
        <v>0</v>
      </c>
      <c r="F17" s="53">
        <f>'LLC Budget'!F17</f>
        <v>3740926.1616300014</v>
      </c>
      <c r="G17" s="53">
        <f>'LLC Budget'!G17</f>
        <v>0</v>
      </c>
      <c r="H17" s="53">
        <f>'LLC Budget'!H17</f>
        <v>0</v>
      </c>
      <c r="I17" s="53">
        <f>'LLC Budget'!I17</f>
        <v>0</v>
      </c>
      <c r="J17" s="53">
        <f>'LLC Budget'!J17</f>
        <v>0</v>
      </c>
      <c r="K17" s="53">
        <f>'LLC Budget'!K17</f>
        <v>0</v>
      </c>
      <c r="L17" s="53">
        <f>'LLC Budget'!L17</f>
        <v>0</v>
      </c>
      <c r="M17" s="53">
        <f>'LLC Budget'!M17</f>
        <v>0</v>
      </c>
      <c r="N17" s="53">
        <f>'LLC Budget'!N17</f>
        <v>0</v>
      </c>
      <c r="O17" s="53">
        <f>'LLC Budget'!O17</f>
        <v>0</v>
      </c>
      <c r="P17" s="53">
        <f>'LLC Budget'!P17</f>
        <v>0</v>
      </c>
      <c r="Q17" s="56"/>
      <c r="R17" s="53">
        <f t="shared" si="10"/>
        <v>3740926.1616300014</v>
      </c>
      <c r="S17" s="56"/>
      <c r="AA17" s="53">
        <f>E17-'LLC Budget'!E17</f>
        <v>0</v>
      </c>
      <c r="AB17" s="53">
        <f>F17-'LLC Budget'!F17</f>
        <v>0</v>
      </c>
      <c r="AC17" s="53">
        <f>G17-'LLC Budget'!G17</f>
        <v>0</v>
      </c>
      <c r="AD17" s="53">
        <f>H17-'LLC Budget'!H17</f>
        <v>0</v>
      </c>
      <c r="AE17" s="53">
        <f>I17-'LLC Budget'!I17</f>
        <v>0</v>
      </c>
      <c r="AF17" s="53">
        <f>J17-'LLC Budget'!J17</f>
        <v>0</v>
      </c>
      <c r="AG17" s="53">
        <f>K17-'LLC Budget'!K17</f>
        <v>0</v>
      </c>
      <c r="AH17" s="53">
        <f>L17-'LLC Budget'!L17</f>
        <v>0</v>
      </c>
      <c r="AI17" s="53">
        <f>M17-'LLC Budget'!M17</f>
        <v>0</v>
      </c>
      <c r="AJ17" s="53">
        <f>N17-'LLC Budget'!N17</f>
        <v>0</v>
      </c>
      <c r="AK17" s="53">
        <f>O17-'LLC Budget'!O17</f>
        <v>0</v>
      </c>
      <c r="AL17" s="53">
        <f>P17-'LLC Budget'!P17</f>
        <v>0</v>
      </c>
      <c r="AM17" s="56"/>
      <c r="AN17" s="53">
        <f t="shared" si="16"/>
        <v>0</v>
      </c>
    </row>
    <row r="18" spans="2:40" x14ac:dyDescent="0.35">
      <c r="B18" s="75" t="s">
        <v>223</v>
      </c>
      <c r="C18" s="19" t="s">
        <v>163</v>
      </c>
      <c r="E18" s="53">
        <f>'LLC actual'!E18</f>
        <v>0</v>
      </c>
      <c r="F18" s="53">
        <f>'LLC Budget'!F18</f>
        <v>579843.55505265016</v>
      </c>
      <c r="G18" s="53">
        <f>'LLC Budget'!G18</f>
        <v>0</v>
      </c>
      <c r="H18" s="53">
        <f>'LLC Budget'!H18</f>
        <v>0</v>
      </c>
      <c r="I18" s="53">
        <f>'LLC Budget'!I18</f>
        <v>0</v>
      </c>
      <c r="J18" s="53">
        <f>'LLC Budget'!J18</f>
        <v>0</v>
      </c>
      <c r="K18" s="53">
        <f>'LLC Budget'!K18</f>
        <v>0</v>
      </c>
      <c r="L18" s="53">
        <f>'LLC Budget'!L18</f>
        <v>0</v>
      </c>
      <c r="M18" s="53">
        <f>'LLC Budget'!M18</f>
        <v>0</v>
      </c>
      <c r="N18" s="53">
        <f>'LLC Budget'!N18</f>
        <v>0</v>
      </c>
      <c r="O18" s="53">
        <f>'LLC Budget'!O18</f>
        <v>0</v>
      </c>
      <c r="P18" s="53">
        <f>'LLC Budget'!P18</f>
        <v>0</v>
      </c>
      <c r="Q18" s="56"/>
      <c r="R18" s="53">
        <f t="shared" si="10"/>
        <v>579843.55505265016</v>
      </c>
      <c r="S18" s="56"/>
      <c r="AA18" s="53">
        <f>E18-'LLC Budget'!E18</f>
        <v>0</v>
      </c>
      <c r="AB18" s="53">
        <f>F18-'LLC Budget'!F18</f>
        <v>0</v>
      </c>
      <c r="AC18" s="53">
        <f>G18-'LLC Budget'!G18</f>
        <v>0</v>
      </c>
      <c r="AD18" s="53">
        <f>H18-'LLC Budget'!H18</f>
        <v>0</v>
      </c>
      <c r="AE18" s="53">
        <f>I18-'LLC Budget'!I18</f>
        <v>0</v>
      </c>
      <c r="AF18" s="53">
        <f>J18-'LLC Budget'!J18</f>
        <v>0</v>
      </c>
      <c r="AG18" s="53">
        <f>K18-'LLC Budget'!K18</f>
        <v>0</v>
      </c>
      <c r="AH18" s="53">
        <f>L18-'LLC Budget'!L18</f>
        <v>0</v>
      </c>
      <c r="AI18" s="53">
        <f>M18-'LLC Budget'!M18</f>
        <v>0</v>
      </c>
      <c r="AJ18" s="53">
        <f>N18-'LLC Budget'!N18</f>
        <v>0</v>
      </c>
      <c r="AK18" s="53">
        <f>O18-'LLC Budget'!O18</f>
        <v>0</v>
      </c>
      <c r="AL18" s="53">
        <f>P18-'LLC Budget'!P18</f>
        <v>0</v>
      </c>
      <c r="AM18" s="56"/>
      <c r="AN18" s="53">
        <f t="shared" si="16"/>
        <v>0</v>
      </c>
    </row>
    <row r="19" spans="2:40" x14ac:dyDescent="0.35">
      <c r="B19" s="42" t="s">
        <v>43</v>
      </c>
      <c r="C19" s="19" t="s">
        <v>163</v>
      </c>
      <c r="E19" s="55">
        <f>SUM(E15:E18)</f>
        <v>853284.16000000015</v>
      </c>
      <c r="F19" s="55">
        <f t="shared" ref="F19:P19" si="17">SUM(F15:F18)</f>
        <v>5352664.2026222767</v>
      </c>
      <c r="G19" s="55">
        <f t="shared" si="17"/>
        <v>1031894.4859396251</v>
      </c>
      <c r="H19" s="55">
        <f t="shared" si="17"/>
        <v>1278294.4859396252</v>
      </c>
      <c r="I19" s="55">
        <f t="shared" si="17"/>
        <v>1278294.4859396252</v>
      </c>
      <c r="J19" s="55">
        <f t="shared" si="17"/>
        <v>1278294.4859396252</v>
      </c>
      <c r="K19" s="55">
        <f t="shared" si="17"/>
        <v>1368271.777189625</v>
      </c>
      <c r="L19" s="55">
        <f t="shared" si="17"/>
        <v>1368271.777189625</v>
      </c>
      <c r="M19" s="55">
        <f t="shared" si="17"/>
        <v>1368271.777189625</v>
      </c>
      <c r="N19" s="55">
        <f t="shared" si="17"/>
        <v>1727765.527189625</v>
      </c>
      <c r="O19" s="55">
        <f t="shared" si="17"/>
        <v>1727765.527189625</v>
      </c>
      <c r="P19" s="55">
        <f t="shared" si="17"/>
        <v>1727765.527189625</v>
      </c>
      <c r="Q19" s="56"/>
      <c r="R19" s="55">
        <f t="shared" si="10"/>
        <v>20360838.219518527</v>
      </c>
      <c r="S19" s="56"/>
      <c r="AA19" s="55">
        <f>SUM(AA15:AA18)</f>
        <v>-178610.32593962489</v>
      </c>
      <c r="AB19" s="55">
        <f t="shared" ref="AB19:AL19" si="18">SUM(AB15:AB18)</f>
        <v>0</v>
      </c>
      <c r="AC19" s="55">
        <f t="shared" si="18"/>
        <v>0</v>
      </c>
      <c r="AD19" s="55">
        <f t="shared" si="18"/>
        <v>0</v>
      </c>
      <c r="AE19" s="55">
        <f t="shared" si="18"/>
        <v>0</v>
      </c>
      <c r="AF19" s="55">
        <f t="shared" si="18"/>
        <v>0</v>
      </c>
      <c r="AG19" s="55">
        <f t="shared" si="18"/>
        <v>0</v>
      </c>
      <c r="AH19" s="55">
        <f t="shared" si="18"/>
        <v>0</v>
      </c>
      <c r="AI19" s="55">
        <f t="shared" si="18"/>
        <v>0</v>
      </c>
      <c r="AJ19" s="55">
        <f t="shared" si="18"/>
        <v>0</v>
      </c>
      <c r="AK19" s="55">
        <f t="shared" si="18"/>
        <v>0</v>
      </c>
      <c r="AL19" s="55">
        <f t="shared" si="18"/>
        <v>0</v>
      </c>
      <c r="AM19" s="56"/>
      <c r="AN19" s="55">
        <f t="shared" si="16"/>
        <v>-178610.32593962489</v>
      </c>
    </row>
    <row r="20" spans="2:40" ht="5.25" customHeight="1" x14ac:dyDescent="0.35"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6"/>
      <c r="R20" s="54"/>
      <c r="S20" s="56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6"/>
      <c r="AN20" s="54"/>
    </row>
    <row r="21" spans="2:40" ht="3.75" customHeight="1" x14ac:dyDescent="0.35"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6"/>
      <c r="R21" s="54"/>
      <c r="S21" s="56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6"/>
      <c r="AN21" s="54"/>
    </row>
    <row r="22" spans="2:40" x14ac:dyDescent="0.35">
      <c r="B22" s="5" t="s">
        <v>180</v>
      </c>
      <c r="C22" s="19" t="s">
        <v>163</v>
      </c>
      <c r="E22" s="53">
        <f>'LLC actual'!E22</f>
        <v>10193888.109999999</v>
      </c>
      <c r="F22" s="53">
        <f>'LLC Budget'!F22</f>
        <v>2222235</v>
      </c>
      <c r="G22" s="53">
        <f>'LLC Budget'!G22</f>
        <v>54480.6</v>
      </c>
      <c r="H22" s="53">
        <f>'LLC Budget'!H22</f>
        <v>0</v>
      </c>
      <c r="I22" s="53">
        <f>'LLC Budget'!I22</f>
        <v>0</v>
      </c>
      <c r="J22" s="53">
        <f>'LLC Budget'!J22</f>
        <v>0</v>
      </c>
      <c r="K22" s="53">
        <f>'LLC Budget'!K22</f>
        <v>602154</v>
      </c>
      <c r="L22" s="53">
        <f>'LLC Budget'!L22</f>
        <v>0</v>
      </c>
      <c r="M22" s="53">
        <f>'LLC Budget'!M22</f>
        <v>2168614.62</v>
      </c>
      <c r="N22" s="53">
        <f>'LLC Budget'!N22</f>
        <v>0</v>
      </c>
      <c r="O22" s="53">
        <f>'LLC Budget'!O22</f>
        <v>0</v>
      </c>
      <c r="P22" s="53">
        <f>'LLC Budget'!P22</f>
        <v>138323.37599999996</v>
      </c>
      <c r="Q22" s="56"/>
      <c r="R22" s="53">
        <f t="shared" si="10"/>
        <v>15379695.705999998</v>
      </c>
      <c r="S22" s="56"/>
      <c r="AA22" s="53">
        <f>E22-'LLC Budget'!E22</f>
        <v>10193888.109999999</v>
      </c>
      <c r="AB22" s="53">
        <f>F22-'LLC Budget'!F22</f>
        <v>0</v>
      </c>
      <c r="AC22" s="53">
        <f>G22-'LLC Budget'!G22</f>
        <v>0</v>
      </c>
      <c r="AD22" s="53">
        <f>H22-'LLC Budget'!H22</f>
        <v>0</v>
      </c>
      <c r="AE22" s="53">
        <f>I22-'LLC Budget'!I22</f>
        <v>0</v>
      </c>
      <c r="AF22" s="53">
        <f>J22-'LLC Budget'!J22</f>
        <v>0</v>
      </c>
      <c r="AG22" s="53">
        <f>K22-'LLC Budget'!K22</f>
        <v>0</v>
      </c>
      <c r="AH22" s="53">
        <f>L22-'LLC Budget'!L22</f>
        <v>0</v>
      </c>
      <c r="AI22" s="53">
        <f>M22-'LLC Budget'!M22</f>
        <v>0</v>
      </c>
      <c r="AJ22" s="53">
        <f>N22-'LLC Budget'!N22</f>
        <v>0</v>
      </c>
      <c r="AK22" s="53">
        <f>O22-'LLC Budget'!O22</f>
        <v>0</v>
      </c>
      <c r="AL22" s="53">
        <f>P22-'LLC Budget'!P22</f>
        <v>0</v>
      </c>
      <c r="AM22" s="56"/>
      <c r="AN22" s="53">
        <f t="shared" ref="AN22" si="19">SUM(AA22:AL22)</f>
        <v>10193888.109999999</v>
      </c>
    </row>
    <row r="23" spans="2:40" x14ac:dyDescent="0.35">
      <c r="B23" s="5" t="s">
        <v>179</v>
      </c>
      <c r="C23" s="19"/>
      <c r="E23" s="53">
        <f>'LLC actual'!E23</f>
        <v>0</v>
      </c>
      <c r="F23" s="53">
        <f>'LLC Budget'!F23</f>
        <v>0</v>
      </c>
      <c r="G23" s="53">
        <f>'LLC Budget'!G23</f>
        <v>0</v>
      </c>
      <c r="H23" s="53">
        <f>'LLC Budget'!H23</f>
        <v>0</v>
      </c>
      <c r="I23" s="53">
        <f>'LLC Budget'!I23</f>
        <v>0</v>
      </c>
      <c r="J23" s="53">
        <f>'LLC Budget'!J23</f>
        <v>0</v>
      </c>
      <c r="K23" s="53">
        <f>'LLC Budget'!K23</f>
        <v>0</v>
      </c>
      <c r="L23" s="53">
        <f>'LLC Budget'!L23</f>
        <v>0</v>
      </c>
      <c r="M23" s="53">
        <f>'LLC Budget'!M23</f>
        <v>0</v>
      </c>
      <c r="N23" s="53">
        <f>'LLC Budget'!N23</f>
        <v>0</v>
      </c>
      <c r="O23" s="53">
        <f>'LLC Budget'!O23</f>
        <v>0</v>
      </c>
      <c r="P23" s="53">
        <f>'LLC Budget'!P23</f>
        <v>0</v>
      </c>
      <c r="Q23" s="56"/>
      <c r="R23" s="53"/>
      <c r="S23" s="56"/>
      <c r="AA23" s="53">
        <f>E23-'LLC Budget'!E23</f>
        <v>0</v>
      </c>
      <c r="AB23" s="53">
        <f>F23-'LLC Budget'!F23</f>
        <v>0</v>
      </c>
      <c r="AC23" s="53">
        <f>G23-'LLC Budget'!G23</f>
        <v>0</v>
      </c>
      <c r="AD23" s="53">
        <f>H23-'LLC Budget'!H23</f>
        <v>0</v>
      </c>
      <c r="AE23" s="53">
        <f>I23-'LLC Budget'!I23</f>
        <v>0</v>
      </c>
      <c r="AF23" s="53">
        <f>J23-'LLC Budget'!J23</f>
        <v>0</v>
      </c>
      <c r="AG23" s="53">
        <f>K23-'LLC Budget'!K23</f>
        <v>0</v>
      </c>
      <c r="AH23" s="53">
        <f>L23-'LLC Budget'!L23</f>
        <v>0</v>
      </c>
      <c r="AI23" s="53">
        <f>M23-'LLC Budget'!M23</f>
        <v>0</v>
      </c>
      <c r="AJ23" s="53">
        <f>N23-'LLC Budget'!N23</f>
        <v>0</v>
      </c>
      <c r="AK23" s="53">
        <f>O23-'LLC Budget'!O23</f>
        <v>0</v>
      </c>
      <c r="AL23" s="53">
        <f>P23-'LLC Budget'!P23</f>
        <v>0</v>
      </c>
      <c r="AM23" s="56"/>
      <c r="AN23" s="53"/>
    </row>
    <row r="24" spans="2:40" x14ac:dyDescent="0.35">
      <c r="B24" s="42" t="s">
        <v>45</v>
      </c>
      <c r="C24" s="19" t="s">
        <v>163</v>
      </c>
      <c r="D24" s="10"/>
      <c r="E24" s="55">
        <f t="shared" ref="E24:P24" si="20">SUM(E22:E22)</f>
        <v>10193888.109999999</v>
      </c>
      <c r="F24" s="55">
        <f t="shared" si="20"/>
        <v>2222235</v>
      </c>
      <c r="G24" s="55">
        <f t="shared" si="20"/>
        <v>54480.6</v>
      </c>
      <c r="H24" s="55">
        <f t="shared" si="20"/>
        <v>0</v>
      </c>
      <c r="I24" s="55">
        <f t="shared" si="20"/>
        <v>0</v>
      </c>
      <c r="J24" s="55">
        <f t="shared" si="20"/>
        <v>0</v>
      </c>
      <c r="K24" s="55">
        <f t="shared" si="20"/>
        <v>602154</v>
      </c>
      <c r="L24" s="55">
        <f t="shared" si="20"/>
        <v>0</v>
      </c>
      <c r="M24" s="55">
        <f t="shared" si="20"/>
        <v>2168614.62</v>
      </c>
      <c r="N24" s="55">
        <f t="shared" si="20"/>
        <v>0</v>
      </c>
      <c r="O24" s="55">
        <f t="shared" si="20"/>
        <v>0</v>
      </c>
      <c r="P24" s="55">
        <f t="shared" si="20"/>
        <v>138323.37599999996</v>
      </c>
      <c r="Q24" s="56"/>
      <c r="R24" s="55">
        <f t="shared" si="10"/>
        <v>15379695.705999998</v>
      </c>
      <c r="S24" s="56"/>
      <c r="AA24" s="55">
        <f t="shared" ref="AA24:AL24" si="21">SUM(AA22:AA22)</f>
        <v>10193888.109999999</v>
      </c>
      <c r="AB24" s="55">
        <f t="shared" si="21"/>
        <v>0</v>
      </c>
      <c r="AC24" s="55">
        <f t="shared" si="21"/>
        <v>0</v>
      </c>
      <c r="AD24" s="55">
        <f t="shared" si="21"/>
        <v>0</v>
      </c>
      <c r="AE24" s="55">
        <f t="shared" si="21"/>
        <v>0</v>
      </c>
      <c r="AF24" s="55">
        <f t="shared" si="21"/>
        <v>0</v>
      </c>
      <c r="AG24" s="55">
        <f t="shared" si="21"/>
        <v>0</v>
      </c>
      <c r="AH24" s="55">
        <f t="shared" si="21"/>
        <v>0</v>
      </c>
      <c r="AI24" s="55">
        <f t="shared" si="21"/>
        <v>0</v>
      </c>
      <c r="AJ24" s="55">
        <f t="shared" si="21"/>
        <v>0</v>
      </c>
      <c r="AK24" s="55">
        <f t="shared" si="21"/>
        <v>0</v>
      </c>
      <c r="AL24" s="55">
        <f t="shared" si="21"/>
        <v>0</v>
      </c>
      <c r="AM24" s="56"/>
      <c r="AN24" s="55">
        <f t="shared" ref="AN24" si="22">SUM(AA24:AL24)</f>
        <v>10193888.109999999</v>
      </c>
    </row>
    <row r="25" spans="2:40" ht="6" customHeight="1" x14ac:dyDescent="0.35"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</row>
    <row r="26" spans="2:40" x14ac:dyDescent="0.35">
      <c r="B26" s="42" t="s">
        <v>46</v>
      </c>
      <c r="C26" s="19" t="s">
        <v>163</v>
      </c>
      <c r="E26" s="55">
        <f>E24+E19</f>
        <v>11047172.27</v>
      </c>
      <c r="F26" s="55">
        <f t="shared" ref="F26:P26" si="23">F24+F19</f>
        <v>7574899.2026222767</v>
      </c>
      <c r="G26" s="55">
        <f t="shared" si="23"/>
        <v>1086375.085939625</v>
      </c>
      <c r="H26" s="55">
        <f t="shared" si="23"/>
        <v>1278294.4859396252</v>
      </c>
      <c r="I26" s="55">
        <f t="shared" si="23"/>
        <v>1278294.4859396252</v>
      </c>
      <c r="J26" s="55">
        <f t="shared" si="23"/>
        <v>1278294.4859396252</v>
      </c>
      <c r="K26" s="55">
        <f t="shared" si="23"/>
        <v>1970425.777189625</v>
      </c>
      <c r="L26" s="55">
        <f t="shared" si="23"/>
        <v>1368271.777189625</v>
      </c>
      <c r="M26" s="55">
        <f t="shared" si="23"/>
        <v>3536886.3971896251</v>
      </c>
      <c r="N26" s="55">
        <f t="shared" si="23"/>
        <v>1727765.527189625</v>
      </c>
      <c r="O26" s="55">
        <f t="shared" si="23"/>
        <v>1727765.527189625</v>
      </c>
      <c r="P26" s="55">
        <f t="shared" si="23"/>
        <v>1866088.9031896249</v>
      </c>
      <c r="Q26" s="56"/>
      <c r="R26" s="55">
        <f t="shared" si="10"/>
        <v>35740533.92551852</v>
      </c>
      <c r="S26" s="56"/>
      <c r="AA26" s="55">
        <f>AA24+AA19</f>
        <v>10015277.784060374</v>
      </c>
      <c r="AB26" s="55">
        <f t="shared" ref="AB26:AL26" si="24">AB24+AB19</f>
        <v>0</v>
      </c>
      <c r="AC26" s="55">
        <f t="shared" si="24"/>
        <v>0</v>
      </c>
      <c r="AD26" s="55">
        <f t="shared" si="24"/>
        <v>0</v>
      </c>
      <c r="AE26" s="55">
        <f t="shared" si="24"/>
        <v>0</v>
      </c>
      <c r="AF26" s="55">
        <f t="shared" si="24"/>
        <v>0</v>
      </c>
      <c r="AG26" s="55">
        <f t="shared" si="24"/>
        <v>0</v>
      </c>
      <c r="AH26" s="55">
        <f t="shared" si="24"/>
        <v>0</v>
      </c>
      <c r="AI26" s="55">
        <f t="shared" si="24"/>
        <v>0</v>
      </c>
      <c r="AJ26" s="55">
        <f t="shared" si="24"/>
        <v>0</v>
      </c>
      <c r="AK26" s="55">
        <f t="shared" si="24"/>
        <v>0</v>
      </c>
      <c r="AL26" s="55">
        <f t="shared" si="24"/>
        <v>0</v>
      </c>
      <c r="AM26" s="56"/>
      <c r="AN26" s="55">
        <f t="shared" ref="AN26" si="25">SUM(AA26:AL26)</f>
        <v>10015277.784060374</v>
      </c>
    </row>
    <row r="27" spans="2:40" ht="6" customHeight="1" x14ac:dyDescent="0.35"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</row>
    <row r="28" spans="2:40" x14ac:dyDescent="0.35">
      <c r="B28" s="5" t="s">
        <v>81</v>
      </c>
      <c r="C28" s="19" t="s">
        <v>163</v>
      </c>
      <c r="E28" s="53">
        <f>'LLC actual'!E28</f>
        <v>-600434.79</v>
      </c>
      <c r="F28" s="53">
        <f>'LLC Budget'!F28</f>
        <v>-480072.95083167747</v>
      </c>
      <c r="G28" s="53">
        <f>'LLC Budget'!G28</f>
        <v>-467801.74430638761</v>
      </c>
      <c r="H28" s="53">
        <f>'LLC Budget'!H28</f>
        <v>-463370.61566063791</v>
      </c>
      <c r="I28" s="53">
        <f>'LLC Budget'!I28</f>
        <v>-458783.02869327384</v>
      </c>
      <c r="J28" s="53">
        <f>'LLC Budget'!J28</f>
        <v>-454278.49150849122</v>
      </c>
      <c r="K28" s="53">
        <f>'LLC Budget'!K28</f>
        <v>-448897.52886668424</v>
      </c>
      <c r="L28" s="53">
        <f>'LLC Budget'!L28</f>
        <v>-441288.01720421016</v>
      </c>
      <c r="M28" s="53">
        <f>'LLC Budget'!M28</f>
        <v>-429598.78098757996</v>
      </c>
      <c r="N28" s="53">
        <f>'LLC Budget'!N28</f>
        <v>-417430.9544929082</v>
      </c>
      <c r="O28" s="53">
        <f>'LLC Budget'!O28</f>
        <v>-407351.44951949979</v>
      </c>
      <c r="P28" s="53">
        <f>'LLC Budget'!P28</f>
        <v>-396931.18156365782</v>
      </c>
      <c r="Q28" s="56"/>
      <c r="R28" s="53">
        <f t="shared" ref="R28" si="26">SUM(E28:P28)</f>
        <v>-5466239.5336350081</v>
      </c>
      <c r="S28" s="56"/>
      <c r="AA28" s="53">
        <f>E28-'LLC Budget'!E28</f>
        <v>-108189.16507825779</v>
      </c>
      <c r="AB28" s="53">
        <f>F28-'LLC Budget'!F28</f>
        <v>0</v>
      </c>
      <c r="AC28" s="53">
        <f>G28-'LLC Budget'!G28</f>
        <v>0</v>
      </c>
      <c r="AD28" s="53">
        <f>H28-'LLC Budget'!H28</f>
        <v>0</v>
      </c>
      <c r="AE28" s="53">
        <f>I28-'LLC Budget'!I28</f>
        <v>0</v>
      </c>
      <c r="AF28" s="53">
        <f>J28-'LLC Budget'!J28</f>
        <v>0</v>
      </c>
      <c r="AG28" s="53">
        <f>K28-'LLC Budget'!K28</f>
        <v>0</v>
      </c>
      <c r="AH28" s="53">
        <f>L28-'LLC Budget'!L28</f>
        <v>0</v>
      </c>
      <c r="AI28" s="53">
        <f>M28-'LLC Budget'!M28</f>
        <v>0</v>
      </c>
      <c r="AJ28" s="53">
        <f>N28-'LLC Budget'!N28</f>
        <v>0</v>
      </c>
      <c r="AK28" s="53">
        <f>O28-'LLC Budget'!O28</f>
        <v>0</v>
      </c>
      <c r="AL28" s="53">
        <f>P28-'LLC Budget'!P28</f>
        <v>0</v>
      </c>
      <c r="AM28" s="56"/>
      <c r="AN28" s="53">
        <f t="shared" ref="AN28" si="27">SUM(AA28:AL28)</f>
        <v>-108189.16507825779</v>
      </c>
    </row>
    <row r="29" spans="2:40" x14ac:dyDescent="0.35">
      <c r="B29" s="5" t="s">
        <v>168</v>
      </c>
      <c r="C29" s="19" t="s">
        <v>163</v>
      </c>
      <c r="E29" s="53">
        <f>'LLC actual'!E29</f>
        <v>0</v>
      </c>
      <c r="F29" s="53">
        <f>'LLC Budget'!F29</f>
        <v>0</v>
      </c>
      <c r="G29" s="53">
        <f>'LLC Budget'!G29</f>
        <v>0</v>
      </c>
      <c r="H29" s="53">
        <f>'LLC Budget'!H29</f>
        <v>0</v>
      </c>
      <c r="I29" s="53">
        <f>'LLC Budget'!I29</f>
        <v>0</v>
      </c>
      <c r="J29" s="53">
        <f>'LLC Budget'!J29</f>
        <v>0</v>
      </c>
      <c r="K29" s="53">
        <f>'LLC Budget'!K29</f>
        <v>0</v>
      </c>
      <c r="L29" s="53">
        <f>'LLC Budget'!L29</f>
        <v>0</v>
      </c>
      <c r="M29" s="53">
        <f>'LLC Budget'!M29</f>
        <v>0</v>
      </c>
      <c r="N29" s="53">
        <f>'LLC Budget'!N29</f>
        <v>0</v>
      </c>
      <c r="O29" s="53">
        <f>'LLC Budget'!O29</f>
        <v>0</v>
      </c>
      <c r="P29" s="53">
        <f>'LLC Budget'!P29</f>
        <v>0</v>
      </c>
      <c r="Q29" s="56"/>
      <c r="R29" s="53">
        <f t="shared" ref="R29" si="28">SUM(E29:P29)</f>
        <v>0</v>
      </c>
      <c r="S29" s="56"/>
      <c r="AA29" s="53">
        <f>E29-'LLC Budget'!E29</f>
        <v>0</v>
      </c>
      <c r="AB29" s="53">
        <f>F29-'LLC Budget'!F29</f>
        <v>0</v>
      </c>
      <c r="AC29" s="53">
        <f>G29-'LLC Budget'!G29</f>
        <v>0</v>
      </c>
      <c r="AD29" s="53">
        <f>H29-'LLC Budget'!H29</f>
        <v>0</v>
      </c>
      <c r="AE29" s="53">
        <f>I29-'LLC Budget'!I29</f>
        <v>0</v>
      </c>
      <c r="AF29" s="53">
        <f>J29-'LLC Budget'!J29</f>
        <v>0</v>
      </c>
      <c r="AG29" s="53">
        <f>K29-'LLC Budget'!K29</f>
        <v>0</v>
      </c>
      <c r="AH29" s="53">
        <f>L29-'LLC Budget'!L29</f>
        <v>0</v>
      </c>
      <c r="AI29" s="53">
        <f>M29-'LLC Budget'!M29</f>
        <v>0</v>
      </c>
      <c r="AJ29" s="53">
        <f>N29-'LLC Budget'!N29</f>
        <v>0</v>
      </c>
      <c r="AK29" s="53">
        <f>O29-'LLC Budget'!O29</f>
        <v>0</v>
      </c>
      <c r="AL29" s="53">
        <f>P29-'LLC Budget'!P29</f>
        <v>0</v>
      </c>
      <c r="AM29" s="56"/>
      <c r="AN29" s="53">
        <f t="shared" ref="AN29" si="29">SUM(AA29:AL29)</f>
        <v>0</v>
      </c>
    </row>
    <row r="30" spans="2:40" x14ac:dyDescent="0.35">
      <c r="B30" s="5" t="s">
        <v>176</v>
      </c>
      <c r="C30" s="19" t="s">
        <v>163</v>
      </c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6"/>
      <c r="R30" s="54"/>
      <c r="S30" s="56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6"/>
      <c r="AN30" s="54"/>
    </row>
    <row r="31" spans="2:40" ht="10.5" customHeight="1" x14ac:dyDescent="0.35">
      <c r="E31" s="56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6"/>
      <c r="R31" s="54"/>
      <c r="S31" s="56"/>
      <c r="AA31" s="56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6"/>
      <c r="AN31" s="54"/>
    </row>
    <row r="32" spans="2:40" x14ac:dyDescent="0.35">
      <c r="B32" s="43" t="s">
        <v>19</v>
      </c>
      <c r="C32" s="19" t="s">
        <v>163</v>
      </c>
      <c r="E32" s="55">
        <f>SUM(E28:E29,E24,E19,E13)</f>
        <v>11062144.780000001</v>
      </c>
      <c r="F32" s="55">
        <f t="shared" ref="F32:P32" si="30">SUM(F28:F29,F24,F19,F13)</f>
        <v>8152744.6684572659</v>
      </c>
      <c r="G32" s="55">
        <f t="shared" si="30"/>
        <v>1676491.7582999039</v>
      </c>
      <c r="H32" s="55">
        <f t="shared" si="30"/>
        <v>1872842.2869456538</v>
      </c>
      <c r="I32" s="55">
        <f t="shared" si="30"/>
        <v>1801814.873913018</v>
      </c>
      <c r="J32" s="55">
        <f t="shared" si="30"/>
        <v>1806319.4110978006</v>
      </c>
      <c r="K32" s="55">
        <f t="shared" si="30"/>
        <v>2503831.6649896074</v>
      </c>
      <c r="L32" s="55">
        <f t="shared" si="30"/>
        <v>3591387.1766520813</v>
      </c>
      <c r="M32" s="55">
        <f t="shared" si="30"/>
        <v>5771691.0328687113</v>
      </c>
      <c r="N32" s="55">
        <f t="shared" si="30"/>
        <v>3974737.9893633835</v>
      </c>
      <c r="O32" s="55">
        <f t="shared" si="30"/>
        <v>4098945.4943367918</v>
      </c>
      <c r="P32" s="55">
        <f t="shared" si="30"/>
        <v>4247689.1382926339</v>
      </c>
      <c r="Q32" s="56"/>
      <c r="R32" s="55">
        <f t="shared" ref="R32" si="31">SUM(E32:P32)</f>
        <v>50560640.275216848</v>
      </c>
      <c r="S32" s="56"/>
      <c r="AA32" s="55">
        <f>SUM(AA28:AA29,AA24,AA19,AA13)</f>
        <v>9464577.5023154486</v>
      </c>
      <c r="AB32" s="55">
        <f t="shared" ref="AB32:AL32" si="32">SUM(AB28:AB29,AB24,AB19,AB13)</f>
        <v>0</v>
      </c>
      <c r="AC32" s="55">
        <f t="shared" si="32"/>
        <v>0</v>
      </c>
      <c r="AD32" s="55">
        <f t="shared" si="32"/>
        <v>0</v>
      </c>
      <c r="AE32" s="55">
        <f t="shared" si="32"/>
        <v>0</v>
      </c>
      <c r="AF32" s="55">
        <f t="shared" si="32"/>
        <v>0</v>
      </c>
      <c r="AG32" s="55">
        <f t="shared" si="32"/>
        <v>0</v>
      </c>
      <c r="AH32" s="55">
        <f t="shared" si="32"/>
        <v>0</v>
      </c>
      <c r="AI32" s="55">
        <f t="shared" si="32"/>
        <v>0</v>
      </c>
      <c r="AJ32" s="55">
        <f t="shared" si="32"/>
        <v>0</v>
      </c>
      <c r="AK32" s="55">
        <f t="shared" si="32"/>
        <v>0</v>
      </c>
      <c r="AL32" s="55">
        <f t="shared" si="32"/>
        <v>0</v>
      </c>
      <c r="AM32" s="56"/>
      <c r="AN32" s="55">
        <f t="shared" ref="AN32" si="33">SUM(AA32:AL32)</f>
        <v>9464577.5023154486</v>
      </c>
    </row>
    <row r="33" spans="2:40" x14ac:dyDescent="0.35">
      <c r="R33" s="18">
        <f>R32/12</f>
        <v>4213386.6896014037</v>
      </c>
      <c r="AN33" s="18">
        <f>AN32/12</f>
        <v>788714.79185962072</v>
      </c>
    </row>
    <row r="34" spans="2:40" x14ac:dyDescent="0.35">
      <c r="R34" s="18"/>
      <c r="AN34" s="18"/>
    </row>
    <row r="35" spans="2:40" x14ac:dyDescent="0.35">
      <c r="B35" s="3" t="s">
        <v>127</v>
      </c>
      <c r="R35" s="18"/>
      <c r="AN35" s="18"/>
    </row>
    <row r="36" spans="2:40" x14ac:dyDescent="0.35">
      <c r="R36" s="18"/>
      <c r="AN36" s="18"/>
    </row>
    <row r="37" spans="2:40" x14ac:dyDescent="0.35">
      <c r="B37" s="5" t="s">
        <v>85</v>
      </c>
      <c r="C37" s="19" t="s">
        <v>163</v>
      </c>
      <c r="E37" s="76">
        <f>'LLC actual'!E37</f>
        <v>197943156.41999999</v>
      </c>
      <c r="F37" s="59">
        <f>E38</f>
        <v>186881011.63999999</v>
      </c>
      <c r="G37" s="59">
        <f t="shared" ref="G37:P37" si="34">F38</f>
        <v>178728266.97154272</v>
      </c>
      <c r="H37" s="59">
        <f t="shared" si="34"/>
        <v>177051775.2132428</v>
      </c>
      <c r="I37" s="59">
        <f t="shared" si="34"/>
        <v>175178932.92629716</v>
      </c>
      <c r="J37" s="59">
        <f t="shared" si="34"/>
        <v>173377118.05238414</v>
      </c>
      <c r="K37" s="59">
        <f t="shared" si="34"/>
        <v>171570798.64128634</v>
      </c>
      <c r="L37" s="59">
        <f t="shared" si="34"/>
        <v>169066966.97629672</v>
      </c>
      <c r="M37" s="59">
        <f t="shared" si="34"/>
        <v>165475579.79964465</v>
      </c>
      <c r="N37" s="59">
        <f t="shared" si="34"/>
        <v>159703888.76677594</v>
      </c>
      <c r="O37" s="59">
        <f t="shared" si="34"/>
        <v>155729150.77741256</v>
      </c>
      <c r="P37" s="59">
        <f t="shared" si="34"/>
        <v>151630205.28307578</v>
      </c>
      <c r="R37" s="18"/>
      <c r="AA37" s="76">
        <f>E37-'LLC Budget'!E37</f>
        <v>0</v>
      </c>
      <c r="AB37" s="59">
        <f>F37-'LLC Budget'!F37</f>
        <v>-9464577.5023154914</v>
      </c>
      <c r="AC37" s="59">
        <f>G37-'LLC Budget'!G37</f>
        <v>-9464577.5023154914</v>
      </c>
      <c r="AD37" s="59">
        <f>H37-'LLC Budget'!H37</f>
        <v>-9464577.5023154914</v>
      </c>
      <c r="AE37" s="59">
        <f>I37-'LLC Budget'!I37</f>
        <v>-9464577.5023154914</v>
      </c>
      <c r="AF37" s="59">
        <f>J37-'LLC Budget'!J37</f>
        <v>-9464577.5023154914</v>
      </c>
      <c r="AG37" s="59">
        <f>K37-'LLC Budget'!K37</f>
        <v>-9464577.5023154914</v>
      </c>
      <c r="AH37" s="59">
        <f>L37-'LLC Budget'!L37</f>
        <v>-9464577.5023154914</v>
      </c>
      <c r="AI37" s="59">
        <f>M37-'LLC Budget'!M37</f>
        <v>-9464577.5023154914</v>
      </c>
      <c r="AJ37" s="59">
        <f>N37-'LLC Budget'!N37</f>
        <v>-9464577.5023154914</v>
      </c>
      <c r="AK37" s="59">
        <f>O37-'LLC Budget'!O37</f>
        <v>-9464577.5023154914</v>
      </c>
      <c r="AL37" s="59">
        <f>P37-'LLC Budget'!P37</f>
        <v>-9464577.5023154914</v>
      </c>
      <c r="AN37" s="18"/>
    </row>
    <row r="38" spans="2:40" x14ac:dyDescent="0.35">
      <c r="B38" s="5" t="s">
        <v>86</v>
      </c>
      <c r="C38" s="19" t="s">
        <v>163</v>
      </c>
      <c r="E38" s="59">
        <f>E37-E32</f>
        <v>186881011.63999999</v>
      </c>
      <c r="F38" s="59">
        <f>F37-F32</f>
        <v>178728266.97154272</v>
      </c>
      <c r="G38" s="59">
        <f t="shared" ref="G38:P38" si="35">G37-G32</f>
        <v>177051775.2132428</v>
      </c>
      <c r="H38" s="59">
        <f t="shared" si="35"/>
        <v>175178932.92629716</v>
      </c>
      <c r="I38" s="59">
        <f t="shared" si="35"/>
        <v>173377118.05238414</v>
      </c>
      <c r="J38" s="59">
        <f t="shared" si="35"/>
        <v>171570798.64128634</v>
      </c>
      <c r="K38" s="59">
        <f t="shared" si="35"/>
        <v>169066966.97629672</v>
      </c>
      <c r="L38" s="59">
        <f t="shared" si="35"/>
        <v>165475579.79964465</v>
      </c>
      <c r="M38" s="59">
        <f t="shared" si="35"/>
        <v>159703888.76677594</v>
      </c>
      <c r="N38" s="59">
        <f t="shared" si="35"/>
        <v>155729150.77741256</v>
      </c>
      <c r="O38" s="59">
        <f t="shared" si="35"/>
        <v>151630205.28307578</v>
      </c>
      <c r="P38" s="59">
        <f t="shared" si="35"/>
        <v>147382516.14478314</v>
      </c>
      <c r="R38" s="18"/>
      <c r="AA38" s="59">
        <f>E38-'LLC Budget'!E38</f>
        <v>-9464577.5023154914</v>
      </c>
      <c r="AB38" s="59">
        <f>F38-'LLC Budget'!F38</f>
        <v>-9464577.5023154914</v>
      </c>
      <c r="AC38" s="59">
        <f>G38-'LLC Budget'!G38</f>
        <v>-9464577.5023154914</v>
      </c>
      <c r="AD38" s="59">
        <f>H38-'LLC Budget'!H38</f>
        <v>-9464577.5023154914</v>
      </c>
      <c r="AE38" s="59">
        <f>I38-'LLC Budget'!I38</f>
        <v>-9464577.5023154914</v>
      </c>
      <c r="AF38" s="59">
        <f>J38-'LLC Budget'!J38</f>
        <v>-9464577.5023154914</v>
      </c>
      <c r="AG38" s="59">
        <f>K38-'LLC Budget'!K38</f>
        <v>-9464577.5023154914</v>
      </c>
      <c r="AH38" s="59">
        <f>L38-'LLC Budget'!L38</f>
        <v>-9464577.5023154914</v>
      </c>
      <c r="AI38" s="59">
        <f>M38-'LLC Budget'!M38</f>
        <v>-9464577.5023154914</v>
      </c>
      <c r="AJ38" s="59">
        <f>N38-'LLC Budget'!N38</f>
        <v>-9464577.5023154914</v>
      </c>
      <c r="AK38" s="59">
        <f>O38-'LLC Budget'!O38</f>
        <v>-9464577.5023154914</v>
      </c>
      <c r="AL38" s="59">
        <f>P38-'LLC Budget'!P38</f>
        <v>-9464577.5023154914</v>
      </c>
      <c r="AN38" s="18"/>
    </row>
    <row r="39" spans="2:40" x14ac:dyDescent="0.35">
      <c r="R39" s="18"/>
      <c r="AN39" s="18"/>
    </row>
    <row r="40" spans="2:40" x14ac:dyDescent="0.35">
      <c r="B40" s="5" t="s">
        <v>73</v>
      </c>
      <c r="C40" s="19" t="s">
        <v>54</v>
      </c>
      <c r="E40" s="33">
        <f>'SA Reforecast'!E88</f>
        <v>1.175</v>
      </c>
      <c r="F40" s="33">
        <f>'SA Reforecast'!F88</f>
        <v>1.1599999999999999</v>
      </c>
      <c r="G40" s="33">
        <f>'SA Reforecast'!G88</f>
        <v>1.1599999999999999</v>
      </c>
      <c r="H40" s="33">
        <f>'SA Reforecast'!H88</f>
        <v>1.1599999999999999</v>
      </c>
      <c r="I40" s="33">
        <f>'SA Reforecast'!I88</f>
        <v>1.1599999999999999</v>
      </c>
      <c r="J40" s="33">
        <f>'SA Reforecast'!J88</f>
        <v>1.1599999999999999</v>
      </c>
      <c r="K40" s="33">
        <f>'SA Reforecast'!K88</f>
        <v>1.1599999999999999</v>
      </c>
      <c r="L40" s="33">
        <f>'SA Reforecast'!L88</f>
        <v>1.1599999999999999</v>
      </c>
      <c r="M40" s="33">
        <f>'SA Reforecast'!M88</f>
        <v>1.1599999999999999</v>
      </c>
      <c r="N40" s="33">
        <f>'SA Reforecast'!N88</f>
        <v>1.1599999999999999</v>
      </c>
      <c r="O40" s="33">
        <f>'SA Reforecast'!O88</f>
        <v>1.1599999999999999</v>
      </c>
      <c r="P40" s="33">
        <f>'SA Reforecast'!P88</f>
        <v>1.1599999999999999</v>
      </c>
      <c r="R40" s="18"/>
      <c r="AA40" s="104">
        <f>E40-'LLC Budget'!E40</f>
        <v>0</v>
      </c>
      <c r="AB40" s="104">
        <f>F40-'LLC Budget'!F40</f>
        <v>0</v>
      </c>
      <c r="AC40" s="104">
        <f>G40-'LLC Budget'!G40</f>
        <v>0</v>
      </c>
      <c r="AD40" s="104">
        <f>H40-'LLC Budget'!H40</f>
        <v>0</v>
      </c>
      <c r="AE40" s="104">
        <f>I40-'LLC Budget'!I40</f>
        <v>0</v>
      </c>
      <c r="AF40" s="104">
        <f>J40-'LLC Budget'!J40</f>
        <v>0</v>
      </c>
      <c r="AG40" s="104">
        <f>K40-'LLC Budget'!K40</f>
        <v>0</v>
      </c>
      <c r="AH40" s="104">
        <f>L40-'LLC Budget'!L40</f>
        <v>0</v>
      </c>
      <c r="AI40" s="104">
        <f>M40-'LLC Budget'!M40</f>
        <v>0</v>
      </c>
      <c r="AJ40" s="104">
        <f>N40-'LLC Budget'!N40</f>
        <v>0</v>
      </c>
      <c r="AK40" s="104">
        <f>O40-'LLC Budget'!O40</f>
        <v>0</v>
      </c>
      <c r="AL40" s="104">
        <f>P40-'LLC Budget'!P40</f>
        <v>0</v>
      </c>
      <c r="AN40" s="18"/>
    </row>
    <row r="41" spans="2:40" x14ac:dyDescent="0.35">
      <c r="B41" s="5" t="s">
        <v>74</v>
      </c>
      <c r="C41" s="19" t="s">
        <v>54</v>
      </c>
      <c r="E41" s="33">
        <f>'SA Reforecast'!E89</f>
        <v>1.1919</v>
      </c>
      <c r="F41" s="33">
        <f>'SA Reforecast'!F89</f>
        <v>1.1599999999999999</v>
      </c>
      <c r="G41" s="33">
        <f>'SA Reforecast'!G89</f>
        <v>1.1599999999999999</v>
      </c>
      <c r="H41" s="33">
        <f>'SA Reforecast'!H89</f>
        <v>1.1599999999999999</v>
      </c>
      <c r="I41" s="33">
        <f>'SA Reforecast'!I89</f>
        <v>1.1599999999999999</v>
      </c>
      <c r="J41" s="33">
        <f>'SA Reforecast'!J89</f>
        <v>1.1599999999999999</v>
      </c>
      <c r="K41" s="33">
        <f>'SA Reforecast'!K89</f>
        <v>1.1599999999999999</v>
      </c>
      <c r="L41" s="33">
        <f>'SA Reforecast'!L89</f>
        <v>1.1599999999999999</v>
      </c>
      <c r="M41" s="33">
        <f>'SA Reforecast'!M89</f>
        <v>1.1599999999999999</v>
      </c>
      <c r="N41" s="33">
        <f>'SA Reforecast'!N89</f>
        <v>1.1599999999999999</v>
      </c>
      <c r="O41" s="33">
        <f>'SA Reforecast'!O89</f>
        <v>1.1599999999999999</v>
      </c>
      <c r="P41" s="33">
        <f>'SA Reforecast'!P89</f>
        <v>1.1599999999999999</v>
      </c>
      <c r="R41" s="18"/>
      <c r="AA41" s="104">
        <f>E41-'LLC Budget'!E41</f>
        <v>3.1900000000000039E-2</v>
      </c>
      <c r="AB41" s="104">
        <f>F41-'LLC Budget'!F41</f>
        <v>0</v>
      </c>
      <c r="AC41" s="104">
        <f>G41-'LLC Budget'!G41</f>
        <v>0</v>
      </c>
      <c r="AD41" s="104">
        <f>H41-'LLC Budget'!H41</f>
        <v>0</v>
      </c>
      <c r="AE41" s="104">
        <f>I41-'LLC Budget'!I41</f>
        <v>0</v>
      </c>
      <c r="AF41" s="104">
        <f>J41-'LLC Budget'!J41</f>
        <v>0</v>
      </c>
      <c r="AG41" s="104">
        <f>K41-'LLC Budget'!K41</f>
        <v>0</v>
      </c>
      <c r="AH41" s="104">
        <f>L41-'LLC Budget'!L41</f>
        <v>0</v>
      </c>
      <c r="AI41" s="104">
        <f>M41-'LLC Budget'!M41</f>
        <v>0</v>
      </c>
      <c r="AJ41" s="104">
        <f>N41-'LLC Budget'!N41</f>
        <v>0</v>
      </c>
      <c r="AK41" s="104">
        <f>O41-'LLC Budget'!O41</f>
        <v>0</v>
      </c>
      <c r="AL41" s="104">
        <f>P41-'LLC Budget'!P41</f>
        <v>0</v>
      </c>
      <c r="AN41" s="18"/>
    </row>
    <row r="42" spans="2:40" x14ac:dyDescent="0.35">
      <c r="C42" s="50"/>
      <c r="R42" s="18"/>
      <c r="AN42" s="18"/>
    </row>
    <row r="43" spans="2:40" x14ac:dyDescent="0.35">
      <c r="B43" s="3" t="s">
        <v>154</v>
      </c>
      <c r="R43" s="18"/>
      <c r="AN43" s="18"/>
    </row>
    <row r="44" spans="2:40" ht="9" customHeight="1" x14ac:dyDescent="0.35">
      <c r="B44" s="3"/>
    </row>
    <row r="45" spans="2:40" x14ac:dyDescent="0.35">
      <c r="B45" s="5" t="s">
        <v>57</v>
      </c>
      <c r="C45" s="19" t="s">
        <v>162</v>
      </c>
      <c r="E45" s="55">
        <f>E37/E40</f>
        <v>168462260.78297871</v>
      </c>
      <c r="F45" s="55">
        <f t="shared" ref="F45:P46" si="36">F37/F40</f>
        <v>161104320.37931034</v>
      </c>
      <c r="G45" s="55">
        <f t="shared" si="36"/>
        <v>154076092.21684718</v>
      </c>
      <c r="H45" s="55">
        <f t="shared" si="36"/>
        <v>152630840.70107138</v>
      </c>
      <c r="I45" s="55">
        <f t="shared" si="36"/>
        <v>151016321.48818722</v>
      </c>
      <c r="J45" s="55">
        <f t="shared" si="36"/>
        <v>149463032.80377945</v>
      </c>
      <c r="K45" s="55">
        <f t="shared" si="36"/>
        <v>147905860.89766064</v>
      </c>
      <c r="L45" s="55">
        <f t="shared" si="36"/>
        <v>145747385.32439375</v>
      </c>
      <c r="M45" s="55">
        <f t="shared" si="36"/>
        <v>142651361.89624539</v>
      </c>
      <c r="N45" s="55">
        <f t="shared" si="36"/>
        <v>137675766.17825514</v>
      </c>
      <c r="O45" s="55">
        <f t="shared" si="36"/>
        <v>134249267.91156256</v>
      </c>
      <c r="P45" s="55">
        <f t="shared" si="36"/>
        <v>130715694.2095481</v>
      </c>
      <c r="AA45" s="55">
        <f>E45-'LLC Budget'!E45</f>
        <v>0</v>
      </c>
      <c r="AB45" s="55">
        <f>F45-'LLC Budget'!F45</f>
        <v>-8159118.5364788771</v>
      </c>
      <c r="AC45" s="55">
        <f>G45-'LLC Budget'!G45</f>
        <v>-8159118.5364788771</v>
      </c>
      <c r="AD45" s="55">
        <f>H45-'LLC Budget'!H45</f>
        <v>-8159118.5364788771</v>
      </c>
      <c r="AE45" s="55">
        <f>I45-'LLC Budget'!I45</f>
        <v>-8159118.5364788771</v>
      </c>
      <c r="AF45" s="55">
        <f>J45-'LLC Budget'!J45</f>
        <v>-8159118.5364788473</v>
      </c>
      <c r="AG45" s="55">
        <f>K45-'LLC Budget'!K45</f>
        <v>-8159118.5364788771</v>
      </c>
      <c r="AH45" s="55">
        <f>L45-'LLC Budget'!L45</f>
        <v>-8159118.5364788473</v>
      </c>
      <c r="AI45" s="55">
        <f>M45-'LLC Budget'!M45</f>
        <v>-8159118.5364788771</v>
      </c>
      <c r="AJ45" s="55">
        <f>N45-'LLC Budget'!N45</f>
        <v>-8159118.5364788473</v>
      </c>
      <c r="AK45" s="55">
        <f>O45-'LLC Budget'!O45</f>
        <v>-8159118.5364788771</v>
      </c>
      <c r="AL45" s="55">
        <f>P45-'LLC Budget'!P45</f>
        <v>-8159118.5364788622</v>
      </c>
    </row>
    <row r="46" spans="2:40" x14ac:dyDescent="0.35">
      <c r="B46" s="5" t="s">
        <v>58</v>
      </c>
      <c r="C46" s="19" t="s">
        <v>162</v>
      </c>
      <c r="E46" s="55">
        <f>E38/E41</f>
        <v>156792525.91660374</v>
      </c>
      <c r="F46" s="55">
        <f t="shared" si="36"/>
        <v>154076092.21684718</v>
      </c>
      <c r="G46" s="55">
        <f t="shared" si="36"/>
        <v>152630840.70107138</v>
      </c>
      <c r="H46" s="55">
        <f t="shared" si="36"/>
        <v>151016321.48818722</v>
      </c>
      <c r="I46" s="55">
        <f t="shared" si="36"/>
        <v>149463032.80377945</v>
      </c>
      <c r="J46" s="55">
        <f t="shared" si="36"/>
        <v>147905860.89766064</v>
      </c>
      <c r="K46" s="55">
        <f t="shared" si="36"/>
        <v>145747385.32439375</v>
      </c>
      <c r="L46" s="55">
        <f t="shared" si="36"/>
        <v>142651361.89624539</v>
      </c>
      <c r="M46" s="55">
        <f t="shared" si="36"/>
        <v>137675766.17825514</v>
      </c>
      <c r="N46" s="55">
        <f t="shared" si="36"/>
        <v>134249267.91156256</v>
      </c>
      <c r="O46" s="55">
        <f t="shared" si="36"/>
        <v>130715694.2095481</v>
      </c>
      <c r="P46" s="55">
        <f t="shared" si="36"/>
        <v>127053893.22826134</v>
      </c>
      <c r="AA46" s="55">
        <f>E46-'LLC Budget'!E46</f>
        <v>-12470912.999185473</v>
      </c>
      <c r="AB46" s="55">
        <f>F46-'LLC Budget'!F46</f>
        <v>-8159118.5364788771</v>
      </c>
      <c r="AC46" s="55">
        <f>G46-'LLC Budget'!G46</f>
        <v>-8159118.5364788771</v>
      </c>
      <c r="AD46" s="55">
        <f>H46-'LLC Budget'!H46</f>
        <v>-8159118.5364788771</v>
      </c>
      <c r="AE46" s="55">
        <f>I46-'LLC Budget'!I46</f>
        <v>-8159118.5364788473</v>
      </c>
      <c r="AF46" s="55">
        <f>J46-'LLC Budget'!J46</f>
        <v>-8159118.5364788771</v>
      </c>
      <c r="AG46" s="55">
        <f>K46-'LLC Budget'!K46</f>
        <v>-8159118.5364788473</v>
      </c>
      <c r="AH46" s="55">
        <f>L46-'LLC Budget'!L46</f>
        <v>-8159118.5364788771</v>
      </c>
      <c r="AI46" s="55">
        <f>M46-'LLC Budget'!M46</f>
        <v>-8159118.5364788473</v>
      </c>
      <c r="AJ46" s="55">
        <f>N46-'LLC Budget'!N46</f>
        <v>-8159118.5364788771</v>
      </c>
      <c r="AK46" s="55">
        <f>O46-'LLC Budget'!O46</f>
        <v>-8159118.5364788622</v>
      </c>
      <c r="AL46" s="55">
        <f>P46-'LLC Budget'!P46</f>
        <v>-8159118.5364788622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534D9-44C7-44A9-BF02-0129C6650C00}">
  <sheetPr>
    <tabColor theme="6" tint="0.79998168889431442"/>
  </sheetPr>
  <dimension ref="B1:U102"/>
  <sheetViews>
    <sheetView showGridLines="0" workbookViewId="0">
      <selection activeCell="C110" sqref="C110"/>
    </sheetView>
  </sheetViews>
  <sheetFormatPr defaultColWidth="10.54296875" defaultRowHeight="14.5" x14ac:dyDescent="0.35"/>
  <cols>
    <col min="1" max="1" width="3.453125" customWidth="1"/>
    <col min="2" max="2" width="46.26953125" bestFit="1" customWidth="1"/>
    <col min="3" max="3" width="49.54296875" bestFit="1" customWidth="1"/>
    <col min="4" max="4" width="11.7265625" bestFit="1" customWidth="1"/>
    <col min="5" max="5" width="17.81640625" bestFit="1" customWidth="1"/>
    <col min="6" max="6" width="11.453125" bestFit="1" customWidth="1"/>
    <col min="10" max="10" width="10.453125" bestFit="1" customWidth="1"/>
    <col min="11" max="11" width="43" bestFit="1" customWidth="1"/>
    <col min="12" max="12" width="18.453125" bestFit="1" customWidth="1"/>
    <col min="13" max="13" width="10.81640625" bestFit="1" customWidth="1"/>
    <col min="14" max="14" width="11.453125" bestFit="1" customWidth="1"/>
    <col min="17" max="17" width="1.54296875" customWidth="1"/>
    <col min="21" max="22" width="10.81640625" bestFit="1" customWidth="1"/>
  </cols>
  <sheetData>
    <row r="1" spans="2:15" x14ac:dyDescent="0.35">
      <c r="C1" s="24" t="s">
        <v>92</v>
      </c>
      <c r="D1" s="44">
        <f>1/1.16</f>
        <v>0.86206896551724144</v>
      </c>
    </row>
    <row r="3" spans="2:15" x14ac:dyDescent="0.35">
      <c r="B3" s="78" t="s">
        <v>244</v>
      </c>
    </row>
    <row r="4" spans="2:15" x14ac:dyDescent="0.35">
      <c r="F4" s="29" t="s">
        <v>14</v>
      </c>
    </row>
    <row r="5" spans="2:15" x14ac:dyDescent="0.35">
      <c r="C5" s="24" t="s">
        <v>48</v>
      </c>
      <c r="D5" s="24" t="s">
        <v>237</v>
      </c>
      <c r="E5" s="24" t="s">
        <v>66</v>
      </c>
      <c r="F5" s="30">
        <f>SUM(M39:M41)</f>
        <v>15068882.068965517</v>
      </c>
    </row>
    <row r="6" spans="2:15" x14ac:dyDescent="0.35">
      <c r="C6" s="17" t="s">
        <v>94</v>
      </c>
      <c r="D6" s="17" t="s">
        <v>238</v>
      </c>
      <c r="E6" s="24" t="s">
        <v>66</v>
      </c>
      <c r="F6" s="30">
        <f>J56</f>
        <v>57907732.23999998</v>
      </c>
      <c r="I6" t="s">
        <v>259</v>
      </c>
    </row>
    <row r="7" spans="2:15" x14ac:dyDescent="0.35">
      <c r="C7" s="17" t="s">
        <v>70</v>
      </c>
      <c r="D7" s="17" t="s">
        <v>65</v>
      </c>
      <c r="E7" s="24" t="s">
        <v>66</v>
      </c>
      <c r="F7" s="30">
        <v>67563870.628940701</v>
      </c>
      <c r="G7" s="4">
        <f>'SA Reforecast'!R20</f>
        <v>74115429.670607388</v>
      </c>
      <c r="H7" s="9">
        <f>G7-F7</f>
        <v>6551559.0416666865</v>
      </c>
      <c r="I7" t="s">
        <v>260</v>
      </c>
    </row>
    <row r="8" spans="2:15" x14ac:dyDescent="0.35">
      <c r="C8" s="17" t="s">
        <v>68</v>
      </c>
      <c r="D8" s="17" t="s">
        <v>239</v>
      </c>
      <c r="E8" s="24" t="s">
        <v>66</v>
      </c>
      <c r="F8" s="30">
        <f>J65*D1</f>
        <v>36304410.232758619</v>
      </c>
    </row>
    <row r="9" spans="2:15" x14ac:dyDescent="0.35">
      <c r="C9" s="17" t="s">
        <v>68</v>
      </c>
      <c r="D9" s="17" t="s">
        <v>63</v>
      </c>
      <c r="E9" s="24" t="s">
        <v>66</v>
      </c>
      <c r="F9" s="30">
        <f>J74*D1</f>
        <v>18194370.689655174</v>
      </c>
    </row>
    <row r="10" spans="2:15" x14ac:dyDescent="0.35">
      <c r="C10" s="17" t="s">
        <v>241</v>
      </c>
      <c r="D10" s="17" t="s">
        <v>65</v>
      </c>
      <c r="E10" s="24" t="s">
        <v>66</v>
      </c>
      <c r="F10" s="30">
        <v>770000</v>
      </c>
      <c r="G10" s="4">
        <f>'SA Reforecast'!R40</f>
        <v>936000</v>
      </c>
      <c r="H10" t="s">
        <v>261</v>
      </c>
      <c r="L10" s="32" t="s">
        <v>262</v>
      </c>
      <c r="M10" s="32"/>
      <c r="N10" s="32"/>
      <c r="O10" s="32"/>
    </row>
    <row r="11" spans="2:15" x14ac:dyDescent="0.35">
      <c r="C11" s="17" t="s">
        <v>243</v>
      </c>
      <c r="D11" s="17" t="s">
        <v>65</v>
      </c>
      <c r="E11" s="17" t="s">
        <v>242</v>
      </c>
      <c r="F11" s="30">
        <v>286677.12</v>
      </c>
    </row>
    <row r="12" spans="2:15" x14ac:dyDescent="0.35">
      <c r="C12" s="17" t="s">
        <v>243</v>
      </c>
      <c r="D12" s="17" t="s">
        <v>63</v>
      </c>
      <c r="E12" s="17" t="s">
        <v>242</v>
      </c>
      <c r="F12" s="30">
        <v>34482.758620689659</v>
      </c>
    </row>
    <row r="14" spans="2:15" x14ac:dyDescent="0.35">
      <c r="C14" s="17" t="s">
        <v>240</v>
      </c>
      <c r="D14" s="17" t="s">
        <v>237</v>
      </c>
      <c r="E14" s="24" t="s">
        <v>66</v>
      </c>
      <c r="F14" s="30">
        <f>SUM(F5:F12)</f>
        <v>196130425.73894069</v>
      </c>
    </row>
    <row r="15" spans="2:15" x14ac:dyDescent="0.35">
      <c r="F15" s="4">
        <v>196130425.73894072</v>
      </c>
    </row>
    <row r="16" spans="2:15" x14ac:dyDescent="0.35">
      <c r="F16" s="9">
        <f>F14-F15</f>
        <v>0</v>
      </c>
    </row>
    <row r="17" spans="2:8" x14ac:dyDescent="0.35">
      <c r="C17" s="80" t="s">
        <v>245</v>
      </c>
      <c r="D17" s="80"/>
      <c r="E17" s="80" t="s">
        <v>66</v>
      </c>
      <c r="F17" s="81">
        <v>10529171.408421736</v>
      </c>
      <c r="G17" s="4">
        <f>'SA Reforecast'!R36</f>
        <v>10488427.920291997</v>
      </c>
    </row>
    <row r="18" spans="2:8" x14ac:dyDescent="0.35">
      <c r="C18" s="80" t="s">
        <v>246</v>
      </c>
      <c r="D18" s="80"/>
      <c r="E18" s="80" t="s">
        <v>66</v>
      </c>
      <c r="F18" s="81">
        <v>17706421.159877717</v>
      </c>
      <c r="G18" s="4">
        <f>'LLC Reforecast'!R19</f>
        <v>20360838.219518527</v>
      </c>
    </row>
    <row r="19" spans="2:8" x14ac:dyDescent="0.35">
      <c r="C19" s="80" t="s">
        <v>247</v>
      </c>
      <c r="D19" s="80" t="s">
        <v>66</v>
      </c>
      <c r="E19" s="80" t="s">
        <v>66</v>
      </c>
      <c r="F19" s="81">
        <v>9373187.5649999995</v>
      </c>
      <c r="G19" s="9">
        <f>'LLC Reforecast'!R24</f>
        <v>15379695.705999998</v>
      </c>
    </row>
    <row r="20" spans="2:8" x14ac:dyDescent="0.35">
      <c r="C20" s="80" t="s">
        <v>248</v>
      </c>
      <c r="D20" s="80"/>
      <c r="E20" s="80" t="s">
        <v>66</v>
      </c>
      <c r="F20" s="81">
        <v>30886028.019901894</v>
      </c>
      <c r="G20" s="74">
        <f>'SA Reforecast'!R46</f>
        <v>17408278.978120003</v>
      </c>
    </row>
    <row r="22" spans="2:8" x14ac:dyDescent="0.35">
      <c r="C22" s="5" t="s">
        <v>249</v>
      </c>
      <c r="D22" s="5"/>
      <c r="E22" s="5"/>
      <c r="F22" s="82">
        <f>F14+SUM(F17:F20)</f>
        <v>264625233.89214203</v>
      </c>
      <c r="G22" s="5"/>
      <c r="H22" s="5" t="s">
        <v>250</v>
      </c>
    </row>
    <row r="25" spans="2:8" x14ac:dyDescent="0.35">
      <c r="B25" s="78" t="s">
        <v>24</v>
      </c>
    </row>
    <row r="26" spans="2:8" x14ac:dyDescent="0.35">
      <c r="C26" s="3" t="s">
        <v>70</v>
      </c>
    </row>
    <row r="27" spans="2:8" x14ac:dyDescent="0.35">
      <c r="C27" s="3" t="s">
        <v>23</v>
      </c>
    </row>
    <row r="28" spans="2:8" x14ac:dyDescent="0.35">
      <c r="C28" s="84" t="s">
        <v>233</v>
      </c>
    </row>
    <row r="29" spans="2:8" x14ac:dyDescent="0.35">
      <c r="C29" s="84" t="s">
        <v>253</v>
      </c>
    </row>
    <row r="30" spans="2:8" x14ac:dyDescent="0.35">
      <c r="C30" t="s">
        <v>251</v>
      </c>
    </row>
    <row r="31" spans="2:8" x14ac:dyDescent="0.35">
      <c r="C31" s="3" t="s">
        <v>252</v>
      </c>
    </row>
    <row r="32" spans="2:8" x14ac:dyDescent="0.35">
      <c r="C32" s="3"/>
    </row>
    <row r="33" spans="2:21" x14ac:dyDescent="0.35">
      <c r="B33" s="83" t="s">
        <v>131</v>
      </c>
    </row>
    <row r="34" spans="2:21" x14ac:dyDescent="0.35">
      <c r="B34" s="79" t="s">
        <v>88</v>
      </c>
      <c r="C34" s="2"/>
    </row>
    <row r="35" spans="2:21" x14ac:dyDescent="0.35">
      <c r="O35" s="9"/>
    </row>
    <row r="36" spans="2:21" x14ac:dyDescent="0.35">
      <c r="C36" s="3" t="s">
        <v>48</v>
      </c>
      <c r="O36" s="9"/>
    </row>
    <row r="37" spans="2:21" x14ac:dyDescent="0.35">
      <c r="C37" s="10" t="s">
        <v>234</v>
      </c>
      <c r="J37" s="2"/>
    </row>
    <row r="38" spans="2:21" x14ac:dyDescent="0.35">
      <c r="B38" s="21" t="s">
        <v>61</v>
      </c>
      <c r="C38" s="21" t="s">
        <v>47</v>
      </c>
      <c r="D38" s="21" t="s">
        <v>62</v>
      </c>
      <c r="E38" s="22" t="s">
        <v>189</v>
      </c>
      <c r="F38" s="22" t="s">
        <v>190</v>
      </c>
      <c r="G38" s="22" t="s">
        <v>191</v>
      </c>
      <c r="H38" s="22" t="s">
        <v>192</v>
      </c>
      <c r="J38" s="23">
        <v>2026</v>
      </c>
      <c r="K38" s="29" t="s">
        <v>49</v>
      </c>
      <c r="M38" s="10" t="s">
        <v>91</v>
      </c>
      <c r="P38" s="3" t="s">
        <v>23</v>
      </c>
    </row>
    <row r="39" spans="2:21" x14ac:dyDescent="0.35">
      <c r="B39" s="17" t="s">
        <v>63</v>
      </c>
      <c r="C39" s="24" t="s">
        <v>56</v>
      </c>
      <c r="D39" s="25" t="s">
        <v>64</v>
      </c>
      <c r="E39" s="24">
        <v>336000</v>
      </c>
      <c r="F39" s="24">
        <v>336000</v>
      </c>
      <c r="G39" s="24">
        <v>336000</v>
      </c>
      <c r="H39" s="24">
        <v>336000</v>
      </c>
      <c r="J39" s="26">
        <f>SUM(E39:H39)</f>
        <v>1344000</v>
      </c>
      <c r="K39" s="30">
        <f>J39/12</f>
        <v>112000</v>
      </c>
      <c r="M39" s="30">
        <f>J39*D1</f>
        <v>1158620.6896551724</v>
      </c>
      <c r="O39" s="2"/>
      <c r="P39" s="2" t="s">
        <v>215</v>
      </c>
    </row>
    <row r="40" spans="2:21" x14ac:dyDescent="0.35">
      <c r="B40" s="17" t="s">
        <v>65</v>
      </c>
      <c r="C40" s="24" t="s">
        <v>56</v>
      </c>
      <c r="D40" s="25" t="s">
        <v>64</v>
      </c>
      <c r="E40" s="24">
        <v>2523760</v>
      </c>
      <c r="F40" s="24">
        <v>2584560</v>
      </c>
      <c r="G40" s="24">
        <v>2558160</v>
      </c>
      <c r="H40" s="24">
        <v>2549920</v>
      </c>
      <c r="J40" s="26">
        <f>SUM(E40:H40)</f>
        <v>10216400</v>
      </c>
      <c r="K40" s="30">
        <f>J40/12</f>
        <v>851366.66666666663</v>
      </c>
      <c r="M40" s="30">
        <f>J40*D1</f>
        <v>8807241.3793103453</v>
      </c>
      <c r="O40" s="2"/>
    </row>
    <row r="41" spans="2:21" x14ac:dyDescent="0.35">
      <c r="B41" s="17" t="s">
        <v>65</v>
      </c>
      <c r="C41" s="24" t="s">
        <v>55</v>
      </c>
      <c r="D41" s="25" t="s">
        <v>66</v>
      </c>
      <c r="E41" s="24">
        <v>1249340</v>
      </c>
      <c r="F41" s="24">
        <v>1295540</v>
      </c>
      <c r="G41" s="24">
        <v>1295540</v>
      </c>
      <c r="H41" s="24">
        <v>1262600</v>
      </c>
      <c r="J41" s="26">
        <f>SUM(E41:H41)</f>
        <v>5103020</v>
      </c>
      <c r="K41" s="30">
        <f>J41/12</f>
        <v>425251.66666666669</v>
      </c>
      <c r="M41" s="30">
        <f>J41</f>
        <v>5103020</v>
      </c>
      <c r="N41" s="30">
        <f>SUM(M39:M41)</f>
        <v>15068882.068965517</v>
      </c>
      <c r="O41" s="9"/>
      <c r="P41" s="9"/>
    </row>
    <row r="42" spans="2:21" x14ac:dyDescent="0.35">
      <c r="M42" s="4"/>
      <c r="N42" s="9"/>
    </row>
    <row r="43" spans="2:21" x14ac:dyDescent="0.35">
      <c r="M43" s="4"/>
      <c r="N43" s="9"/>
    </row>
    <row r="45" spans="2:21" x14ac:dyDescent="0.35">
      <c r="C45" s="28" t="s">
        <v>67</v>
      </c>
      <c r="E45" s="6">
        <v>46023</v>
      </c>
      <c r="F45" s="6">
        <f t="shared" ref="F45:J45" si="0">EDATE(E45,1)</f>
        <v>46054</v>
      </c>
      <c r="G45" s="6">
        <f t="shared" si="0"/>
        <v>46082</v>
      </c>
      <c r="H45" s="6">
        <f t="shared" si="0"/>
        <v>46113</v>
      </c>
      <c r="I45" s="6">
        <f t="shared" si="0"/>
        <v>46143</v>
      </c>
      <c r="J45" s="6">
        <f t="shared" si="0"/>
        <v>46174</v>
      </c>
      <c r="K45" s="6">
        <f>EDATE(J45,1)</f>
        <v>46204</v>
      </c>
      <c r="L45" s="6">
        <f t="shared" ref="L45:N45" si="1">EDATE(K45,1)</f>
        <v>46235</v>
      </c>
      <c r="M45" s="6">
        <f t="shared" si="1"/>
        <v>46266</v>
      </c>
      <c r="N45" s="6">
        <f t="shared" si="1"/>
        <v>46296</v>
      </c>
      <c r="O45" s="6">
        <f>EDATE(N45,1)</f>
        <v>46327</v>
      </c>
      <c r="P45" s="6">
        <f t="shared" ref="P45" si="2">EDATE(O45,1)</f>
        <v>46357</v>
      </c>
      <c r="R45" s="7" t="s">
        <v>19</v>
      </c>
      <c r="S45" s="2" t="s">
        <v>130</v>
      </c>
    </row>
    <row r="46" spans="2:21" x14ac:dyDescent="0.35">
      <c r="B46" s="17" t="s">
        <v>63</v>
      </c>
      <c r="C46" s="24" t="s">
        <v>217</v>
      </c>
      <c r="D46" s="25" t="s">
        <v>64</v>
      </c>
      <c r="E46" s="24">
        <f>E39/3</f>
        <v>112000</v>
      </c>
      <c r="F46" s="24">
        <f t="shared" ref="F46:H48" si="3">E46</f>
        <v>112000</v>
      </c>
      <c r="G46" s="24">
        <f t="shared" si="3"/>
        <v>112000</v>
      </c>
      <c r="H46" s="24">
        <f t="shared" si="3"/>
        <v>112000</v>
      </c>
      <c r="I46" s="24">
        <f>F39/3</f>
        <v>112000</v>
      </c>
      <c r="J46" s="24">
        <f>I46</f>
        <v>112000</v>
      </c>
      <c r="K46" s="24">
        <f>J46</f>
        <v>112000</v>
      </c>
      <c r="L46" s="24">
        <f>G39/3</f>
        <v>112000</v>
      </c>
      <c r="M46" s="24">
        <f>L46</f>
        <v>112000</v>
      </c>
      <c r="N46" s="24">
        <f>M46</f>
        <v>112000</v>
      </c>
      <c r="O46" s="24">
        <f>H39/3</f>
        <v>112000</v>
      </c>
      <c r="P46" s="24">
        <f>O46</f>
        <v>112000</v>
      </c>
      <c r="R46" s="24">
        <f>SUM(E46:P46)</f>
        <v>1344000</v>
      </c>
      <c r="S46" s="38">
        <f>R46-J39</f>
        <v>0</v>
      </c>
      <c r="T46" s="9"/>
      <c r="U46" s="9"/>
    </row>
    <row r="47" spans="2:21" x14ac:dyDescent="0.35">
      <c r="B47" s="17" t="s">
        <v>65</v>
      </c>
      <c r="C47" s="24" t="s">
        <v>218</v>
      </c>
      <c r="D47" s="25" t="s">
        <v>64</v>
      </c>
      <c r="E47" s="24">
        <f t="shared" ref="E47:E48" si="4">E40/3</f>
        <v>841253.33333333337</v>
      </c>
      <c r="F47" s="24">
        <f t="shared" si="3"/>
        <v>841253.33333333337</v>
      </c>
      <c r="G47" s="24">
        <f t="shared" si="3"/>
        <v>841253.33333333337</v>
      </c>
      <c r="H47" s="24">
        <f t="shared" si="3"/>
        <v>841253.33333333337</v>
      </c>
      <c r="I47" s="24">
        <f t="shared" ref="I47:I48" si="5">F40/3</f>
        <v>861520</v>
      </c>
      <c r="J47" s="24">
        <f t="shared" ref="J47:K48" si="6">I47</f>
        <v>861520</v>
      </c>
      <c r="K47" s="24">
        <f t="shared" si="6"/>
        <v>861520</v>
      </c>
      <c r="L47" s="24">
        <f t="shared" ref="L47:L48" si="7">G40/3</f>
        <v>852720</v>
      </c>
      <c r="M47" s="24">
        <f t="shared" ref="M47:N48" si="8">L47</f>
        <v>852720</v>
      </c>
      <c r="N47" s="24">
        <f t="shared" si="8"/>
        <v>852720</v>
      </c>
      <c r="O47" s="24">
        <f t="shared" ref="O47:O48" si="9">H40/3</f>
        <v>849973.33333333337</v>
      </c>
      <c r="P47" s="24">
        <f t="shared" ref="P47:P48" si="10">O47</f>
        <v>849973.33333333337</v>
      </c>
      <c r="R47" s="24">
        <f t="shared" ref="R47:R48" si="11">SUM(E47:P47)</f>
        <v>10207680.000000002</v>
      </c>
      <c r="S47" s="38">
        <f t="shared" ref="S47:S48" si="12">R47-J40</f>
        <v>-8719.9999999981374</v>
      </c>
      <c r="T47" s="9"/>
      <c r="U47" s="9"/>
    </row>
    <row r="48" spans="2:21" x14ac:dyDescent="0.35">
      <c r="B48" s="17" t="s">
        <v>65</v>
      </c>
      <c r="C48" s="24" t="s">
        <v>219</v>
      </c>
      <c r="D48" s="25" t="s">
        <v>66</v>
      </c>
      <c r="E48" s="24">
        <f t="shared" si="4"/>
        <v>416446.66666666669</v>
      </c>
      <c r="F48" s="24">
        <f t="shared" si="3"/>
        <v>416446.66666666669</v>
      </c>
      <c r="G48" s="24">
        <f t="shared" si="3"/>
        <v>416446.66666666669</v>
      </c>
      <c r="H48" s="24">
        <f t="shared" si="3"/>
        <v>416446.66666666669</v>
      </c>
      <c r="I48" s="24">
        <f t="shared" si="5"/>
        <v>431846.66666666669</v>
      </c>
      <c r="J48" s="24">
        <f t="shared" si="6"/>
        <v>431846.66666666669</v>
      </c>
      <c r="K48" s="24">
        <f t="shared" si="6"/>
        <v>431846.66666666669</v>
      </c>
      <c r="L48" s="24">
        <f t="shared" si="7"/>
        <v>431846.66666666669</v>
      </c>
      <c r="M48" s="24">
        <f t="shared" si="8"/>
        <v>431846.66666666669</v>
      </c>
      <c r="N48" s="24">
        <f t="shared" si="8"/>
        <v>431846.66666666669</v>
      </c>
      <c r="O48" s="24">
        <f t="shared" si="9"/>
        <v>420866.66666666669</v>
      </c>
      <c r="P48" s="24">
        <f t="shared" si="10"/>
        <v>420866.66666666669</v>
      </c>
      <c r="R48" s="24">
        <f t="shared" si="11"/>
        <v>5098600</v>
      </c>
      <c r="S48" s="38">
        <f t="shared" si="12"/>
        <v>-4420</v>
      </c>
      <c r="T48" s="9"/>
      <c r="U48" s="9"/>
    </row>
    <row r="51" spans="2:19" x14ac:dyDescent="0.35">
      <c r="B51" s="79" t="s">
        <v>24</v>
      </c>
    </row>
    <row r="53" spans="2:19" x14ac:dyDescent="0.35">
      <c r="B53" s="31"/>
      <c r="C53" s="3" t="s">
        <v>93</v>
      </c>
    </row>
    <row r="54" spans="2:19" x14ac:dyDescent="0.35">
      <c r="C54" s="3"/>
    </row>
    <row r="55" spans="2:19" x14ac:dyDescent="0.35">
      <c r="C55" s="10"/>
      <c r="E55" s="16" t="s">
        <v>189</v>
      </c>
      <c r="F55" s="16" t="s">
        <v>190</v>
      </c>
      <c r="G55" s="16" t="s">
        <v>191</v>
      </c>
      <c r="H55" s="16" t="s">
        <v>192</v>
      </c>
      <c r="I55" s="4"/>
      <c r="J55" s="16" t="s">
        <v>19</v>
      </c>
    </row>
    <row r="56" spans="2:19" x14ac:dyDescent="0.35">
      <c r="C56" s="17" t="s">
        <v>94</v>
      </c>
      <c r="D56" s="25" t="s">
        <v>53</v>
      </c>
      <c r="E56" s="17">
        <v>14155070.643333331</v>
      </c>
      <c r="F56" s="17">
        <v>13790285.643333331</v>
      </c>
      <c r="G56" s="17">
        <v>14575851.309999995</v>
      </c>
      <c r="H56" s="17">
        <v>15386524.643333327</v>
      </c>
      <c r="I56" s="4"/>
      <c r="J56" s="17">
        <f>SUM(E56:H56)</f>
        <v>57907732.23999998</v>
      </c>
    </row>
    <row r="57" spans="2:19" x14ac:dyDescent="0.35">
      <c r="C57" s="27" t="s">
        <v>67</v>
      </c>
      <c r="D57" s="73" t="s">
        <v>53</v>
      </c>
      <c r="E57" s="27">
        <v>4718356.8811111106</v>
      </c>
      <c r="F57" s="27">
        <v>4596761.8811111106</v>
      </c>
      <c r="G57" s="27">
        <v>4858617.1033333316</v>
      </c>
      <c r="H57" s="27">
        <v>5128841.5477777757</v>
      </c>
      <c r="I57" s="74"/>
      <c r="J57" s="27">
        <f>SUM(E57:H57)</f>
        <v>19302577.413333327</v>
      </c>
    </row>
    <row r="58" spans="2:19" ht="6" customHeight="1" x14ac:dyDescent="0.35"/>
    <row r="59" spans="2:19" ht="21" customHeight="1" x14ac:dyDescent="0.35"/>
    <row r="60" spans="2:19" x14ac:dyDescent="0.35">
      <c r="E60" s="6">
        <v>46023</v>
      </c>
      <c r="F60" s="6">
        <f t="shared" ref="F60:J60" si="13">EDATE(E60,1)</f>
        <v>46054</v>
      </c>
      <c r="G60" s="6">
        <f t="shared" si="13"/>
        <v>46082</v>
      </c>
      <c r="H60" s="6">
        <f t="shared" si="13"/>
        <v>46113</v>
      </c>
      <c r="I60" s="6">
        <f t="shared" si="13"/>
        <v>46143</v>
      </c>
      <c r="J60" s="6">
        <f t="shared" si="13"/>
        <v>46174</v>
      </c>
      <c r="K60" s="6">
        <f>EDATE(J60,1)</f>
        <v>46204</v>
      </c>
      <c r="L60" s="6">
        <f t="shared" ref="L60:N60" si="14">EDATE(K60,1)</f>
        <v>46235</v>
      </c>
      <c r="M60" s="6">
        <f t="shared" si="14"/>
        <v>46266</v>
      </c>
      <c r="N60" s="6">
        <f t="shared" si="14"/>
        <v>46296</v>
      </c>
      <c r="O60" s="6">
        <f>EDATE(N60,1)</f>
        <v>46327</v>
      </c>
      <c r="P60" s="6">
        <f t="shared" ref="P60" si="15">EDATE(O60,1)</f>
        <v>46357</v>
      </c>
      <c r="R60" s="7" t="s">
        <v>19</v>
      </c>
      <c r="S60" t="s">
        <v>115</v>
      </c>
    </row>
    <row r="61" spans="2:19" x14ac:dyDescent="0.35">
      <c r="C61" s="17" t="s">
        <v>69</v>
      </c>
      <c r="D61" s="25" t="s">
        <v>53</v>
      </c>
      <c r="E61" s="24">
        <f>E57</f>
        <v>4718356.8811111106</v>
      </c>
      <c r="F61" s="24">
        <f>E61</f>
        <v>4718356.8811111106</v>
      </c>
      <c r="G61" s="24">
        <f>F61</f>
        <v>4718356.8811111106</v>
      </c>
      <c r="H61" s="24">
        <f>G61</f>
        <v>4718356.8811111106</v>
      </c>
      <c r="I61" s="24">
        <f>F57</f>
        <v>4596761.8811111106</v>
      </c>
      <c r="J61" s="24">
        <f>I61</f>
        <v>4596761.8811111106</v>
      </c>
      <c r="K61" s="24">
        <f>J61</f>
        <v>4596761.8811111106</v>
      </c>
      <c r="L61" s="24">
        <f>G57</f>
        <v>4858617.1033333316</v>
      </c>
      <c r="M61" s="24">
        <f>L61</f>
        <v>4858617.1033333316</v>
      </c>
      <c r="N61" s="24">
        <f>M61</f>
        <v>4858617.1033333316</v>
      </c>
      <c r="O61" s="24">
        <f>H57</f>
        <v>5128841.5477777757</v>
      </c>
      <c r="P61" s="24">
        <f>O61</f>
        <v>5128841.5477777757</v>
      </c>
      <c r="R61" s="24">
        <f>SUM(E61:P61)</f>
        <v>57497247.573333323</v>
      </c>
      <c r="S61" s="9">
        <f>R61-J56</f>
        <v>-410484.66666665673</v>
      </c>
    </row>
    <row r="63" spans="2:19" x14ac:dyDescent="0.35">
      <c r="B63" s="79" t="s">
        <v>24</v>
      </c>
      <c r="C63" s="3" t="s">
        <v>71</v>
      </c>
    </row>
    <row r="64" spans="2:19" x14ac:dyDescent="0.35">
      <c r="E64" s="16" t="s">
        <v>189</v>
      </c>
      <c r="F64" s="16" t="s">
        <v>190</v>
      </c>
      <c r="G64" s="16" t="s">
        <v>191</v>
      </c>
      <c r="H64" s="16" t="s">
        <v>192</v>
      </c>
      <c r="I64" s="4"/>
      <c r="J64" s="16" t="s">
        <v>19</v>
      </c>
    </row>
    <row r="65" spans="2:19" x14ac:dyDescent="0.35">
      <c r="C65" s="17" t="s">
        <v>68</v>
      </c>
      <c r="D65" s="25" t="s">
        <v>54</v>
      </c>
      <c r="E65" s="17">
        <v>7957968.6799999997</v>
      </c>
      <c r="F65" s="17">
        <v>8078711.5199999996</v>
      </c>
      <c r="G65" s="17">
        <v>16198996.149999999</v>
      </c>
      <c r="H65" s="17">
        <v>9877439.5199999996</v>
      </c>
      <c r="I65" s="4"/>
      <c r="J65" s="17">
        <f>SUM(E65:H65)</f>
        <v>42113115.869999997</v>
      </c>
    </row>
    <row r="66" spans="2:19" x14ac:dyDescent="0.35">
      <c r="C66" s="27" t="s">
        <v>67</v>
      </c>
      <c r="D66" s="73" t="s">
        <v>54</v>
      </c>
      <c r="E66" s="27">
        <v>2652656.2266666666</v>
      </c>
      <c r="F66" s="27">
        <v>2692903.84</v>
      </c>
      <c r="G66" s="27">
        <v>5399665.3833333328</v>
      </c>
      <c r="H66" s="27">
        <v>3292479.84</v>
      </c>
      <c r="I66" s="74"/>
      <c r="J66" s="27">
        <f t="shared" ref="J66" si="16">SUM(E66:H66)</f>
        <v>14037705.289999999</v>
      </c>
    </row>
    <row r="68" spans="2:19" x14ac:dyDescent="0.35">
      <c r="E68" s="6">
        <v>46023</v>
      </c>
      <c r="F68" s="6">
        <f t="shared" ref="F68:J68" si="17">EDATE(E68,1)</f>
        <v>46054</v>
      </c>
      <c r="G68" s="6">
        <f t="shared" si="17"/>
        <v>46082</v>
      </c>
      <c r="H68" s="6">
        <f t="shared" si="17"/>
        <v>46113</v>
      </c>
      <c r="I68" s="6">
        <f t="shared" si="17"/>
        <v>46143</v>
      </c>
      <c r="J68" s="6">
        <f t="shared" si="17"/>
        <v>46174</v>
      </c>
      <c r="K68" s="6">
        <f>EDATE(J68,1)</f>
        <v>46204</v>
      </c>
      <c r="L68" s="6">
        <f t="shared" ref="L68:N68" si="18">EDATE(K68,1)</f>
        <v>46235</v>
      </c>
      <c r="M68" s="6">
        <f t="shared" si="18"/>
        <v>46266</v>
      </c>
      <c r="N68" s="6">
        <f t="shared" si="18"/>
        <v>46296</v>
      </c>
      <c r="O68" s="6">
        <f>EDATE(N68,1)</f>
        <v>46327</v>
      </c>
      <c r="P68" s="6">
        <f t="shared" ref="P68" si="19">EDATE(O68,1)</f>
        <v>46357</v>
      </c>
      <c r="R68" s="7" t="s">
        <v>19</v>
      </c>
      <c r="S68" t="s">
        <v>115</v>
      </c>
    </row>
    <row r="69" spans="2:19" x14ac:dyDescent="0.35">
      <c r="C69" s="17" t="s">
        <v>60</v>
      </c>
      <c r="D69" s="25" t="s">
        <v>54</v>
      </c>
      <c r="E69" s="24">
        <f>E66</f>
        <v>2652656.2266666666</v>
      </c>
      <c r="F69" s="24">
        <f>E69</f>
        <v>2652656.2266666666</v>
      </c>
      <c r="G69" s="24">
        <f>F69</f>
        <v>2652656.2266666666</v>
      </c>
      <c r="H69" s="24">
        <f>G69</f>
        <v>2652656.2266666666</v>
      </c>
      <c r="I69" s="24">
        <f>F66</f>
        <v>2692903.84</v>
      </c>
      <c r="J69" s="24">
        <f>I69</f>
        <v>2692903.84</v>
      </c>
      <c r="K69" s="24">
        <f>J69</f>
        <v>2692903.84</v>
      </c>
      <c r="L69" s="24">
        <f>G66</f>
        <v>5399665.3833333328</v>
      </c>
      <c r="M69" s="24">
        <f>L69</f>
        <v>5399665.3833333328</v>
      </c>
      <c r="N69" s="24">
        <f>M69</f>
        <v>5399665.3833333328</v>
      </c>
      <c r="O69" s="24">
        <f>H66</f>
        <v>3292479.84</v>
      </c>
      <c r="P69" s="24">
        <f>O69</f>
        <v>3292479.84</v>
      </c>
      <c r="R69" s="24">
        <f>SUM(E69:P69)</f>
        <v>41473292.256666675</v>
      </c>
      <c r="S69" s="9">
        <f>R69-J65</f>
        <v>-639823.61333332211</v>
      </c>
    </row>
    <row r="72" spans="2:19" x14ac:dyDescent="0.35">
      <c r="B72" s="79" t="s">
        <v>25</v>
      </c>
      <c r="C72" s="3" t="s">
        <v>87</v>
      </c>
    </row>
    <row r="73" spans="2:19" x14ac:dyDescent="0.35">
      <c r="E73" s="16" t="s">
        <v>189</v>
      </c>
      <c r="F73" s="16" t="s">
        <v>190</v>
      </c>
      <c r="G73" s="16" t="s">
        <v>191</v>
      </c>
      <c r="H73" s="16" t="s">
        <v>192</v>
      </c>
      <c r="I73" s="4"/>
      <c r="J73" s="16" t="s">
        <v>19</v>
      </c>
    </row>
    <row r="74" spans="2:19" x14ac:dyDescent="0.35">
      <c r="C74" s="17" t="s">
        <v>68</v>
      </c>
      <c r="D74" s="25" t="s">
        <v>54</v>
      </c>
      <c r="E74" s="17">
        <v>2837755.25</v>
      </c>
      <c r="F74" s="17">
        <v>2610910.25</v>
      </c>
      <c r="G74" s="17">
        <v>7657210.25</v>
      </c>
      <c r="H74" s="17">
        <v>7999594.25</v>
      </c>
      <c r="I74" s="4"/>
      <c r="J74" s="17">
        <f>SUM(E74:H74)</f>
        <v>21105470</v>
      </c>
    </row>
    <row r="75" spans="2:19" x14ac:dyDescent="0.35">
      <c r="C75" s="27" t="s">
        <v>67</v>
      </c>
      <c r="D75" s="73" t="s">
        <v>54</v>
      </c>
      <c r="E75" s="27">
        <v>945918.41666666663</v>
      </c>
      <c r="F75" s="27">
        <v>870303.41666666663</v>
      </c>
      <c r="G75" s="27">
        <v>2552403.4166666665</v>
      </c>
      <c r="H75" s="27">
        <v>2666531.4166666665</v>
      </c>
      <c r="I75" s="74"/>
      <c r="J75" s="27">
        <f t="shared" ref="J75" si="20">SUM(E75:H75)</f>
        <v>7035156.666666666</v>
      </c>
    </row>
    <row r="78" spans="2:19" x14ac:dyDescent="0.35">
      <c r="E78" s="6">
        <v>46023</v>
      </c>
      <c r="F78" s="6">
        <f t="shared" ref="F78:J78" si="21">EDATE(E78,1)</f>
        <v>46054</v>
      </c>
      <c r="G78" s="6">
        <f t="shared" si="21"/>
        <v>46082</v>
      </c>
      <c r="H78" s="6">
        <f t="shared" si="21"/>
        <v>46113</v>
      </c>
      <c r="I78" s="6">
        <f t="shared" si="21"/>
        <v>46143</v>
      </c>
      <c r="J78" s="6">
        <f t="shared" si="21"/>
        <v>46174</v>
      </c>
      <c r="K78" s="6">
        <f>EDATE(J78,1)</f>
        <v>46204</v>
      </c>
      <c r="L78" s="6">
        <f t="shared" ref="L78:N78" si="22">EDATE(K78,1)</f>
        <v>46235</v>
      </c>
      <c r="M78" s="6">
        <f t="shared" si="22"/>
        <v>46266</v>
      </c>
      <c r="N78" s="6">
        <f t="shared" si="22"/>
        <v>46296</v>
      </c>
      <c r="O78" s="6">
        <f>EDATE(N78,1)</f>
        <v>46327</v>
      </c>
      <c r="P78" s="6">
        <f t="shared" ref="P78" si="23">EDATE(O78,1)</f>
        <v>46357</v>
      </c>
      <c r="R78" s="7" t="s">
        <v>19</v>
      </c>
    </row>
    <row r="79" spans="2:19" x14ac:dyDescent="0.35">
      <c r="C79" s="17" t="s">
        <v>60</v>
      </c>
      <c r="D79" s="25" t="s">
        <v>54</v>
      </c>
      <c r="E79" s="24">
        <f>E75</f>
        <v>945918.41666666663</v>
      </c>
      <c r="F79" s="24">
        <f>E79</f>
        <v>945918.41666666663</v>
      </c>
      <c r="G79" s="24">
        <f>F79</f>
        <v>945918.41666666663</v>
      </c>
      <c r="H79" s="24">
        <f>G79</f>
        <v>945918.41666666663</v>
      </c>
      <c r="I79" s="24">
        <f>F75</f>
        <v>870303.41666666663</v>
      </c>
      <c r="J79" s="24">
        <f>I79</f>
        <v>870303.41666666663</v>
      </c>
      <c r="K79" s="24">
        <f>J79</f>
        <v>870303.41666666663</v>
      </c>
      <c r="L79" s="24">
        <f>G75</f>
        <v>2552403.4166666665</v>
      </c>
      <c r="M79" s="24">
        <f>L79</f>
        <v>2552403.4166666665</v>
      </c>
      <c r="N79" s="24">
        <f>M79</f>
        <v>2552403.4166666665</v>
      </c>
      <c r="O79" s="24">
        <f>H75</f>
        <v>2666531.4166666665</v>
      </c>
      <c r="P79" s="24">
        <f>O79</f>
        <v>2666531.4166666665</v>
      </c>
      <c r="R79" s="24">
        <f>SUM(E79:P79)</f>
        <v>19384857</v>
      </c>
    </row>
    <row r="83" spans="2:9" x14ac:dyDescent="0.35">
      <c r="B83" s="36" t="s">
        <v>213</v>
      </c>
      <c r="C83" t="s">
        <v>214</v>
      </c>
    </row>
    <row r="84" spans="2:9" x14ac:dyDescent="0.35">
      <c r="C84" s="2" t="s">
        <v>290</v>
      </c>
    </row>
    <row r="85" spans="2:9" x14ac:dyDescent="0.35">
      <c r="C85" s="2" t="s">
        <v>215</v>
      </c>
    </row>
    <row r="86" spans="2:9" x14ac:dyDescent="0.35">
      <c r="C86" s="2" t="s">
        <v>216</v>
      </c>
    </row>
    <row r="87" spans="2:9" x14ac:dyDescent="0.35">
      <c r="C87" t="s">
        <v>291</v>
      </c>
    </row>
    <row r="88" spans="2:9" x14ac:dyDescent="0.35">
      <c r="C88" s="2" t="s">
        <v>292</v>
      </c>
    </row>
    <row r="89" spans="2:9" x14ac:dyDescent="0.35">
      <c r="C89" s="2"/>
    </row>
    <row r="91" spans="2:9" ht="16" x14ac:dyDescent="0.4">
      <c r="B91" s="87" t="s">
        <v>264</v>
      </c>
      <c r="D91" s="88"/>
      <c r="E91" s="88"/>
      <c r="F91" s="88"/>
      <c r="G91" s="88"/>
      <c r="H91" s="88"/>
      <c r="I91" s="88"/>
    </row>
    <row r="92" spans="2:9" ht="16" x14ac:dyDescent="0.4">
      <c r="C92" s="88"/>
      <c r="D92" s="88"/>
      <c r="E92" s="88"/>
      <c r="F92" s="88"/>
      <c r="G92" s="88"/>
      <c r="H92" s="88"/>
      <c r="I92" s="88"/>
    </row>
    <row r="93" spans="2:9" ht="16" x14ac:dyDescent="0.4">
      <c r="C93" s="89"/>
      <c r="D93" s="90"/>
      <c r="E93" s="89" t="s">
        <v>265</v>
      </c>
      <c r="F93" s="88"/>
      <c r="G93" s="89" t="s">
        <v>96</v>
      </c>
      <c r="H93" s="89" t="s">
        <v>266</v>
      </c>
      <c r="I93" s="88"/>
    </row>
    <row r="94" spans="2:9" ht="16" x14ac:dyDescent="0.4">
      <c r="C94" s="91" t="s">
        <v>267</v>
      </c>
      <c r="D94" s="92">
        <v>380000</v>
      </c>
      <c r="E94" s="93">
        <v>46327</v>
      </c>
      <c r="F94" s="88" t="s">
        <v>268</v>
      </c>
      <c r="G94" s="93" t="s">
        <v>269</v>
      </c>
      <c r="H94" s="94"/>
      <c r="I94" s="88"/>
    </row>
    <row r="95" spans="2:9" ht="16" x14ac:dyDescent="0.4">
      <c r="C95" s="91" t="s">
        <v>270</v>
      </c>
      <c r="D95" s="92">
        <v>3594680.82</v>
      </c>
      <c r="E95" s="95">
        <v>46082</v>
      </c>
      <c r="F95" s="88" t="s">
        <v>271</v>
      </c>
      <c r="G95" s="95" t="s">
        <v>192</v>
      </c>
      <c r="H95" s="94">
        <f>D95*10^-6</f>
        <v>3.5946808199999998</v>
      </c>
      <c r="I95" s="88"/>
    </row>
    <row r="96" spans="2:9" ht="16" x14ac:dyDescent="0.4">
      <c r="C96" s="91" t="s">
        <v>272</v>
      </c>
      <c r="D96" s="92">
        <v>4144364.39</v>
      </c>
      <c r="E96" s="95">
        <v>46082</v>
      </c>
      <c r="F96" s="88" t="s">
        <v>271</v>
      </c>
      <c r="G96" s="95" t="s">
        <v>192</v>
      </c>
      <c r="H96" s="94">
        <f>D96*10^-6</f>
        <v>4.1443643899999998</v>
      </c>
      <c r="I96" s="96">
        <f>H96+H95</f>
        <v>7.7390452099999996</v>
      </c>
    </row>
    <row r="97" spans="2:9" ht="16" x14ac:dyDescent="0.4">
      <c r="C97" s="91" t="s">
        <v>273</v>
      </c>
      <c r="D97" s="92">
        <v>5538475.8099999996</v>
      </c>
      <c r="E97" s="95">
        <v>47818</v>
      </c>
      <c r="F97" s="88" t="s">
        <v>271</v>
      </c>
      <c r="G97" s="95" t="s">
        <v>274</v>
      </c>
      <c r="H97" s="94">
        <f>D97*10^-6</f>
        <v>5.5384758099999996</v>
      </c>
      <c r="I97" s="88"/>
    </row>
    <row r="98" spans="2:9" ht="16" x14ac:dyDescent="0.4">
      <c r="C98" s="91" t="s">
        <v>275</v>
      </c>
      <c r="D98" s="92">
        <v>129037.5</v>
      </c>
      <c r="E98" s="93">
        <v>46327</v>
      </c>
      <c r="F98" s="88" t="s">
        <v>268</v>
      </c>
      <c r="G98" s="93" t="s">
        <v>269</v>
      </c>
      <c r="H98" s="94"/>
      <c r="I98" s="88"/>
    </row>
    <row r="100" spans="2:9" x14ac:dyDescent="0.35">
      <c r="B100" s="10" t="s">
        <v>300</v>
      </c>
    </row>
    <row r="101" spans="2:9" x14ac:dyDescent="0.35">
      <c r="C101" t="s">
        <v>301</v>
      </c>
      <c r="D101" s="4">
        <v>1832000</v>
      </c>
      <c r="E101" t="s">
        <v>66</v>
      </c>
    </row>
    <row r="102" spans="2:9" x14ac:dyDescent="0.35">
      <c r="C102" t="s">
        <v>302</v>
      </c>
      <c r="D102" s="4">
        <v>22000</v>
      </c>
      <c r="E102" t="s">
        <v>64</v>
      </c>
      <c r="F102" t="s">
        <v>314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9625D-1C3B-4D00-AD29-FB1E9E124275}">
  <sheetPr>
    <tabColor theme="3" tint="0.749992370372631"/>
  </sheetPr>
  <dimension ref="D5:J47"/>
  <sheetViews>
    <sheetView topLeftCell="A10" workbookViewId="0">
      <selection activeCell="J45" sqref="J45"/>
    </sheetView>
  </sheetViews>
  <sheetFormatPr defaultColWidth="10.54296875" defaultRowHeight="14.5" x14ac:dyDescent="0.35"/>
  <cols>
    <col min="5" max="5" width="29.54296875" customWidth="1"/>
    <col min="6" max="6" width="13.81640625" bestFit="1" customWidth="1"/>
    <col min="7" max="7" width="15.54296875" bestFit="1" customWidth="1"/>
    <col min="10" max="10" width="14" bestFit="1" customWidth="1"/>
  </cols>
  <sheetData>
    <row r="5" spans="4:10" x14ac:dyDescent="0.35">
      <c r="E5" s="57" t="s">
        <v>193</v>
      </c>
      <c r="F5" s="4">
        <v>518978</v>
      </c>
      <c r="G5" t="s">
        <v>194</v>
      </c>
      <c r="H5" t="s">
        <v>195</v>
      </c>
    </row>
    <row r="6" spans="4:10" x14ac:dyDescent="0.35">
      <c r="E6" s="57" t="s">
        <v>196</v>
      </c>
      <c r="F6" s="4">
        <v>1563714</v>
      </c>
      <c r="G6" t="s">
        <v>194</v>
      </c>
      <c r="H6" t="s">
        <v>195</v>
      </c>
    </row>
    <row r="7" spans="4:10" x14ac:dyDescent="0.35">
      <c r="E7" s="57" t="s">
        <v>287</v>
      </c>
      <c r="F7" s="4">
        <v>1078090</v>
      </c>
      <c r="G7" t="s">
        <v>288</v>
      </c>
    </row>
    <row r="9" spans="4:10" x14ac:dyDescent="0.35">
      <c r="E9" t="s">
        <v>197</v>
      </c>
      <c r="F9" s="71">
        <v>2380320</v>
      </c>
    </row>
    <row r="11" spans="4:10" x14ac:dyDescent="0.35">
      <c r="D11" s="5"/>
      <c r="E11" s="5" t="s">
        <v>276</v>
      </c>
      <c r="F11" s="5"/>
      <c r="G11" s="5"/>
      <c r="H11" s="5"/>
      <c r="I11" s="5"/>
    </row>
    <row r="13" spans="4:10" x14ac:dyDescent="0.35">
      <c r="J13" t="s">
        <v>311</v>
      </c>
    </row>
    <row r="14" spans="4:10" x14ac:dyDescent="0.35">
      <c r="F14" t="s">
        <v>312</v>
      </c>
      <c r="J14" t="s">
        <v>286</v>
      </c>
    </row>
    <row r="15" spans="4:10" x14ac:dyDescent="0.35">
      <c r="E15" s="3" t="s">
        <v>278</v>
      </c>
      <c r="F15" s="61" t="s">
        <v>310</v>
      </c>
      <c r="G15" s="61" t="s">
        <v>309</v>
      </c>
      <c r="J15" s="101" t="s">
        <v>313</v>
      </c>
    </row>
    <row r="16" spans="4:10" x14ac:dyDescent="0.35">
      <c r="F16" s="61" t="s">
        <v>280</v>
      </c>
      <c r="G16" s="61" t="s">
        <v>281</v>
      </c>
    </row>
    <row r="17" spans="5:10" x14ac:dyDescent="0.35">
      <c r="F17" s="61" t="s">
        <v>279</v>
      </c>
      <c r="G17" s="61" t="s">
        <v>281</v>
      </c>
    </row>
    <row r="19" spans="5:10" x14ac:dyDescent="0.35">
      <c r="F19" t="s">
        <v>284</v>
      </c>
      <c r="G19" t="s">
        <v>285</v>
      </c>
    </row>
    <row r="20" spans="5:10" x14ac:dyDescent="0.35">
      <c r="F20" s="24">
        <v>14030820</v>
      </c>
      <c r="G20" s="24">
        <v>11294952</v>
      </c>
      <c r="J20" s="102">
        <f>(G20-F20)*10^-6</f>
        <v>-2.735868</v>
      </c>
    </row>
    <row r="21" spans="5:10" x14ac:dyDescent="0.35">
      <c r="J21" s="102"/>
    </row>
    <row r="22" spans="5:10" x14ac:dyDescent="0.35">
      <c r="J22" s="102"/>
    </row>
    <row r="23" spans="5:10" x14ac:dyDescent="0.35">
      <c r="E23" s="3" t="s">
        <v>282</v>
      </c>
      <c r="J23" s="102"/>
    </row>
    <row r="24" spans="5:10" x14ac:dyDescent="0.35">
      <c r="F24" t="s">
        <v>312</v>
      </c>
      <c r="J24" s="102"/>
    </row>
    <row r="25" spans="5:10" x14ac:dyDescent="0.35">
      <c r="F25" t="s">
        <v>283</v>
      </c>
      <c r="G25" t="s">
        <v>284</v>
      </c>
      <c r="H25" s="98">
        <v>9.5000000000000001E-2</v>
      </c>
      <c r="J25" s="102"/>
    </row>
    <row r="26" spans="5:10" x14ac:dyDescent="0.35">
      <c r="G26" t="s">
        <v>285</v>
      </c>
      <c r="H26" s="98">
        <v>2.5000000000000001E-2</v>
      </c>
      <c r="J26" s="102"/>
    </row>
    <row r="27" spans="5:10" x14ac:dyDescent="0.35">
      <c r="F27" t="s">
        <v>284</v>
      </c>
      <c r="G27" t="s">
        <v>285</v>
      </c>
      <c r="J27" s="102"/>
    </row>
    <row r="28" spans="5:10" x14ac:dyDescent="0.35">
      <c r="F28" s="24">
        <v>5185807.5960000008</v>
      </c>
      <c r="G28" s="24">
        <v>1367916.4160000002</v>
      </c>
      <c r="J28" s="102">
        <f>(G28-F28)*10^-6</f>
        <v>-3.8178911800000006</v>
      </c>
    </row>
    <row r="29" spans="5:10" x14ac:dyDescent="0.35">
      <c r="J29" s="102"/>
    </row>
    <row r="30" spans="5:10" x14ac:dyDescent="0.35">
      <c r="J30" s="102"/>
    </row>
    <row r="31" spans="5:10" x14ac:dyDescent="0.35">
      <c r="E31" s="3" t="s">
        <v>277</v>
      </c>
      <c r="F31" t="s">
        <v>284</v>
      </c>
      <c r="G31" t="s">
        <v>285</v>
      </c>
      <c r="J31" s="102"/>
    </row>
    <row r="32" spans="5:10" x14ac:dyDescent="0.35">
      <c r="E32" t="s">
        <v>24</v>
      </c>
      <c r="F32" s="24">
        <v>3740926.1616300014</v>
      </c>
      <c r="G32" s="24">
        <v>3059927</v>
      </c>
      <c r="J32" s="102">
        <f>(G32-F32)*144%*10^-6</f>
        <v>-0.98063879274720189</v>
      </c>
    </row>
    <row r="33" spans="5:10" x14ac:dyDescent="0.35">
      <c r="E33" t="s">
        <v>25</v>
      </c>
      <c r="F33" s="24">
        <v>1075771.04</v>
      </c>
      <c r="G33" s="24">
        <v>1142870</v>
      </c>
      <c r="J33" s="102">
        <f>(G33-F33)*115.5%*10^-6</f>
        <v>7.7499298799999963E-2</v>
      </c>
    </row>
    <row r="34" spans="5:10" x14ac:dyDescent="0.35">
      <c r="J34" s="102"/>
    </row>
    <row r="35" spans="5:10" x14ac:dyDescent="0.35">
      <c r="J35" s="102"/>
    </row>
    <row r="36" spans="5:10" x14ac:dyDescent="0.35">
      <c r="F36" t="s">
        <v>284</v>
      </c>
      <c r="G36" t="s">
        <v>285</v>
      </c>
      <c r="J36" s="102"/>
    </row>
    <row r="37" spans="5:10" x14ac:dyDescent="0.35">
      <c r="E37" s="3" t="s">
        <v>319</v>
      </c>
      <c r="F37" s="9">
        <f>'Data Budget'!F10</f>
        <v>770000</v>
      </c>
      <c r="G37">
        <f>'SA Reforecast'!R38</f>
        <v>845500</v>
      </c>
      <c r="J37" s="102">
        <f>(G37-F37)*120%*10^-6</f>
        <v>9.06E-2</v>
      </c>
    </row>
    <row r="38" spans="5:10" x14ac:dyDescent="0.35">
      <c r="J38" s="102"/>
    </row>
    <row r="39" spans="5:10" x14ac:dyDescent="0.35">
      <c r="F39" t="s">
        <v>284</v>
      </c>
      <c r="G39" t="s">
        <v>285</v>
      </c>
      <c r="J39" s="102"/>
    </row>
    <row r="40" spans="5:10" x14ac:dyDescent="0.35">
      <c r="E40" s="3" t="s">
        <v>75</v>
      </c>
      <c r="F40">
        <v>5</v>
      </c>
      <c r="G40">
        <v>3</v>
      </c>
      <c r="J40" s="102">
        <f>-(G40-F40)</f>
        <v>2</v>
      </c>
    </row>
    <row r="45" spans="5:10" x14ac:dyDescent="0.35">
      <c r="E45" s="3" t="s">
        <v>316</v>
      </c>
      <c r="J45">
        <v>4</v>
      </c>
    </row>
    <row r="47" spans="5:10" x14ac:dyDescent="0.35">
      <c r="J47" s="103">
        <f>SUM(J20:J40)</f>
        <v>-5.3662986739472016</v>
      </c>
    </row>
  </sheetData>
  <phoneticPr fontId="1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A4708-28AC-4847-A451-5FA7845FA4B8}">
  <sheetPr>
    <tabColor theme="1"/>
  </sheetPr>
  <dimension ref="A1"/>
  <sheetViews>
    <sheetView showGridLines="0" workbookViewId="0">
      <selection activeCell="P34" sqref="P34"/>
    </sheetView>
  </sheetViews>
  <sheetFormatPr defaultColWidth="10.54296875"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06A3E-BC70-4E6A-9EB8-17A89E7E0FE8}">
  <sheetPr>
    <tabColor theme="0" tint="-0.249977111117893"/>
  </sheetPr>
  <dimension ref="B2:AI126"/>
  <sheetViews>
    <sheetView showGridLines="0" topLeftCell="A2" zoomScaleNormal="100" workbookViewId="0">
      <pane xSplit="4" ySplit="6" topLeftCell="E38" activePane="bottomRight" state="frozen"/>
      <selection activeCell="I38" sqref="I38"/>
      <selection pane="topRight" activeCell="I38" sqref="I38"/>
      <selection pane="bottomLeft" activeCell="I38" sqref="I38"/>
      <selection pane="bottomRight" activeCell="E88" sqref="E88:E89"/>
    </sheetView>
  </sheetViews>
  <sheetFormatPr defaultColWidth="10.54296875" defaultRowHeight="14.5" x14ac:dyDescent="0.35"/>
  <cols>
    <col min="1" max="1" width="23" customWidth="1"/>
    <col min="2" max="2" width="44.26953125" bestFit="1" customWidth="1"/>
    <col min="3" max="3" width="2.54296875" bestFit="1" customWidth="1"/>
    <col min="4" max="4" width="2" customWidth="1"/>
    <col min="5" max="12" width="11.54296875" bestFit="1" customWidth="1"/>
    <col min="14" max="14" width="11.54296875" bestFit="1" customWidth="1"/>
    <col min="16" max="16" width="11.54296875" bestFit="1" customWidth="1"/>
    <col min="18" max="18" width="11.54296875" bestFit="1" customWidth="1"/>
  </cols>
  <sheetData>
    <row r="2" spans="2:18" x14ac:dyDescent="0.35">
      <c r="H2" t="s">
        <v>232</v>
      </c>
    </row>
    <row r="3" spans="2:18" x14ac:dyDescent="0.35">
      <c r="B3" s="3" t="s">
        <v>24</v>
      </c>
      <c r="C3" s="10"/>
      <c r="E3" s="3" t="s">
        <v>143</v>
      </c>
    </row>
    <row r="6" spans="2:18" x14ac:dyDescent="0.35">
      <c r="B6" s="3" t="s">
        <v>1</v>
      </c>
      <c r="C6" s="3"/>
      <c r="E6" s="47" t="s">
        <v>20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2:18" x14ac:dyDescent="0.35">
      <c r="E7" s="11">
        <v>46023</v>
      </c>
      <c r="F7" s="11">
        <f t="shared" ref="F7:P7" si="0">EDATE(E7,1)</f>
        <v>46054</v>
      </c>
      <c r="G7" s="11">
        <f t="shared" si="0"/>
        <v>46082</v>
      </c>
      <c r="H7" s="11">
        <f t="shared" si="0"/>
        <v>46113</v>
      </c>
      <c r="I7" s="11">
        <f t="shared" si="0"/>
        <v>46143</v>
      </c>
      <c r="J7" s="11">
        <f t="shared" si="0"/>
        <v>46174</v>
      </c>
      <c r="K7" s="11">
        <f>EDATE(J7,1)</f>
        <v>46204</v>
      </c>
      <c r="L7" s="11">
        <f t="shared" si="0"/>
        <v>46235</v>
      </c>
      <c r="M7" s="11">
        <f t="shared" si="0"/>
        <v>46266</v>
      </c>
      <c r="N7" s="11">
        <f t="shared" si="0"/>
        <v>46296</v>
      </c>
      <c r="O7" s="11">
        <f>EDATE(N7,1)</f>
        <v>46327</v>
      </c>
      <c r="P7" s="11">
        <f t="shared" si="0"/>
        <v>46357</v>
      </c>
      <c r="R7" s="15">
        <v>2026</v>
      </c>
    </row>
    <row r="8" spans="2:18" x14ac:dyDescent="0.35"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R8" s="1"/>
    </row>
    <row r="9" spans="2:18" x14ac:dyDescent="0.35">
      <c r="B9" s="70" t="s">
        <v>13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R9" s="1"/>
    </row>
    <row r="10" spans="2:18" x14ac:dyDescent="0.35">
      <c r="B10" s="5" t="s">
        <v>11</v>
      </c>
      <c r="C10" s="19" t="s">
        <v>162</v>
      </c>
      <c r="E10" s="46">
        <v>0</v>
      </c>
      <c r="F10" s="46">
        <v>0</v>
      </c>
      <c r="G10" s="46">
        <v>0</v>
      </c>
      <c r="H10" s="46">
        <v>0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v>0</v>
      </c>
      <c r="O10" s="46">
        <v>0</v>
      </c>
      <c r="P10" s="46">
        <v>0</v>
      </c>
      <c r="R10" s="8">
        <f t="shared" ref="R10:R57" si="1">SUM(E10:P10)</f>
        <v>0</v>
      </c>
    </row>
    <row r="11" spans="2:18" x14ac:dyDescent="0.35">
      <c r="B11" s="5" t="s">
        <v>12</v>
      </c>
      <c r="C11" s="19" t="s">
        <v>162</v>
      </c>
      <c r="E11" s="46">
        <v>599166.48333333328</v>
      </c>
      <c r="F11" s="46">
        <v>0</v>
      </c>
      <c r="G11" s="46">
        <v>0</v>
      </c>
      <c r="H11" s="46">
        <v>0</v>
      </c>
      <c r="I11" s="46">
        <v>0</v>
      </c>
      <c r="J11" s="46">
        <v>0</v>
      </c>
      <c r="K11" s="46">
        <v>0</v>
      </c>
      <c r="L11" s="46">
        <v>0</v>
      </c>
      <c r="M11" s="46">
        <v>0</v>
      </c>
      <c r="N11" s="46">
        <v>0</v>
      </c>
      <c r="O11" s="46">
        <v>0</v>
      </c>
      <c r="P11" s="46">
        <v>0</v>
      </c>
      <c r="R11" s="8">
        <f t="shared" si="1"/>
        <v>599166.48333333328</v>
      </c>
    </row>
    <row r="12" spans="2:18" x14ac:dyDescent="0.35">
      <c r="B12" s="5" t="s">
        <v>6</v>
      </c>
      <c r="C12" s="19" t="s">
        <v>162</v>
      </c>
      <c r="E12" s="46">
        <v>0</v>
      </c>
      <c r="F12" s="46">
        <v>0</v>
      </c>
      <c r="G12" s="46">
        <v>0</v>
      </c>
      <c r="H12" s="46">
        <v>0</v>
      </c>
      <c r="I12" s="46">
        <v>0</v>
      </c>
      <c r="J12" s="46">
        <v>0</v>
      </c>
      <c r="K12" s="46">
        <v>0</v>
      </c>
      <c r="L12" s="46">
        <v>0</v>
      </c>
      <c r="M12" s="46">
        <v>0</v>
      </c>
      <c r="N12" s="46">
        <v>0</v>
      </c>
      <c r="O12" s="46">
        <v>0</v>
      </c>
      <c r="P12" s="46">
        <v>0</v>
      </c>
      <c r="R12" s="8">
        <f t="shared" si="1"/>
        <v>0</v>
      </c>
    </row>
    <row r="13" spans="2:18" x14ac:dyDescent="0.35">
      <c r="B13" s="5" t="s">
        <v>7</v>
      </c>
      <c r="C13" s="19" t="s">
        <v>162</v>
      </c>
      <c r="E13" s="46">
        <v>1246050.2416666667</v>
      </c>
      <c r="F13" s="46">
        <v>0</v>
      </c>
      <c r="G13" s="46">
        <v>0</v>
      </c>
      <c r="H13" s="46">
        <v>0</v>
      </c>
      <c r="I13" s="46">
        <v>0</v>
      </c>
      <c r="J13" s="46">
        <v>0</v>
      </c>
      <c r="K13" s="46">
        <v>0</v>
      </c>
      <c r="L13" s="46">
        <v>0</v>
      </c>
      <c r="M13" s="46">
        <v>0</v>
      </c>
      <c r="N13" s="46">
        <v>0</v>
      </c>
      <c r="O13" s="46">
        <v>0</v>
      </c>
      <c r="P13" s="46">
        <v>0</v>
      </c>
      <c r="R13" s="8">
        <f t="shared" si="1"/>
        <v>1246050.2416666667</v>
      </c>
    </row>
    <row r="14" spans="2:18" x14ac:dyDescent="0.35">
      <c r="B14" s="5" t="s">
        <v>5</v>
      </c>
      <c r="C14" s="19" t="s">
        <v>162</v>
      </c>
      <c r="E14" s="46">
        <v>4790962.0000000009</v>
      </c>
      <c r="F14" s="46">
        <v>0</v>
      </c>
      <c r="G14" s="46">
        <v>0</v>
      </c>
      <c r="H14" s="46">
        <v>0</v>
      </c>
      <c r="I14" s="46">
        <v>0</v>
      </c>
      <c r="J14" s="46">
        <v>0</v>
      </c>
      <c r="K14" s="46">
        <v>0</v>
      </c>
      <c r="L14" s="46">
        <v>0</v>
      </c>
      <c r="M14" s="46">
        <v>0</v>
      </c>
      <c r="N14" s="46">
        <v>0</v>
      </c>
      <c r="O14" s="46">
        <v>0</v>
      </c>
      <c r="P14" s="46">
        <v>0</v>
      </c>
      <c r="R14" s="8">
        <f t="shared" si="1"/>
        <v>4790962.0000000009</v>
      </c>
    </row>
    <row r="15" spans="2:18" x14ac:dyDescent="0.35">
      <c r="B15" s="5" t="s">
        <v>4</v>
      </c>
      <c r="C15" s="19" t="s">
        <v>162</v>
      </c>
      <c r="E15" s="46">
        <v>1814129.3083333333</v>
      </c>
      <c r="F15" s="46">
        <v>0</v>
      </c>
      <c r="G15" s="46">
        <v>0</v>
      </c>
      <c r="H15" s="46">
        <v>0</v>
      </c>
      <c r="I15" s="46">
        <v>0</v>
      </c>
      <c r="J15" s="46">
        <v>0</v>
      </c>
      <c r="K15" s="46">
        <v>0</v>
      </c>
      <c r="L15" s="46">
        <v>0</v>
      </c>
      <c r="M15" s="46">
        <v>0</v>
      </c>
      <c r="N15" s="46">
        <v>0</v>
      </c>
      <c r="O15" s="46">
        <v>0</v>
      </c>
      <c r="P15" s="46">
        <v>0</v>
      </c>
      <c r="R15" s="8">
        <f t="shared" si="1"/>
        <v>1814129.3083333333</v>
      </c>
    </row>
    <row r="16" spans="2:18" x14ac:dyDescent="0.35">
      <c r="B16" s="5" t="s">
        <v>226</v>
      </c>
      <c r="C16" s="19" t="s">
        <v>162</v>
      </c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R16" s="8"/>
    </row>
    <row r="17" spans="2:20" x14ac:dyDescent="0.35">
      <c r="B17" s="5" t="s">
        <v>17</v>
      </c>
      <c r="C17" s="19" t="s">
        <v>162</v>
      </c>
      <c r="E17" s="46">
        <v>1308381.9500000002</v>
      </c>
      <c r="F17" s="46">
        <v>0</v>
      </c>
      <c r="G17" s="46">
        <v>0</v>
      </c>
      <c r="H17" s="46">
        <v>0</v>
      </c>
      <c r="I17" s="46">
        <v>0</v>
      </c>
      <c r="J17" s="46">
        <v>0</v>
      </c>
      <c r="K17" s="46">
        <v>0</v>
      </c>
      <c r="L17" s="46">
        <v>0</v>
      </c>
      <c r="M17" s="46">
        <v>0</v>
      </c>
      <c r="N17" s="46">
        <v>0</v>
      </c>
      <c r="O17" s="46">
        <v>0</v>
      </c>
      <c r="P17" s="46">
        <v>0</v>
      </c>
      <c r="R17" s="8">
        <f t="shared" si="1"/>
        <v>1308381.9500000002</v>
      </c>
    </row>
    <row r="18" spans="2:20" x14ac:dyDescent="0.35">
      <c r="B18" s="5" t="s">
        <v>18</v>
      </c>
      <c r="C18" s="19" t="s">
        <v>162</v>
      </c>
      <c r="E18" s="46">
        <v>214041.30000000002</v>
      </c>
      <c r="F18" s="46">
        <v>0</v>
      </c>
      <c r="G18" s="46">
        <v>0</v>
      </c>
      <c r="H18" s="46">
        <v>0</v>
      </c>
      <c r="I18" s="46">
        <v>0</v>
      </c>
      <c r="J18" s="46">
        <v>0</v>
      </c>
      <c r="K18" s="46">
        <v>0</v>
      </c>
      <c r="L18" s="46">
        <v>0</v>
      </c>
      <c r="M18" s="46">
        <v>0</v>
      </c>
      <c r="N18" s="46">
        <v>0</v>
      </c>
      <c r="O18" s="46">
        <v>0</v>
      </c>
      <c r="P18" s="46">
        <v>0</v>
      </c>
      <c r="R18" s="8">
        <f t="shared" si="1"/>
        <v>214041.30000000002</v>
      </c>
    </row>
    <row r="19" spans="2:20" x14ac:dyDescent="0.35">
      <c r="B19" s="5" t="s">
        <v>227</v>
      </c>
      <c r="C19" s="19" t="s">
        <v>162</v>
      </c>
      <c r="E19" s="46">
        <v>0</v>
      </c>
      <c r="F19" s="46">
        <v>0</v>
      </c>
      <c r="G19" s="46">
        <v>0</v>
      </c>
      <c r="H19" s="46">
        <v>0</v>
      </c>
      <c r="I19" s="46">
        <v>0</v>
      </c>
      <c r="J19" s="46">
        <v>0</v>
      </c>
      <c r="K19" s="46">
        <v>0</v>
      </c>
      <c r="L19" s="46">
        <v>0</v>
      </c>
      <c r="M19" s="46">
        <v>0</v>
      </c>
      <c r="N19" s="46">
        <v>0</v>
      </c>
      <c r="O19" s="46">
        <v>0</v>
      </c>
      <c r="P19" s="46">
        <v>0</v>
      </c>
      <c r="R19" s="8">
        <f t="shared" si="1"/>
        <v>0</v>
      </c>
    </row>
    <row r="20" spans="2:20" x14ac:dyDescent="0.35">
      <c r="B20" s="42" t="s">
        <v>50</v>
      </c>
      <c r="C20" s="19" t="s">
        <v>162</v>
      </c>
      <c r="E20" s="14">
        <f t="shared" ref="E20:P20" si="2">SUM(E10:E19)</f>
        <v>9972731.2833333351</v>
      </c>
      <c r="F20" s="14">
        <f t="shared" si="2"/>
        <v>0</v>
      </c>
      <c r="G20" s="14">
        <f t="shared" si="2"/>
        <v>0</v>
      </c>
      <c r="H20" s="14">
        <f t="shared" si="2"/>
        <v>0</v>
      </c>
      <c r="I20" s="14">
        <f t="shared" si="2"/>
        <v>0</v>
      </c>
      <c r="J20" s="14">
        <f t="shared" si="2"/>
        <v>0</v>
      </c>
      <c r="K20" s="14">
        <f t="shared" si="2"/>
        <v>0</v>
      </c>
      <c r="L20" s="14">
        <f t="shared" si="2"/>
        <v>0</v>
      </c>
      <c r="M20" s="14">
        <f t="shared" si="2"/>
        <v>0</v>
      </c>
      <c r="N20" s="14">
        <f t="shared" si="2"/>
        <v>0</v>
      </c>
      <c r="O20" s="14">
        <f t="shared" si="2"/>
        <v>0</v>
      </c>
      <c r="P20" s="14">
        <f t="shared" si="2"/>
        <v>0</v>
      </c>
      <c r="R20" s="14">
        <f t="shared" si="1"/>
        <v>9972731.2833333351</v>
      </c>
      <c r="T20" s="9"/>
    </row>
    <row r="21" spans="2:20" x14ac:dyDescent="0.35">
      <c r="Q21" s="9"/>
    </row>
    <row r="22" spans="2:20" x14ac:dyDescent="0.35">
      <c r="B22" s="5" t="s">
        <v>76</v>
      </c>
      <c r="C22" s="19" t="s">
        <v>162</v>
      </c>
      <c r="E22" s="46">
        <v>5117218.75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v>0</v>
      </c>
      <c r="O22" s="46">
        <v>0</v>
      </c>
      <c r="P22" s="46">
        <v>0</v>
      </c>
      <c r="R22" s="8">
        <f t="shared" si="1"/>
        <v>5117218.75</v>
      </c>
    </row>
    <row r="23" spans="2:20" x14ac:dyDescent="0.35">
      <c r="B23" s="5" t="s">
        <v>77</v>
      </c>
      <c r="C23" s="19" t="s">
        <v>162</v>
      </c>
      <c r="E23" s="46">
        <v>405647.09166666667</v>
      </c>
      <c r="F23" s="46">
        <v>0</v>
      </c>
      <c r="G23" s="46">
        <v>0</v>
      </c>
      <c r="H23" s="46">
        <v>0</v>
      </c>
      <c r="I23" s="46">
        <v>0</v>
      </c>
      <c r="J23" s="46">
        <v>0</v>
      </c>
      <c r="K23" s="46">
        <v>0</v>
      </c>
      <c r="L23" s="46">
        <v>0</v>
      </c>
      <c r="M23" s="46">
        <v>0</v>
      </c>
      <c r="N23" s="46">
        <v>0</v>
      </c>
      <c r="O23" s="46">
        <v>0</v>
      </c>
      <c r="P23" s="46">
        <v>0</v>
      </c>
      <c r="R23" s="8">
        <f t="shared" si="1"/>
        <v>405647.09166666667</v>
      </c>
    </row>
    <row r="24" spans="2:20" x14ac:dyDescent="0.35">
      <c r="B24" s="5" t="s">
        <v>80</v>
      </c>
      <c r="C24" s="19" t="s">
        <v>162</v>
      </c>
      <c r="E24" s="46">
        <v>17774.39</v>
      </c>
      <c r="F24" s="46">
        <v>0</v>
      </c>
      <c r="G24" s="46">
        <v>0</v>
      </c>
      <c r="H24" s="46">
        <v>0</v>
      </c>
      <c r="I24" s="46">
        <v>0</v>
      </c>
      <c r="J24" s="46">
        <v>0</v>
      </c>
      <c r="K24" s="46">
        <v>0</v>
      </c>
      <c r="L24" s="46">
        <v>0</v>
      </c>
      <c r="M24" s="46">
        <v>0</v>
      </c>
      <c r="N24" s="46">
        <v>0</v>
      </c>
      <c r="O24" s="46">
        <v>0</v>
      </c>
      <c r="P24" s="46">
        <v>0</v>
      </c>
      <c r="R24" s="8"/>
    </row>
    <row r="25" spans="2:20" x14ac:dyDescent="0.35">
      <c r="B25" s="42" t="s">
        <v>59</v>
      </c>
      <c r="C25" s="19" t="s">
        <v>162</v>
      </c>
      <c r="E25" s="14">
        <f t="shared" ref="E25:P25" si="3">SUM(E22:E24)</f>
        <v>5540640.2316666665</v>
      </c>
      <c r="F25" s="14">
        <f t="shared" si="3"/>
        <v>0</v>
      </c>
      <c r="G25" s="14">
        <f t="shared" si="3"/>
        <v>0</v>
      </c>
      <c r="H25" s="14">
        <f t="shared" si="3"/>
        <v>0</v>
      </c>
      <c r="I25" s="14">
        <f t="shared" si="3"/>
        <v>0</v>
      </c>
      <c r="J25" s="14">
        <f t="shared" si="3"/>
        <v>0</v>
      </c>
      <c r="K25" s="14">
        <f t="shared" si="3"/>
        <v>0</v>
      </c>
      <c r="L25" s="14">
        <f t="shared" si="3"/>
        <v>0</v>
      </c>
      <c r="M25" s="14">
        <f t="shared" si="3"/>
        <v>0</v>
      </c>
      <c r="N25" s="14">
        <f t="shared" si="3"/>
        <v>0</v>
      </c>
      <c r="O25" s="14">
        <f t="shared" si="3"/>
        <v>0</v>
      </c>
      <c r="P25" s="14">
        <f t="shared" si="3"/>
        <v>0</v>
      </c>
      <c r="R25" s="20">
        <f t="shared" ref="R25" si="4">SUM(E25:P25)</f>
        <v>5540640.2316666665</v>
      </c>
    </row>
    <row r="26" spans="2:20" x14ac:dyDescent="0.35"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</row>
    <row r="27" spans="2:20" x14ac:dyDescent="0.35">
      <c r="B27" s="42" t="s">
        <v>300</v>
      </c>
      <c r="C27" s="19" t="s">
        <v>162</v>
      </c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6"/>
      <c r="R27" s="52">
        <f t="shared" ref="R27" si="5">SUM(E27:P27)</f>
        <v>0</v>
      </c>
    </row>
    <row r="29" spans="2:20" x14ac:dyDescent="0.35">
      <c r="B29" s="5" t="s">
        <v>26</v>
      </c>
      <c r="C29" s="19" t="s">
        <v>162</v>
      </c>
      <c r="E29" s="46">
        <v>309076.43</v>
      </c>
      <c r="F29" s="46">
        <v>0</v>
      </c>
      <c r="G29" s="46">
        <v>0</v>
      </c>
      <c r="H29" s="46">
        <v>0</v>
      </c>
      <c r="I29" s="46">
        <v>0</v>
      </c>
      <c r="J29" s="46">
        <v>0</v>
      </c>
      <c r="K29" s="46">
        <v>0</v>
      </c>
      <c r="L29" s="46">
        <v>0</v>
      </c>
      <c r="M29" s="46">
        <v>0</v>
      </c>
      <c r="N29" s="46">
        <v>0</v>
      </c>
      <c r="O29" s="46">
        <v>0</v>
      </c>
      <c r="P29" s="46">
        <v>0</v>
      </c>
      <c r="R29" s="8">
        <f t="shared" si="1"/>
        <v>309076.43</v>
      </c>
    </row>
    <row r="30" spans="2:20" x14ac:dyDescent="0.35">
      <c r="B30" s="5" t="s">
        <v>27</v>
      </c>
      <c r="C30" s="19" t="s">
        <v>162</v>
      </c>
      <c r="E30" s="46">
        <v>0</v>
      </c>
      <c r="F30" s="46">
        <v>0</v>
      </c>
      <c r="G30" s="46">
        <v>0</v>
      </c>
      <c r="H30" s="46">
        <v>0</v>
      </c>
      <c r="I30" s="46">
        <v>0</v>
      </c>
      <c r="J30" s="46">
        <v>0</v>
      </c>
      <c r="K30" s="46">
        <v>0</v>
      </c>
      <c r="L30" s="46">
        <v>0</v>
      </c>
      <c r="M30" s="46">
        <v>0</v>
      </c>
      <c r="N30" s="46">
        <v>0</v>
      </c>
      <c r="O30" s="46">
        <v>0</v>
      </c>
      <c r="P30" s="46">
        <v>0</v>
      </c>
      <c r="R30" s="8">
        <f t="shared" si="1"/>
        <v>0</v>
      </c>
    </row>
    <row r="31" spans="2:20" x14ac:dyDescent="0.35">
      <c r="B31" s="5" t="s">
        <v>28</v>
      </c>
      <c r="C31" s="19" t="s">
        <v>162</v>
      </c>
      <c r="E31" s="46">
        <v>175083</v>
      </c>
      <c r="F31" s="46">
        <v>0</v>
      </c>
      <c r="G31" s="46">
        <v>0</v>
      </c>
      <c r="H31" s="46">
        <v>0</v>
      </c>
      <c r="I31" s="46">
        <v>0</v>
      </c>
      <c r="J31" s="46">
        <v>0</v>
      </c>
      <c r="K31" s="46">
        <v>0</v>
      </c>
      <c r="L31" s="46">
        <v>0</v>
      </c>
      <c r="M31" s="46">
        <v>0</v>
      </c>
      <c r="N31" s="46">
        <v>0</v>
      </c>
      <c r="O31" s="46">
        <v>0</v>
      </c>
      <c r="P31" s="46">
        <v>0</v>
      </c>
      <c r="R31" s="8">
        <f t="shared" si="1"/>
        <v>175083</v>
      </c>
    </row>
    <row r="32" spans="2:20" x14ac:dyDescent="0.35">
      <c r="B32" s="5" t="s">
        <v>29</v>
      </c>
      <c r="C32" s="19" t="s">
        <v>162</v>
      </c>
      <c r="E32" s="46">
        <v>70015.02</v>
      </c>
      <c r="F32" s="46">
        <v>0</v>
      </c>
      <c r="G32" s="46">
        <v>0</v>
      </c>
      <c r="H32" s="46">
        <v>0</v>
      </c>
      <c r="I32" s="46">
        <v>0</v>
      </c>
      <c r="J32" s="46">
        <v>0</v>
      </c>
      <c r="K32" s="46">
        <v>0</v>
      </c>
      <c r="L32" s="46">
        <v>0</v>
      </c>
      <c r="M32" s="46">
        <v>0</v>
      </c>
      <c r="N32" s="46">
        <v>0</v>
      </c>
      <c r="O32" s="46">
        <v>0</v>
      </c>
      <c r="P32" s="46">
        <v>0</v>
      </c>
      <c r="R32" s="8">
        <f t="shared" si="1"/>
        <v>70015.02</v>
      </c>
    </row>
    <row r="33" spans="2:18" x14ac:dyDescent="0.35">
      <c r="B33" s="5" t="s">
        <v>30</v>
      </c>
      <c r="C33" s="19" t="s">
        <v>162</v>
      </c>
      <c r="E33" s="46">
        <v>0</v>
      </c>
      <c r="F33" s="46">
        <v>0</v>
      </c>
      <c r="G33" s="46">
        <v>0</v>
      </c>
      <c r="H33" s="46">
        <v>0</v>
      </c>
      <c r="I33" s="46">
        <v>0</v>
      </c>
      <c r="J33" s="46">
        <v>0</v>
      </c>
      <c r="K33" s="46">
        <v>0</v>
      </c>
      <c r="L33" s="46">
        <v>0</v>
      </c>
      <c r="M33" s="46">
        <v>0</v>
      </c>
      <c r="N33" s="46">
        <v>0</v>
      </c>
      <c r="O33" s="46">
        <v>0</v>
      </c>
      <c r="P33" s="46">
        <v>0</v>
      </c>
      <c r="R33" s="8">
        <f t="shared" si="1"/>
        <v>0</v>
      </c>
    </row>
    <row r="34" spans="2:18" x14ac:dyDescent="0.35">
      <c r="B34" s="5" t="s">
        <v>31</v>
      </c>
      <c r="C34" s="19" t="s">
        <v>162</v>
      </c>
      <c r="E34" s="46">
        <v>6151.49</v>
      </c>
      <c r="F34" s="46">
        <v>0</v>
      </c>
      <c r="G34" s="46">
        <v>0</v>
      </c>
      <c r="H34" s="46">
        <v>0</v>
      </c>
      <c r="I34" s="46">
        <v>0</v>
      </c>
      <c r="J34" s="46">
        <v>0</v>
      </c>
      <c r="K34" s="46">
        <v>0</v>
      </c>
      <c r="L34" s="46">
        <v>0</v>
      </c>
      <c r="M34" s="46">
        <v>0</v>
      </c>
      <c r="N34" s="46">
        <v>0</v>
      </c>
      <c r="O34" s="46">
        <v>0</v>
      </c>
      <c r="P34" s="46">
        <v>0</v>
      </c>
      <c r="R34" s="8">
        <f t="shared" si="1"/>
        <v>6151.49</v>
      </c>
    </row>
    <row r="35" spans="2:18" x14ac:dyDescent="0.35">
      <c r="B35" s="5" t="s">
        <v>32</v>
      </c>
      <c r="C35" s="19" t="s">
        <v>162</v>
      </c>
      <c r="E35" s="46">
        <v>69813</v>
      </c>
      <c r="F35" s="46">
        <v>0</v>
      </c>
      <c r="G35" s="46">
        <v>0</v>
      </c>
      <c r="H35" s="46">
        <v>0</v>
      </c>
      <c r="I35" s="46">
        <v>0</v>
      </c>
      <c r="J35" s="46">
        <v>0</v>
      </c>
      <c r="K35" s="46">
        <v>0</v>
      </c>
      <c r="L35" s="46">
        <v>0</v>
      </c>
      <c r="M35" s="46">
        <v>0</v>
      </c>
      <c r="N35" s="46">
        <v>0</v>
      </c>
      <c r="O35" s="46">
        <v>0</v>
      </c>
      <c r="P35" s="46">
        <v>0</v>
      </c>
      <c r="R35" s="8">
        <f t="shared" si="1"/>
        <v>69813</v>
      </c>
    </row>
    <row r="36" spans="2:18" x14ac:dyDescent="0.35">
      <c r="B36" s="42" t="s">
        <v>43</v>
      </c>
      <c r="C36" s="19" t="s">
        <v>162</v>
      </c>
      <c r="E36" s="14">
        <f>SUM(E29:E35)</f>
        <v>630138.93999999994</v>
      </c>
      <c r="F36" s="14">
        <f t="shared" ref="F36:P36" si="6">SUM(F29:F35)</f>
        <v>0</v>
      </c>
      <c r="G36" s="14">
        <f t="shared" si="6"/>
        <v>0</v>
      </c>
      <c r="H36" s="14">
        <f t="shared" si="6"/>
        <v>0</v>
      </c>
      <c r="I36" s="14">
        <f t="shared" si="6"/>
        <v>0</v>
      </c>
      <c r="J36" s="14">
        <f t="shared" si="6"/>
        <v>0</v>
      </c>
      <c r="K36" s="14">
        <f t="shared" si="6"/>
        <v>0</v>
      </c>
      <c r="L36" s="14">
        <f t="shared" si="6"/>
        <v>0</v>
      </c>
      <c r="M36" s="14">
        <f t="shared" si="6"/>
        <v>0</v>
      </c>
      <c r="N36" s="14">
        <f t="shared" si="6"/>
        <v>0</v>
      </c>
      <c r="O36" s="14">
        <f t="shared" si="6"/>
        <v>0</v>
      </c>
      <c r="P36" s="14">
        <f t="shared" si="6"/>
        <v>0</v>
      </c>
      <c r="R36" s="14">
        <f t="shared" si="1"/>
        <v>630138.93999999994</v>
      </c>
    </row>
    <row r="37" spans="2:18" ht="5.25" customHeight="1" x14ac:dyDescent="0.35"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R37" s="4"/>
    </row>
    <row r="38" spans="2:18" x14ac:dyDescent="0.35">
      <c r="B38" s="5" t="s">
        <v>36</v>
      </c>
      <c r="C38" s="19" t="s">
        <v>162</v>
      </c>
      <c r="E38" s="46">
        <v>75500</v>
      </c>
      <c r="F38" s="46">
        <v>0</v>
      </c>
      <c r="G38" s="46">
        <v>0</v>
      </c>
      <c r="H38" s="46">
        <v>0</v>
      </c>
      <c r="I38" s="46">
        <v>0</v>
      </c>
      <c r="J38" s="46">
        <v>0</v>
      </c>
      <c r="K38" s="46">
        <v>0</v>
      </c>
      <c r="L38" s="46">
        <v>0</v>
      </c>
      <c r="M38" s="46">
        <v>0</v>
      </c>
      <c r="N38" s="46">
        <v>0</v>
      </c>
      <c r="O38" s="46">
        <v>0</v>
      </c>
      <c r="P38" s="46">
        <v>0</v>
      </c>
      <c r="R38" s="8">
        <f t="shared" si="1"/>
        <v>75500</v>
      </c>
    </row>
    <row r="39" spans="2:18" x14ac:dyDescent="0.35">
      <c r="B39" s="5" t="s">
        <v>33</v>
      </c>
      <c r="C39" s="19" t="s">
        <v>162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R39" s="8">
        <f t="shared" si="1"/>
        <v>0</v>
      </c>
    </row>
    <row r="40" spans="2:18" x14ac:dyDescent="0.35">
      <c r="B40" s="42" t="s">
        <v>44</v>
      </c>
      <c r="C40" s="19" t="s">
        <v>162</v>
      </c>
      <c r="D40" s="10"/>
      <c r="E40" s="14">
        <f>SUM(E38:E39)</f>
        <v>75500</v>
      </c>
      <c r="F40" s="14">
        <f t="shared" ref="F40:P40" si="7">SUM(F38:F39)</f>
        <v>0</v>
      </c>
      <c r="G40" s="14">
        <f t="shared" si="7"/>
        <v>0</v>
      </c>
      <c r="H40" s="14">
        <f t="shared" si="7"/>
        <v>0</v>
      </c>
      <c r="I40" s="14">
        <f t="shared" si="7"/>
        <v>0</v>
      </c>
      <c r="J40" s="14">
        <f t="shared" si="7"/>
        <v>0</v>
      </c>
      <c r="K40" s="14">
        <f t="shared" si="7"/>
        <v>0</v>
      </c>
      <c r="L40" s="14">
        <f t="shared" si="7"/>
        <v>0</v>
      </c>
      <c r="M40" s="14">
        <f t="shared" si="7"/>
        <v>0</v>
      </c>
      <c r="N40" s="14">
        <f t="shared" si="7"/>
        <v>0</v>
      </c>
      <c r="O40" s="14">
        <f t="shared" si="7"/>
        <v>0</v>
      </c>
      <c r="P40" s="14">
        <f t="shared" si="7"/>
        <v>0</v>
      </c>
      <c r="R40" s="14">
        <f t="shared" si="1"/>
        <v>75500</v>
      </c>
    </row>
    <row r="41" spans="2:18" ht="12" customHeight="1" x14ac:dyDescent="0.35"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R41" s="4"/>
    </row>
    <row r="42" spans="2:18" x14ac:dyDescent="0.35">
      <c r="B42" s="5" t="s">
        <v>159</v>
      </c>
      <c r="C42" s="19" t="s">
        <v>162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  <c r="R42" s="8">
        <f t="shared" si="1"/>
        <v>0</v>
      </c>
    </row>
    <row r="43" spans="2:18" x14ac:dyDescent="0.35">
      <c r="B43" s="5" t="s">
        <v>159</v>
      </c>
      <c r="C43" s="19" t="s">
        <v>162</v>
      </c>
      <c r="E43" s="46">
        <v>0</v>
      </c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R43" s="8"/>
    </row>
    <row r="44" spans="2:18" x14ac:dyDescent="0.35">
      <c r="B44" s="5" t="s">
        <v>211</v>
      </c>
      <c r="C44" s="19" t="s">
        <v>162</v>
      </c>
      <c r="E44" s="46">
        <v>-400704.4</v>
      </c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R44" s="8"/>
    </row>
    <row r="45" spans="2:18" x14ac:dyDescent="0.35">
      <c r="B45" s="5" t="s">
        <v>35</v>
      </c>
      <c r="C45" s="19" t="s">
        <v>162</v>
      </c>
      <c r="E45" s="46">
        <v>353002</v>
      </c>
      <c r="F45" s="46">
        <v>0</v>
      </c>
      <c r="G45" s="46">
        <v>0</v>
      </c>
      <c r="H45" s="46">
        <v>0</v>
      </c>
      <c r="I45" s="46">
        <v>0</v>
      </c>
      <c r="J45" s="46">
        <v>0</v>
      </c>
      <c r="K45" s="46">
        <v>0</v>
      </c>
      <c r="L45" s="46">
        <v>0</v>
      </c>
      <c r="M45" s="46">
        <v>0</v>
      </c>
      <c r="N45" s="46">
        <v>0</v>
      </c>
      <c r="O45" s="46">
        <v>0</v>
      </c>
      <c r="P45" s="46">
        <v>0</v>
      </c>
      <c r="R45" s="8">
        <f t="shared" si="1"/>
        <v>353002</v>
      </c>
    </row>
    <row r="46" spans="2:18" x14ac:dyDescent="0.35">
      <c r="B46" s="42" t="s">
        <v>45</v>
      </c>
      <c r="C46" s="19" t="s">
        <v>162</v>
      </c>
      <c r="D46" s="10"/>
      <c r="E46" s="14">
        <f t="shared" ref="E46:P46" si="8">SUM(E42:E45)</f>
        <v>-47702.400000000023</v>
      </c>
      <c r="F46" s="14">
        <f t="shared" si="8"/>
        <v>0</v>
      </c>
      <c r="G46" s="14">
        <f t="shared" si="8"/>
        <v>0</v>
      </c>
      <c r="H46" s="14">
        <f t="shared" si="8"/>
        <v>0</v>
      </c>
      <c r="I46" s="14">
        <f t="shared" si="8"/>
        <v>0</v>
      </c>
      <c r="J46" s="14">
        <f t="shared" si="8"/>
        <v>0</v>
      </c>
      <c r="K46" s="14">
        <f t="shared" si="8"/>
        <v>0</v>
      </c>
      <c r="L46" s="14">
        <f t="shared" si="8"/>
        <v>0</v>
      </c>
      <c r="M46" s="14">
        <f t="shared" si="8"/>
        <v>0</v>
      </c>
      <c r="N46" s="14">
        <f t="shared" si="8"/>
        <v>0</v>
      </c>
      <c r="O46" s="14">
        <f t="shared" si="8"/>
        <v>0</v>
      </c>
      <c r="P46" s="14">
        <f t="shared" si="8"/>
        <v>0</v>
      </c>
      <c r="R46" s="14">
        <f t="shared" si="1"/>
        <v>-47702.400000000023</v>
      </c>
    </row>
    <row r="47" spans="2:18" ht="6" customHeight="1" x14ac:dyDescent="0.35"/>
    <row r="48" spans="2:18" x14ac:dyDescent="0.35">
      <c r="B48" s="42" t="s">
        <v>46</v>
      </c>
      <c r="C48" s="19" t="s">
        <v>162</v>
      </c>
      <c r="E48" s="14">
        <f t="shared" ref="E48:P48" si="9">E46+E40+E36</f>
        <v>657936.53999999992</v>
      </c>
      <c r="F48" s="14">
        <f t="shared" si="9"/>
        <v>0</v>
      </c>
      <c r="G48" s="14">
        <f t="shared" si="9"/>
        <v>0</v>
      </c>
      <c r="H48" s="14">
        <f t="shared" si="9"/>
        <v>0</v>
      </c>
      <c r="I48" s="14">
        <f t="shared" si="9"/>
        <v>0</v>
      </c>
      <c r="J48" s="14">
        <f t="shared" si="9"/>
        <v>0</v>
      </c>
      <c r="K48" s="14">
        <f t="shared" si="9"/>
        <v>0</v>
      </c>
      <c r="L48" s="14">
        <f t="shared" si="9"/>
        <v>0</v>
      </c>
      <c r="M48" s="14">
        <f t="shared" si="9"/>
        <v>0</v>
      </c>
      <c r="N48" s="14">
        <f t="shared" si="9"/>
        <v>0</v>
      </c>
      <c r="O48" s="14">
        <f t="shared" si="9"/>
        <v>0</v>
      </c>
      <c r="P48" s="14">
        <f t="shared" si="9"/>
        <v>0</v>
      </c>
      <c r="R48" s="14">
        <f t="shared" si="1"/>
        <v>657936.53999999992</v>
      </c>
    </row>
    <row r="49" spans="2:35" ht="6" customHeight="1" x14ac:dyDescent="0.35"/>
    <row r="50" spans="2:35" x14ac:dyDescent="0.35">
      <c r="B50" s="5" t="s">
        <v>75</v>
      </c>
      <c r="C50" s="19" t="s">
        <v>162</v>
      </c>
      <c r="E50" s="46">
        <v>0</v>
      </c>
      <c r="F50" s="46">
        <v>0</v>
      </c>
      <c r="G50" s="46">
        <v>0</v>
      </c>
      <c r="H50" s="46">
        <v>0</v>
      </c>
      <c r="I50" s="46">
        <v>0</v>
      </c>
      <c r="J50" s="46">
        <v>0</v>
      </c>
      <c r="K50" s="46">
        <v>0</v>
      </c>
      <c r="L50" s="46">
        <v>0</v>
      </c>
      <c r="M50" s="46">
        <v>0</v>
      </c>
      <c r="N50" s="46">
        <v>0</v>
      </c>
      <c r="O50" s="46">
        <v>0</v>
      </c>
      <c r="P50" s="46">
        <v>0</v>
      </c>
      <c r="R50" s="8">
        <f t="shared" si="1"/>
        <v>0</v>
      </c>
    </row>
    <row r="51" spans="2:35" x14ac:dyDescent="0.35">
      <c r="B51" s="5" t="s">
        <v>263</v>
      </c>
      <c r="C51" s="19" t="s">
        <v>162</v>
      </c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R51" s="8"/>
    </row>
    <row r="52" spans="2:35" x14ac:dyDescent="0.35">
      <c r="B52" s="5" t="s">
        <v>172</v>
      </c>
      <c r="C52" s="19" t="s">
        <v>162</v>
      </c>
      <c r="E52" s="46">
        <v>-22758.400000000001</v>
      </c>
      <c r="F52" s="46">
        <v>0</v>
      </c>
      <c r="G52" s="46">
        <v>0</v>
      </c>
      <c r="H52" s="46">
        <v>0</v>
      </c>
      <c r="I52" s="46">
        <v>0</v>
      </c>
      <c r="J52" s="46">
        <v>0</v>
      </c>
      <c r="K52" s="46">
        <v>0</v>
      </c>
      <c r="L52" s="46">
        <v>0</v>
      </c>
      <c r="M52" s="46">
        <v>0</v>
      </c>
      <c r="N52" s="46">
        <v>0</v>
      </c>
      <c r="O52" s="46">
        <v>0</v>
      </c>
      <c r="P52" s="46">
        <v>0</v>
      </c>
      <c r="R52" s="8">
        <f t="shared" si="1"/>
        <v>-22758.400000000001</v>
      </c>
    </row>
    <row r="53" spans="2:35" x14ac:dyDescent="0.35">
      <c r="B53" s="5" t="s">
        <v>81</v>
      </c>
      <c r="C53" s="19" t="s">
        <v>162</v>
      </c>
      <c r="E53" s="46">
        <v>-38317.47</v>
      </c>
      <c r="F53" s="46">
        <v>0</v>
      </c>
      <c r="G53" s="46">
        <v>0</v>
      </c>
      <c r="H53" s="46">
        <v>0</v>
      </c>
      <c r="I53" s="46">
        <v>0</v>
      </c>
      <c r="J53" s="46">
        <v>0</v>
      </c>
      <c r="K53" s="46">
        <v>0</v>
      </c>
      <c r="L53" s="46">
        <v>0</v>
      </c>
      <c r="M53" s="46">
        <v>0</v>
      </c>
      <c r="N53" s="46">
        <v>0</v>
      </c>
      <c r="O53" s="46">
        <v>0</v>
      </c>
      <c r="P53" s="46">
        <v>0</v>
      </c>
      <c r="R53" s="8">
        <f t="shared" si="1"/>
        <v>-38317.47</v>
      </c>
    </row>
    <row r="54" spans="2:35" x14ac:dyDescent="0.35">
      <c r="B54" s="5" t="s">
        <v>182</v>
      </c>
      <c r="C54" s="19" t="s">
        <v>162</v>
      </c>
      <c r="E54" s="46">
        <v>-111686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R54" s="8">
        <f t="shared" si="1"/>
        <v>-111686</v>
      </c>
    </row>
    <row r="55" spans="2:35" x14ac:dyDescent="0.35">
      <c r="B55" s="51" t="s">
        <v>181</v>
      </c>
      <c r="C55" s="19" t="s">
        <v>162</v>
      </c>
      <c r="E55" s="46">
        <v>-200245.61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R55" s="8">
        <f t="shared" si="1"/>
        <v>-200245.61</v>
      </c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I55" s="4"/>
    </row>
    <row r="56" spans="2:35" x14ac:dyDescent="0.35"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R56" s="4"/>
    </row>
    <row r="57" spans="2:35" x14ac:dyDescent="0.35">
      <c r="B57" s="51" t="s">
        <v>173</v>
      </c>
      <c r="E57" s="46">
        <v>0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6">
        <v>0</v>
      </c>
      <c r="L57" s="46">
        <v>0</v>
      </c>
      <c r="M57" s="46">
        <v>0</v>
      </c>
      <c r="N57" s="46">
        <v>0</v>
      </c>
      <c r="O57" s="46">
        <v>0</v>
      </c>
      <c r="P57" s="46">
        <v>0</v>
      </c>
      <c r="Q57" s="56"/>
      <c r="R57" s="8">
        <f t="shared" si="1"/>
        <v>0</v>
      </c>
    </row>
    <row r="58" spans="2:35" x14ac:dyDescent="0.35"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R58" s="4"/>
    </row>
    <row r="59" spans="2:35" x14ac:dyDescent="0.35">
      <c r="B59" s="5" t="s">
        <v>157</v>
      </c>
      <c r="C59" s="19" t="s">
        <v>162</v>
      </c>
      <c r="E59" s="46">
        <v>3099119.4250000003</v>
      </c>
      <c r="F59" s="46">
        <v>0</v>
      </c>
      <c r="G59" s="46">
        <v>0</v>
      </c>
      <c r="H59" s="46">
        <v>0</v>
      </c>
      <c r="I59" s="46">
        <v>0</v>
      </c>
      <c r="J59" s="46">
        <v>0</v>
      </c>
      <c r="K59" s="46">
        <v>0</v>
      </c>
      <c r="L59" s="46">
        <v>0</v>
      </c>
      <c r="M59" s="46">
        <v>0</v>
      </c>
      <c r="N59" s="46">
        <v>0</v>
      </c>
      <c r="O59" s="46">
        <v>0</v>
      </c>
      <c r="P59" s="46">
        <v>0</v>
      </c>
      <c r="R59" s="8">
        <f t="shared" ref="R59:R60" si="10">SUM(E59:P59)</f>
        <v>3099119.4250000003</v>
      </c>
    </row>
    <row r="60" spans="2:35" x14ac:dyDescent="0.35">
      <c r="B60" s="5" t="s">
        <v>158</v>
      </c>
      <c r="C60" s="19" t="s">
        <v>162</v>
      </c>
      <c r="E60" s="46">
        <v>-2082692</v>
      </c>
      <c r="F60" s="46">
        <v>0</v>
      </c>
      <c r="G60" s="46">
        <v>0</v>
      </c>
      <c r="H60" s="46">
        <v>0</v>
      </c>
      <c r="I60" s="46">
        <v>0</v>
      </c>
      <c r="J60" s="46">
        <v>0</v>
      </c>
      <c r="K60" s="46">
        <v>0</v>
      </c>
      <c r="L60" s="46">
        <v>0</v>
      </c>
      <c r="M60" s="46">
        <v>0</v>
      </c>
      <c r="N60" s="46">
        <v>0</v>
      </c>
      <c r="O60" s="46">
        <v>0</v>
      </c>
      <c r="P60" s="46">
        <v>0</v>
      </c>
      <c r="R60" s="8">
        <f t="shared" si="10"/>
        <v>-2082692</v>
      </c>
    </row>
    <row r="61" spans="2:35" ht="6" customHeight="1" x14ac:dyDescent="0.35"/>
    <row r="62" spans="2:35" x14ac:dyDescent="0.35">
      <c r="B62" s="42" t="s">
        <v>19</v>
      </c>
      <c r="C62" s="19" t="s">
        <v>162</v>
      </c>
      <c r="E62" s="55">
        <f>+E48+E25+E20+SUM(E50:E55)+SUM(E59:E60)+E27</f>
        <v>16814728</v>
      </c>
      <c r="F62" s="55">
        <f t="shared" ref="F62:P62" si="11">+F48+F25+F20+SUM(F50:F55)+SUM(F59:F60)+F27</f>
        <v>0</v>
      </c>
      <c r="G62" s="55">
        <f t="shared" si="11"/>
        <v>0</v>
      </c>
      <c r="H62" s="55">
        <f t="shared" si="11"/>
        <v>0</v>
      </c>
      <c r="I62" s="55">
        <f t="shared" si="11"/>
        <v>0</v>
      </c>
      <c r="J62" s="55">
        <f t="shared" si="11"/>
        <v>0</v>
      </c>
      <c r="K62" s="55">
        <f t="shared" si="11"/>
        <v>0</v>
      </c>
      <c r="L62" s="55">
        <f t="shared" si="11"/>
        <v>0</v>
      </c>
      <c r="M62" s="55">
        <f t="shared" si="11"/>
        <v>0</v>
      </c>
      <c r="N62" s="55">
        <f t="shared" si="11"/>
        <v>0</v>
      </c>
      <c r="O62" s="55">
        <f t="shared" si="11"/>
        <v>0</v>
      </c>
      <c r="P62" s="55">
        <f t="shared" si="11"/>
        <v>0</v>
      </c>
      <c r="R62" s="14">
        <f t="shared" ref="R62" si="12">SUM(E62:P62)</f>
        <v>16814728</v>
      </c>
    </row>
    <row r="63" spans="2:35" x14ac:dyDescent="0.35">
      <c r="Q63" s="9"/>
      <c r="R63" s="18">
        <f>R62/12</f>
        <v>1401227.3333333333</v>
      </c>
    </row>
    <row r="64" spans="2:35" x14ac:dyDescent="0.35">
      <c r="B64" s="5" t="s">
        <v>51</v>
      </c>
      <c r="C64" s="19" t="s">
        <v>162</v>
      </c>
      <c r="E64" s="14">
        <v>204898456.16050819</v>
      </c>
      <c r="F64" s="14">
        <f>E65</f>
        <v>188083728.16050819</v>
      </c>
      <c r="G64" s="14">
        <f t="shared" ref="G64:P64" si="13">F65</f>
        <v>188083728.16050819</v>
      </c>
      <c r="H64" s="14">
        <f t="shared" si="13"/>
        <v>188083728.16050819</v>
      </c>
      <c r="I64" s="14">
        <f t="shared" si="13"/>
        <v>188083728.16050819</v>
      </c>
      <c r="J64" s="14">
        <f t="shared" si="13"/>
        <v>188083728.16050819</v>
      </c>
      <c r="K64" s="14">
        <f t="shared" si="13"/>
        <v>188083728.16050819</v>
      </c>
      <c r="L64" s="14">
        <f t="shared" si="13"/>
        <v>188083728.16050819</v>
      </c>
      <c r="M64" s="14">
        <f t="shared" si="13"/>
        <v>188083728.16050819</v>
      </c>
      <c r="N64" s="14">
        <f t="shared" si="13"/>
        <v>188083728.16050819</v>
      </c>
      <c r="O64" s="14">
        <f t="shared" si="13"/>
        <v>188083728.16050819</v>
      </c>
      <c r="P64" s="14">
        <f t="shared" si="13"/>
        <v>188083728.16050819</v>
      </c>
    </row>
    <row r="65" spans="2:18" x14ac:dyDescent="0.35">
      <c r="B65" s="5" t="s">
        <v>52</v>
      </c>
      <c r="C65" s="19" t="s">
        <v>162</v>
      </c>
      <c r="E65" s="14">
        <f>E64-E62</f>
        <v>188083728.16050819</v>
      </c>
      <c r="F65" s="14">
        <f>F64-F62</f>
        <v>188083728.16050819</v>
      </c>
      <c r="G65" s="14">
        <f>G64-G62</f>
        <v>188083728.16050819</v>
      </c>
      <c r="H65" s="14">
        <f t="shared" ref="H65:P65" si="14">H64-H62</f>
        <v>188083728.16050819</v>
      </c>
      <c r="I65" s="14">
        <f t="shared" si="14"/>
        <v>188083728.16050819</v>
      </c>
      <c r="J65" s="14">
        <f t="shared" si="14"/>
        <v>188083728.16050819</v>
      </c>
      <c r="K65" s="14">
        <f t="shared" si="14"/>
        <v>188083728.16050819</v>
      </c>
      <c r="L65" s="14">
        <f t="shared" si="14"/>
        <v>188083728.16050819</v>
      </c>
      <c r="M65" s="14">
        <f t="shared" si="14"/>
        <v>188083728.16050819</v>
      </c>
      <c r="N65" s="14">
        <f t="shared" si="14"/>
        <v>188083728.16050819</v>
      </c>
      <c r="O65" s="14">
        <f t="shared" si="14"/>
        <v>188083728.16050819</v>
      </c>
      <c r="P65" s="14">
        <f t="shared" si="14"/>
        <v>188083728.16050819</v>
      </c>
    </row>
    <row r="70" spans="2:18" x14ac:dyDescent="0.35">
      <c r="B70" s="3" t="s">
        <v>8</v>
      </c>
      <c r="C70" s="3"/>
      <c r="E70" s="11">
        <v>46023</v>
      </c>
      <c r="F70" s="11">
        <f t="shared" ref="F70:J70" si="15">EDATE(E70,1)</f>
        <v>46054</v>
      </c>
      <c r="G70" s="11">
        <f t="shared" si="15"/>
        <v>46082</v>
      </c>
      <c r="H70" s="11">
        <f t="shared" si="15"/>
        <v>46113</v>
      </c>
      <c r="I70" s="11">
        <f t="shared" si="15"/>
        <v>46143</v>
      </c>
      <c r="J70" s="11">
        <f t="shared" si="15"/>
        <v>46174</v>
      </c>
      <c r="K70" s="11">
        <f>EDATE(J70,1)</f>
        <v>46204</v>
      </c>
      <c r="L70" s="11">
        <f t="shared" ref="L70:N70" si="16">EDATE(K70,1)</f>
        <v>46235</v>
      </c>
      <c r="M70" s="11">
        <f t="shared" si="16"/>
        <v>46266</v>
      </c>
      <c r="N70" s="11">
        <f t="shared" si="16"/>
        <v>46296</v>
      </c>
      <c r="O70" s="11">
        <f>EDATE(N70,1)</f>
        <v>46327</v>
      </c>
      <c r="P70" s="11">
        <f t="shared" ref="P70" si="17">EDATE(O70,1)</f>
        <v>46357</v>
      </c>
      <c r="R70" s="15">
        <v>2026</v>
      </c>
    </row>
    <row r="72" spans="2:18" x14ac:dyDescent="0.35">
      <c r="B72" s="5" t="s">
        <v>183</v>
      </c>
      <c r="C72" s="19" t="s">
        <v>163</v>
      </c>
      <c r="E72" s="48">
        <v>1654184.97</v>
      </c>
      <c r="F72" s="48">
        <v>0</v>
      </c>
      <c r="G72" s="48">
        <v>0</v>
      </c>
      <c r="H72" s="48">
        <v>0</v>
      </c>
      <c r="I72" s="48">
        <v>0</v>
      </c>
      <c r="J72" s="48">
        <v>0</v>
      </c>
      <c r="K72" s="48">
        <v>0</v>
      </c>
      <c r="L72" s="48">
        <v>0</v>
      </c>
      <c r="M72" s="48">
        <v>0</v>
      </c>
      <c r="N72" s="48">
        <v>0</v>
      </c>
      <c r="O72" s="48">
        <v>0</v>
      </c>
      <c r="P72" s="48">
        <v>0</v>
      </c>
      <c r="R72" s="8">
        <f t="shared" ref="R72:R76" si="18">SUM(E72:P72)</f>
        <v>1654184.97</v>
      </c>
    </row>
    <row r="73" spans="2:18" x14ac:dyDescent="0.35">
      <c r="B73" s="5" t="s">
        <v>178</v>
      </c>
      <c r="C73" s="19" t="s">
        <v>163</v>
      </c>
      <c r="E73" s="48">
        <v>462906.43</v>
      </c>
      <c r="F73" s="48">
        <v>0</v>
      </c>
      <c r="G73" s="48">
        <v>0</v>
      </c>
      <c r="H73" s="48">
        <v>0</v>
      </c>
      <c r="I73" s="48">
        <v>0</v>
      </c>
      <c r="J73" s="48">
        <v>0</v>
      </c>
      <c r="K73" s="48">
        <v>0</v>
      </c>
      <c r="L73" s="48">
        <v>0</v>
      </c>
      <c r="M73" s="48">
        <v>0</v>
      </c>
      <c r="N73" s="48">
        <v>0</v>
      </c>
      <c r="O73" s="48">
        <v>0</v>
      </c>
      <c r="P73" s="48">
        <v>0</v>
      </c>
      <c r="R73" s="8">
        <f>SUM(E73:P73)</f>
        <v>462906.43</v>
      </c>
    </row>
    <row r="74" spans="2:18" x14ac:dyDescent="0.35">
      <c r="B74" s="5" t="s">
        <v>80</v>
      </c>
      <c r="C74" s="19" t="s">
        <v>163</v>
      </c>
      <c r="E74" s="48">
        <v>407.48</v>
      </c>
      <c r="F74" s="48">
        <v>0</v>
      </c>
      <c r="G74" s="48">
        <v>0</v>
      </c>
      <c r="H74" s="48">
        <v>0</v>
      </c>
      <c r="I74" s="48">
        <v>0</v>
      </c>
      <c r="J74" s="48">
        <v>0</v>
      </c>
      <c r="K74" s="48">
        <v>0</v>
      </c>
      <c r="L74" s="48">
        <v>0</v>
      </c>
      <c r="M74" s="48">
        <v>0</v>
      </c>
      <c r="N74" s="48">
        <v>0</v>
      </c>
      <c r="O74" s="48">
        <v>0</v>
      </c>
      <c r="P74" s="48">
        <v>0</v>
      </c>
      <c r="R74" s="8"/>
    </row>
    <row r="75" spans="2:18" x14ac:dyDescent="0.35">
      <c r="B75" s="5" t="s">
        <v>187</v>
      </c>
      <c r="C75" s="19" t="s">
        <v>163</v>
      </c>
      <c r="E75" s="48">
        <v>0</v>
      </c>
      <c r="F75" s="48">
        <v>0</v>
      </c>
      <c r="G75" s="48">
        <v>0</v>
      </c>
      <c r="H75" s="48">
        <v>0</v>
      </c>
      <c r="I75" s="48">
        <v>0</v>
      </c>
      <c r="J75" s="48">
        <v>0</v>
      </c>
      <c r="K75" s="48">
        <v>0</v>
      </c>
      <c r="L75" s="48">
        <v>0</v>
      </c>
      <c r="M75" s="48">
        <v>0</v>
      </c>
      <c r="N75" s="48">
        <v>0</v>
      </c>
      <c r="O75" s="48">
        <v>0</v>
      </c>
      <c r="P75" s="48">
        <v>0</v>
      </c>
      <c r="R75" s="8"/>
    </row>
    <row r="76" spans="2:18" x14ac:dyDescent="0.35">
      <c r="B76" s="5" t="s">
        <v>126</v>
      </c>
      <c r="C76" s="19" t="s">
        <v>163</v>
      </c>
      <c r="E76" s="48">
        <v>-4307.63</v>
      </c>
      <c r="F76" s="48">
        <v>0</v>
      </c>
      <c r="G76" s="48">
        <v>0</v>
      </c>
      <c r="H76" s="48">
        <v>0</v>
      </c>
      <c r="I76" s="48">
        <v>0</v>
      </c>
      <c r="J76" s="48">
        <v>0</v>
      </c>
      <c r="K76" s="48">
        <v>0</v>
      </c>
      <c r="L76" s="48">
        <v>0</v>
      </c>
      <c r="M76" s="48">
        <v>0</v>
      </c>
      <c r="N76" s="48">
        <v>0</v>
      </c>
      <c r="O76" s="48">
        <v>0</v>
      </c>
      <c r="P76" s="48">
        <v>0</v>
      </c>
      <c r="R76" s="8">
        <f t="shared" si="18"/>
        <v>-4307.63</v>
      </c>
    </row>
    <row r="77" spans="2:18" x14ac:dyDescent="0.35">
      <c r="B77" s="5" t="s">
        <v>182</v>
      </c>
      <c r="C77" s="19" t="s">
        <v>163</v>
      </c>
      <c r="E77" s="48">
        <v>-490769.4</v>
      </c>
      <c r="F77" s="48">
        <v>0</v>
      </c>
      <c r="G77" s="48">
        <v>0</v>
      </c>
      <c r="H77" s="48">
        <v>0</v>
      </c>
      <c r="I77" s="48">
        <v>0</v>
      </c>
      <c r="J77" s="48">
        <v>0</v>
      </c>
      <c r="K77" s="48">
        <v>0</v>
      </c>
      <c r="L77" s="48">
        <v>0</v>
      </c>
      <c r="M77" s="48">
        <v>0</v>
      </c>
      <c r="N77" s="48">
        <v>0</v>
      </c>
      <c r="O77" s="48">
        <v>0</v>
      </c>
      <c r="P77" s="48">
        <v>0</v>
      </c>
      <c r="R77" s="8"/>
    </row>
    <row r="78" spans="2:18" x14ac:dyDescent="0.35">
      <c r="B78" s="5" t="s">
        <v>175</v>
      </c>
      <c r="C78" s="19" t="s">
        <v>163</v>
      </c>
      <c r="E78" s="48">
        <v>0</v>
      </c>
      <c r="F78" s="48">
        <v>0</v>
      </c>
      <c r="G78" s="48">
        <v>0</v>
      </c>
      <c r="H78" s="48">
        <v>0</v>
      </c>
      <c r="I78" s="48">
        <v>0</v>
      </c>
      <c r="J78" s="48">
        <v>0</v>
      </c>
      <c r="K78" s="48">
        <v>0</v>
      </c>
      <c r="L78" s="48">
        <v>0</v>
      </c>
      <c r="M78" s="48">
        <v>0</v>
      </c>
      <c r="N78" s="48">
        <v>0</v>
      </c>
      <c r="O78" s="48">
        <v>0</v>
      </c>
      <c r="P78" s="48">
        <v>0</v>
      </c>
      <c r="R78" s="8"/>
    </row>
    <row r="79" spans="2:18" x14ac:dyDescent="0.35">
      <c r="B79" s="5" t="s">
        <v>168</v>
      </c>
      <c r="C79" s="19" t="s">
        <v>163</v>
      </c>
      <c r="E79" s="48">
        <v>0</v>
      </c>
      <c r="F79" s="48">
        <v>0</v>
      </c>
      <c r="G79" s="48">
        <v>0</v>
      </c>
      <c r="H79" s="48">
        <v>0</v>
      </c>
      <c r="I79" s="48">
        <v>0</v>
      </c>
      <c r="J79" s="48">
        <v>0</v>
      </c>
      <c r="K79" s="48">
        <v>0</v>
      </c>
      <c r="L79" s="48">
        <v>0</v>
      </c>
      <c r="M79" s="48">
        <v>0</v>
      </c>
      <c r="N79" s="48">
        <v>0</v>
      </c>
      <c r="O79" s="48">
        <v>0</v>
      </c>
      <c r="P79" s="48">
        <v>0</v>
      </c>
      <c r="R79" s="8"/>
    </row>
    <row r="80" spans="2:18" x14ac:dyDescent="0.35">
      <c r="B80" s="5" t="s">
        <v>174</v>
      </c>
      <c r="C80" s="19" t="s">
        <v>163</v>
      </c>
      <c r="E80" s="48">
        <v>0</v>
      </c>
      <c r="F80" s="48">
        <v>0</v>
      </c>
      <c r="G80" s="48">
        <v>0</v>
      </c>
      <c r="H80" s="48">
        <v>0</v>
      </c>
      <c r="I80" s="48">
        <v>0</v>
      </c>
      <c r="J80" s="48">
        <v>0</v>
      </c>
      <c r="K80" s="48">
        <v>0</v>
      </c>
      <c r="L80" s="48">
        <v>0</v>
      </c>
      <c r="M80" s="48">
        <v>0</v>
      </c>
      <c r="N80" s="48">
        <v>0</v>
      </c>
      <c r="O80" s="48">
        <v>0</v>
      </c>
      <c r="P80" s="48">
        <v>0</v>
      </c>
      <c r="Q80" s="56"/>
      <c r="R80" s="53"/>
    </row>
    <row r="81" spans="2:18" x14ac:dyDescent="0.35">
      <c r="C81" s="3"/>
      <c r="E81" s="14">
        <f t="shared" ref="E81:P81" si="19">SUM(E72:E80)</f>
        <v>1622421.85</v>
      </c>
      <c r="F81" s="14">
        <f t="shared" si="19"/>
        <v>0</v>
      </c>
      <c r="G81" s="14">
        <f t="shared" si="19"/>
        <v>0</v>
      </c>
      <c r="H81" s="14">
        <f t="shared" si="19"/>
        <v>0</v>
      </c>
      <c r="I81" s="14">
        <f t="shared" si="19"/>
        <v>0</v>
      </c>
      <c r="J81" s="14">
        <f t="shared" si="19"/>
        <v>0</v>
      </c>
      <c r="K81" s="14">
        <f t="shared" si="19"/>
        <v>0</v>
      </c>
      <c r="L81" s="14">
        <f t="shared" si="19"/>
        <v>0</v>
      </c>
      <c r="M81" s="14">
        <f t="shared" si="19"/>
        <v>0</v>
      </c>
      <c r="N81" s="14">
        <f t="shared" si="19"/>
        <v>0</v>
      </c>
      <c r="O81" s="14">
        <f t="shared" si="19"/>
        <v>0</v>
      </c>
      <c r="P81" s="14">
        <f t="shared" si="19"/>
        <v>0</v>
      </c>
      <c r="R81" s="14">
        <f>SUM(R72:R72)</f>
        <v>1654184.97</v>
      </c>
    </row>
    <row r="82" spans="2:18" x14ac:dyDescent="0.35">
      <c r="C82" s="3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</row>
    <row r="83" spans="2:18" x14ac:dyDescent="0.35">
      <c r="B83" s="3" t="s">
        <v>145</v>
      </c>
      <c r="C83" s="3"/>
    </row>
    <row r="84" spans="2:18" x14ac:dyDescent="0.35">
      <c r="C84" s="3"/>
    </row>
    <row r="85" spans="2:18" x14ac:dyDescent="0.35">
      <c r="B85" s="5" t="s">
        <v>57</v>
      </c>
      <c r="C85" s="19" t="s">
        <v>163</v>
      </c>
      <c r="E85" s="14">
        <v>184236330.63000005</v>
      </c>
      <c r="F85" s="14">
        <f>E86</f>
        <v>182613908.78000006</v>
      </c>
      <c r="G85" s="14">
        <f t="shared" ref="G85:P85" si="20">F86</f>
        <v>182613908.78000006</v>
      </c>
      <c r="H85" s="14">
        <f t="shared" si="20"/>
        <v>182613908.78000006</v>
      </c>
      <c r="I85" s="14">
        <f t="shared" si="20"/>
        <v>182613908.78000006</v>
      </c>
      <c r="J85" s="14">
        <f t="shared" si="20"/>
        <v>182613908.78000006</v>
      </c>
      <c r="K85" s="14">
        <f t="shared" si="20"/>
        <v>182613908.78000006</v>
      </c>
      <c r="L85" s="14">
        <f t="shared" si="20"/>
        <v>182613908.78000006</v>
      </c>
      <c r="M85" s="14">
        <f t="shared" si="20"/>
        <v>182613908.78000006</v>
      </c>
      <c r="N85" s="14">
        <f t="shared" si="20"/>
        <v>182613908.78000006</v>
      </c>
      <c r="O85" s="14">
        <f t="shared" si="20"/>
        <v>182613908.78000006</v>
      </c>
      <c r="P85" s="14">
        <f t="shared" si="20"/>
        <v>182613908.78000006</v>
      </c>
    </row>
    <row r="86" spans="2:18" x14ac:dyDescent="0.35">
      <c r="B86" s="5" t="s">
        <v>58</v>
      </c>
      <c r="C86" s="19" t="s">
        <v>163</v>
      </c>
      <c r="E86" s="14">
        <f t="shared" ref="E86:P86" si="21">E85-E81</f>
        <v>182613908.78000006</v>
      </c>
      <c r="F86" s="14">
        <f t="shared" si="21"/>
        <v>182613908.78000006</v>
      </c>
      <c r="G86" s="14">
        <f t="shared" si="21"/>
        <v>182613908.78000006</v>
      </c>
      <c r="H86" s="14">
        <f t="shared" si="21"/>
        <v>182613908.78000006</v>
      </c>
      <c r="I86" s="14">
        <f t="shared" si="21"/>
        <v>182613908.78000006</v>
      </c>
      <c r="J86" s="14">
        <f t="shared" si="21"/>
        <v>182613908.78000006</v>
      </c>
      <c r="K86" s="14">
        <f t="shared" si="21"/>
        <v>182613908.78000006</v>
      </c>
      <c r="L86" s="14">
        <f t="shared" si="21"/>
        <v>182613908.78000006</v>
      </c>
      <c r="M86" s="14">
        <f t="shared" si="21"/>
        <v>182613908.78000006</v>
      </c>
      <c r="N86" s="14">
        <f>N85-N81</f>
        <v>182613908.78000006</v>
      </c>
      <c r="O86" s="14">
        <f t="shared" si="21"/>
        <v>182613908.78000006</v>
      </c>
      <c r="P86" s="14">
        <f t="shared" si="21"/>
        <v>182613908.78000006</v>
      </c>
    </row>
    <row r="88" spans="2:18" x14ac:dyDescent="0.35">
      <c r="B88" s="5" t="s">
        <v>73</v>
      </c>
      <c r="C88" s="19" t="s">
        <v>163</v>
      </c>
      <c r="E88" s="49">
        <v>1.175</v>
      </c>
      <c r="F88" s="49">
        <f>E89</f>
        <v>1.1919</v>
      </c>
      <c r="G88" s="86">
        <f>F89</f>
        <v>1.18</v>
      </c>
      <c r="H88" s="86">
        <f>G89</f>
        <v>1.18</v>
      </c>
      <c r="I88" s="86">
        <f t="shared" ref="I88:P88" si="22">H89</f>
        <v>1.18</v>
      </c>
      <c r="J88" s="86">
        <f t="shared" si="22"/>
        <v>1.18</v>
      </c>
      <c r="K88" s="86">
        <f t="shared" si="22"/>
        <v>1.18</v>
      </c>
      <c r="L88" s="86">
        <f t="shared" si="22"/>
        <v>1.18</v>
      </c>
      <c r="M88" s="86">
        <f t="shared" si="22"/>
        <v>1.18</v>
      </c>
      <c r="N88" s="86">
        <f t="shared" si="22"/>
        <v>1.18</v>
      </c>
      <c r="O88" s="86">
        <f t="shared" si="22"/>
        <v>1.18</v>
      </c>
      <c r="P88" s="86">
        <f t="shared" si="22"/>
        <v>1.18</v>
      </c>
      <c r="Q88" s="34"/>
    </row>
    <row r="89" spans="2:18" x14ac:dyDescent="0.35">
      <c r="B89" s="5" t="s">
        <v>74</v>
      </c>
      <c r="C89" s="19" t="s">
        <v>163</v>
      </c>
      <c r="E89" s="49">
        <v>1.1919</v>
      </c>
      <c r="F89" s="86">
        <v>1.18</v>
      </c>
      <c r="G89" s="86">
        <f>G88</f>
        <v>1.18</v>
      </c>
      <c r="H89" s="86">
        <f t="shared" ref="H89:P89" si="23">H88</f>
        <v>1.18</v>
      </c>
      <c r="I89" s="86">
        <f t="shared" si="23"/>
        <v>1.18</v>
      </c>
      <c r="J89" s="86">
        <f t="shared" si="23"/>
        <v>1.18</v>
      </c>
      <c r="K89" s="86">
        <f t="shared" si="23"/>
        <v>1.18</v>
      </c>
      <c r="L89" s="86">
        <f t="shared" si="23"/>
        <v>1.18</v>
      </c>
      <c r="M89" s="86">
        <f t="shared" si="23"/>
        <v>1.18</v>
      </c>
      <c r="N89" s="86">
        <f t="shared" si="23"/>
        <v>1.18</v>
      </c>
      <c r="O89" s="86">
        <f t="shared" si="23"/>
        <v>1.18</v>
      </c>
      <c r="P89" s="86">
        <f t="shared" si="23"/>
        <v>1.18</v>
      </c>
    </row>
    <row r="91" spans="2:18" x14ac:dyDescent="0.35">
      <c r="B91" s="5" t="s">
        <v>57</v>
      </c>
      <c r="C91" s="19" t="s">
        <v>163</v>
      </c>
      <c r="E91" s="14">
        <f>E85/E88</f>
        <v>156796877.13191494</v>
      </c>
      <c r="F91" s="14">
        <f t="shared" ref="F91:P92" si="24">F85/F88</f>
        <v>153212441.29541075</v>
      </c>
      <c r="G91" s="14">
        <f t="shared" si="24"/>
        <v>154757549.81355938</v>
      </c>
      <c r="H91" s="14">
        <f t="shared" si="24"/>
        <v>154757549.81355938</v>
      </c>
      <c r="I91" s="14">
        <f t="shared" si="24"/>
        <v>154757549.81355938</v>
      </c>
      <c r="J91" s="14">
        <f t="shared" si="24"/>
        <v>154757549.81355938</v>
      </c>
      <c r="K91" s="14">
        <f t="shared" si="24"/>
        <v>154757549.81355938</v>
      </c>
      <c r="L91" s="14">
        <f t="shared" si="24"/>
        <v>154757549.81355938</v>
      </c>
      <c r="M91" s="14">
        <f t="shared" si="24"/>
        <v>154757549.81355938</v>
      </c>
      <c r="N91" s="14">
        <f t="shared" si="24"/>
        <v>154757549.81355938</v>
      </c>
      <c r="O91" s="14">
        <f t="shared" si="24"/>
        <v>154757549.81355938</v>
      </c>
      <c r="P91" s="14">
        <f t="shared" si="24"/>
        <v>154757549.81355938</v>
      </c>
    </row>
    <row r="92" spans="2:18" x14ac:dyDescent="0.35">
      <c r="B92" s="5" t="s">
        <v>58</v>
      </c>
      <c r="C92" s="19" t="s">
        <v>163</v>
      </c>
      <c r="E92" s="14">
        <f>E86/E89</f>
        <v>153212441.29541075</v>
      </c>
      <c r="F92" s="14">
        <f t="shared" si="24"/>
        <v>154757549.81355938</v>
      </c>
      <c r="G92" s="14">
        <f t="shared" si="24"/>
        <v>154757549.81355938</v>
      </c>
      <c r="H92" s="14">
        <f t="shared" si="24"/>
        <v>154757549.81355938</v>
      </c>
      <c r="I92" s="14">
        <f t="shared" si="24"/>
        <v>154757549.81355938</v>
      </c>
      <c r="J92" s="14">
        <f t="shared" si="24"/>
        <v>154757549.81355938</v>
      </c>
      <c r="K92" s="14">
        <f t="shared" si="24"/>
        <v>154757549.81355938</v>
      </c>
      <c r="L92" s="14">
        <f t="shared" si="24"/>
        <v>154757549.81355938</v>
      </c>
      <c r="M92" s="14">
        <f t="shared" si="24"/>
        <v>154757549.81355938</v>
      </c>
      <c r="N92" s="14">
        <f>N86/N89</f>
        <v>154757549.81355938</v>
      </c>
      <c r="O92" s="14">
        <f t="shared" si="24"/>
        <v>154757549.81355938</v>
      </c>
      <c r="P92" s="14">
        <f t="shared" si="24"/>
        <v>154757549.81355938</v>
      </c>
    </row>
    <row r="99" spans="2:16" x14ac:dyDescent="0.35">
      <c r="B99" s="3" t="s">
        <v>72</v>
      </c>
    </row>
    <row r="101" spans="2:16" x14ac:dyDescent="0.35">
      <c r="B101" s="5" t="s">
        <v>147</v>
      </c>
      <c r="C101" s="19" t="s">
        <v>162</v>
      </c>
      <c r="E101" s="14">
        <f t="shared" ref="E101:P101" si="25">E91+E64</f>
        <v>361695333.29242313</v>
      </c>
      <c r="F101" s="14">
        <f t="shared" si="25"/>
        <v>341296169.45591891</v>
      </c>
      <c r="G101" s="14">
        <f t="shared" si="25"/>
        <v>342841277.97406757</v>
      </c>
      <c r="H101" s="14">
        <f t="shared" si="25"/>
        <v>342841277.97406757</v>
      </c>
      <c r="I101" s="14">
        <f t="shared" si="25"/>
        <v>342841277.97406757</v>
      </c>
      <c r="J101" s="14">
        <f t="shared" si="25"/>
        <v>342841277.97406757</v>
      </c>
      <c r="K101" s="14">
        <f t="shared" si="25"/>
        <v>342841277.97406757</v>
      </c>
      <c r="L101" s="14">
        <f t="shared" si="25"/>
        <v>342841277.97406757</v>
      </c>
      <c r="M101" s="14">
        <f t="shared" si="25"/>
        <v>342841277.97406757</v>
      </c>
      <c r="N101" s="14">
        <f t="shared" si="25"/>
        <v>342841277.97406757</v>
      </c>
      <c r="O101" s="14">
        <f t="shared" si="25"/>
        <v>342841277.97406757</v>
      </c>
      <c r="P101" s="14">
        <f t="shared" si="25"/>
        <v>342841277.97406757</v>
      </c>
    </row>
    <row r="102" spans="2:16" x14ac:dyDescent="0.35">
      <c r="B102" s="5" t="s">
        <v>146</v>
      </c>
      <c r="C102" s="19" t="s">
        <v>162</v>
      </c>
      <c r="E102" s="14">
        <f t="shared" ref="E102:P102" si="26">E92+E65</f>
        <v>341296169.45591891</v>
      </c>
      <c r="F102" s="14">
        <f t="shared" si="26"/>
        <v>342841277.97406757</v>
      </c>
      <c r="G102" s="14">
        <f t="shared" si="26"/>
        <v>342841277.97406757</v>
      </c>
      <c r="H102" s="14">
        <f t="shared" si="26"/>
        <v>342841277.97406757</v>
      </c>
      <c r="I102" s="14">
        <f t="shared" si="26"/>
        <v>342841277.97406757</v>
      </c>
      <c r="J102" s="14">
        <f t="shared" si="26"/>
        <v>342841277.97406757</v>
      </c>
      <c r="K102" s="14">
        <f t="shared" si="26"/>
        <v>342841277.97406757</v>
      </c>
      <c r="L102" s="14">
        <f t="shared" si="26"/>
        <v>342841277.97406757</v>
      </c>
      <c r="M102" s="14">
        <f t="shared" si="26"/>
        <v>342841277.97406757</v>
      </c>
      <c r="N102" s="14">
        <f t="shared" si="26"/>
        <v>342841277.97406757</v>
      </c>
      <c r="O102" s="14">
        <f t="shared" si="26"/>
        <v>342841277.97406757</v>
      </c>
      <c r="P102" s="14">
        <f t="shared" si="26"/>
        <v>342841277.97406757</v>
      </c>
    </row>
    <row r="106" spans="2:16" x14ac:dyDescent="0.35">
      <c r="B106" s="72" t="s">
        <v>171</v>
      </c>
      <c r="E106" s="18"/>
      <c r="F106" s="4"/>
      <c r="G106" s="4"/>
      <c r="H106" s="4"/>
      <c r="I106" s="4"/>
      <c r="J106" s="4"/>
    </row>
    <row r="107" spans="2:16" x14ac:dyDescent="0.35">
      <c r="B107" s="2" t="s">
        <v>202</v>
      </c>
      <c r="E107" s="18"/>
      <c r="F107" s="18"/>
      <c r="G107" s="18"/>
      <c r="H107" s="18"/>
      <c r="I107" s="18"/>
      <c r="J107" s="18"/>
      <c r="K107" s="18"/>
    </row>
    <row r="108" spans="2:16" x14ac:dyDescent="0.35">
      <c r="B108" s="2"/>
      <c r="E108" s="18"/>
      <c r="F108" s="18"/>
      <c r="G108" s="18"/>
      <c r="H108" s="18"/>
      <c r="I108" s="18"/>
      <c r="J108" s="18"/>
      <c r="K108" s="18"/>
    </row>
    <row r="109" spans="2:16" x14ac:dyDescent="0.35">
      <c r="B109" s="2" t="s">
        <v>201</v>
      </c>
      <c r="E109" s="18">
        <v>341296169.35642403</v>
      </c>
      <c r="F109" s="18">
        <v>0</v>
      </c>
      <c r="G109" s="18">
        <v>0</v>
      </c>
      <c r="H109" s="18">
        <v>0</v>
      </c>
      <c r="I109" s="18">
        <v>0</v>
      </c>
      <c r="J109" s="18">
        <v>0</v>
      </c>
      <c r="K109" s="18">
        <v>0</v>
      </c>
      <c r="L109" s="18">
        <v>0</v>
      </c>
      <c r="M109" s="18">
        <v>0</v>
      </c>
      <c r="N109" s="18">
        <v>0</v>
      </c>
      <c r="O109" s="18">
        <v>0</v>
      </c>
      <c r="P109" s="18">
        <v>0</v>
      </c>
    </row>
    <row r="110" spans="2:16" x14ac:dyDescent="0.35">
      <c r="B110" t="s">
        <v>200</v>
      </c>
      <c r="E110" s="4">
        <f>E102-E109</f>
        <v>9.9494874477386475E-2</v>
      </c>
      <c r="F110" s="4">
        <f t="shared" ref="F110:M110" si="27">F102-F109</f>
        <v>342841277.97406757</v>
      </c>
      <c r="G110" s="4">
        <f t="shared" si="27"/>
        <v>342841277.97406757</v>
      </c>
      <c r="H110" s="4">
        <f t="shared" si="27"/>
        <v>342841277.97406757</v>
      </c>
      <c r="I110" s="4">
        <f t="shared" si="27"/>
        <v>342841277.97406757</v>
      </c>
      <c r="J110" s="4">
        <f t="shared" si="27"/>
        <v>342841277.97406757</v>
      </c>
      <c r="K110" s="4">
        <f t="shared" si="27"/>
        <v>342841277.97406757</v>
      </c>
      <c r="L110" s="4">
        <f t="shared" si="27"/>
        <v>342841277.97406757</v>
      </c>
      <c r="M110" s="4">
        <f t="shared" si="27"/>
        <v>342841277.97406757</v>
      </c>
      <c r="N110" s="4">
        <f>N102-N109</f>
        <v>342841277.97406757</v>
      </c>
      <c r="O110" s="4">
        <f>O102-O109</f>
        <v>342841277.97406757</v>
      </c>
      <c r="P110" s="4">
        <f>P102-P109</f>
        <v>342841277.97406757</v>
      </c>
    </row>
    <row r="111" spans="2:16" x14ac:dyDescent="0.35">
      <c r="E111" s="4"/>
      <c r="F111" s="4"/>
      <c r="G111" s="4"/>
      <c r="H111" s="4"/>
      <c r="I111" s="4"/>
      <c r="J111" s="4"/>
      <c r="K111" s="9"/>
      <c r="L111" s="9"/>
    </row>
    <row r="112" spans="2:16" x14ac:dyDescent="0.35">
      <c r="B112" t="s">
        <v>198</v>
      </c>
      <c r="E112" s="4">
        <v>-16814728.001011997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</row>
    <row r="113" spans="2:16" x14ac:dyDescent="0.35">
      <c r="B113" t="s">
        <v>199</v>
      </c>
      <c r="E113" s="4">
        <f t="shared" ref="E113:O113" si="28">E62+E112</f>
        <v>-1.0119974613189697E-3</v>
      </c>
      <c r="F113" s="4">
        <f t="shared" si="28"/>
        <v>0</v>
      </c>
      <c r="G113" s="4">
        <f t="shared" si="28"/>
        <v>0</v>
      </c>
      <c r="H113" s="4">
        <f t="shared" si="28"/>
        <v>0</v>
      </c>
      <c r="I113" s="4">
        <f t="shared" si="28"/>
        <v>0</v>
      </c>
      <c r="J113" s="4">
        <f t="shared" si="28"/>
        <v>0</v>
      </c>
      <c r="K113" s="4">
        <f t="shared" si="28"/>
        <v>0</v>
      </c>
      <c r="L113" s="4">
        <f t="shared" si="28"/>
        <v>0</v>
      </c>
      <c r="M113" s="4">
        <f t="shared" si="28"/>
        <v>0</v>
      </c>
      <c r="N113" s="4">
        <f t="shared" si="28"/>
        <v>0</v>
      </c>
      <c r="O113" s="4">
        <f t="shared" si="28"/>
        <v>0</v>
      </c>
      <c r="P113" s="4">
        <f>P62+P112</f>
        <v>0</v>
      </c>
    </row>
    <row r="114" spans="2:16" x14ac:dyDescent="0.35"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 spans="2:16" x14ac:dyDescent="0.35">
      <c r="B115" t="s">
        <v>115</v>
      </c>
      <c r="E115" s="4"/>
      <c r="F115" s="4"/>
      <c r="G115" s="4"/>
      <c r="H115" s="4"/>
      <c r="I115" s="4"/>
      <c r="J115" s="4"/>
      <c r="K115" s="9"/>
      <c r="L115" s="9"/>
    </row>
    <row r="116" spans="2:16" x14ac:dyDescent="0.35">
      <c r="B116" t="s">
        <v>169</v>
      </c>
      <c r="E116" s="4">
        <v>188083728.06101334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</row>
    <row r="117" spans="2:16" x14ac:dyDescent="0.35">
      <c r="B117" t="s">
        <v>203</v>
      </c>
      <c r="E117" s="4">
        <f t="shared" ref="E117:O117" si="29">E116-E65</f>
        <v>-9.9494844675064087E-2</v>
      </c>
      <c r="F117" s="4">
        <f t="shared" si="29"/>
        <v>-188083728.16050819</v>
      </c>
      <c r="G117" s="4">
        <f t="shared" si="29"/>
        <v>-188083728.16050819</v>
      </c>
      <c r="H117" s="4">
        <f t="shared" si="29"/>
        <v>-188083728.16050819</v>
      </c>
      <c r="I117" s="4">
        <f t="shared" si="29"/>
        <v>-188083728.16050819</v>
      </c>
      <c r="J117" s="4">
        <f t="shared" si="29"/>
        <v>-188083728.16050819</v>
      </c>
      <c r="K117" s="4">
        <f t="shared" si="29"/>
        <v>-188083728.16050819</v>
      </c>
      <c r="L117" s="4">
        <f t="shared" si="29"/>
        <v>-188083728.16050819</v>
      </c>
      <c r="M117" s="4">
        <f t="shared" si="29"/>
        <v>-188083728.16050819</v>
      </c>
      <c r="N117" s="4">
        <f t="shared" si="29"/>
        <v>-188083728.16050819</v>
      </c>
      <c r="O117" s="4">
        <f t="shared" si="29"/>
        <v>-188083728.16050819</v>
      </c>
      <c r="P117" s="4">
        <f t="shared" ref="P117" si="30">P116-P65</f>
        <v>-188083728.16050819</v>
      </c>
    </row>
    <row r="118" spans="2:16" x14ac:dyDescent="0.35"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 spans="2:16" x14ac:dyDescent="0.35">
      <c r="B119" t="s">
        <v>115</v>
      </c>
      <c r="E119" s="4"/>
      <c r="F119" s="4"/>
      <c r="G119" s="4"/>
      <c r="H119" s="4"/>
      <c r="I119" s="4"/>
      <c r="J119" s="4"/>
      <c r="K119" s="9"/>
      <c r="L119" s="9"/>
    </row>
    <row r="120" spans="2:16" x14ac:dyDescent="0.35">
      <c r="B120" t="s">
        <v>170</v>
      </c>
      <c r="E120" s="66">
        <v>182613908.78000006</v>
      </c>
      <c r="F120" s="66">
        <v>0</v>
      </c>
      <c r="G120" s="66">
        <v>0</v>
      </c>
      <c r="H120" s="66">
        <v>0</v>
      </c>
      <c r="I120" s="66">
        <v>0</v>
      </c>
      <c r="J120" s="66">
        <v>0</v>
      </c>
      <c r="K120" s="66">
        <v>0</v>
      </c>
      <c r="L120" s="66">
        <v>0</v>
      </c>
      <c r="M120" s="66">
        <v>0</v>
      </c>
      <c r="N120" s="66">
        <v>0</v>
      </c>
      <c r="O120" s="66">
        <v>0</v>
      </c>
      <c r="P120" s="66">
        <v>0</v>
      </c>
    </row>
    <row r="121" spans="2:16" x14ac:dyDescent="0.35">
      <c r="B121" t="s">
        <v>204</v>
      </c>
      <c r="E121" s="4">
        <f>E120-E86</f>
        <v>0</v>
      </c>
      <c r="F121" s="4">
        <f t="shared" ref="F121:O121" si="31">F120-F86</f>
        <v>-182613908.78000006</v>
      </c>
      <c r="G121" s="4">
        <f t="shared" si="31"/>
        <v>-182613908.78000006</v>
      </c>
      <c r="H121" s="4">
        <f t="shared" si="31"/>
        <v>-182613908.78000006</v>
      </c>
      <c r="I121" s="4">
        <f t="shared" si="31"/>
        <v>-182613908.78000006</v>
      </c>
      <c r="J121" s="4">
        <f t="shared" si="31"/>
        <v>-182613908.78000006</v>
      </c>
      <c r="K121" s="4">
        <f t="shared" si="31"/>
        <v>-182613908.78000006</v>
      </c>
      <c r="L121" s="4">
        <f t="shared" si="31"/>
        <v>-182613908.78000006</v>
      </c>
      <c r="M121" s="4">
        <f t="shared" si="31"/>
        <v>-182613908.78000006</v>
      </c>
      <c r="N121" s="4">
        <f t="shared" si="31"/>
        <v>-182613908.78000006</v>
      </c>
      <c r="O121" s="4">
        <f t="shared" si="31"/>
        <v>-182613908.78000006</v>
      </c>
      <c r="P121" s="4">
        <f t="shared" ref="P121" si="32">P120-P86</f>
        <v>-182613908.78000006</v>
      </c>
    </row>
    <row r="123" spans="2:16" x14ac:dyDescent="0.35">
      <c r="B123" t="s">
        <v>205</v>
      </c>
      <c r="E123" s="65">
        <v>1282414.5386169842</v>
      </c>
      <c r="F123" s="65">
        <v>0</v>
      </c>
      <c r="G123" s="65">
        <v>0</v>
      </c>
      <c r="H123" s="65">
        <v>0</v>
      </c>
      <c r="I123" s="65">
        <v>0</v>
      </c>
      <c r="J123" s="65">
        <v>0</v>
      </c>
      <c r="K123" s="65">
        <v>0</v>
      </c>
      <c r="L123" s="65">
        <v>0</v>
      </c>
      <c r="M123" s="65">
        <v>0</v>
      </c>
      <c r="N123" s="65">
        <v>0</v>
      </c>
      <c r="O123" s="65">
        <v>0</v>
      </c>
      <c r="P123" s="65">
        <v>0</v>
      </c>
    </row>
    <row r="124" spans="2:16" x14ac:dyDescent="0.35">
      <c r="B124" t="s">
        <v>184</v>
      </c>
      <c r="E124" s="65">
        <f>-(SUM(E53:E55)+SUM(E76:E77,'LLC actual'!E28)/ 'LLC actual'!E40)</f>
        <v>1282599.5651063831</v>
      </c>
      <c r="F124" s="65">
        <f>-(SUM(F53:F55)+SUM(F76:F77,'LLC actual'!F28)/ 'LLC actual'!F40)</f>
        <v>0</v>
      </c>
      <c r="G124" s="65">
        <f>-(SUM(G53:G55)+SUM(G76:G77,'LLC actual'!G28)/ 'LLC actual'!G40)</f>
        <v>0</v>
      </c>
      <c r="H124" s="65">
        <f>-(SUM(H53:H55)+SUM(H76:H77,'LLC actual'!H28)/ 'LLC actual'!H40)</f>
        <v>0</v>
      </c>
      <c r="I124" s="65">
        <f>-(SUM(I53:I55)+SUM(I76:I77,'LLC actual'!I28)/ 'LLC actual'!I40)</f>
        <v>0</v>
      </c>
      <c r="J124" s="65">
        <f>-(SUM(J53:J55)+SUM(J76:J77,'LLC actual'!J28)/ 'LLC actual'!J40)</f>
        <v>0</v>
      </c>
      <c r="K124" s="65">
        <f>-(SUM(K53:K55)+SUM(K76:K77,'LLC actual'!K28)/ 'LLC actual'!K40)</f>
        <v>0</v>
      </c>
      <c r="L124" s="65">
        <f>-(SUM(L53:L55)+SUM(L76:L77,'LLC actual'!L28)/ 'LLC actual'!L40)</f>
        <v>0</v>
      </c>
      <c r="M124" s="65">
        <f>-(SUM(M53:M55)+SUM(M76:M77,'LLC actual'!M28)/ 'LLC actual'!M40)</f>
        <v>0</v>
      </c>
      <c r="N124" s="65">
        <f>-(SUM(N53:N55)+SUM(N76:N77,'LLC actual'!N28)/ 'LLC actual'!N40)</f>
        <v>0</v>
      </c>
      <c r="O124" s="65">
        <f>-(SUM(O53:O55)+SUM(O76:O77,'LLC actual'!O28)/ 'LLC actual'!O40)</f>
        <v>0</v>
      </c>
      <c r="P124" s="65">
        <f>-(SUM(P53:P55)+SUM(P76:P77,'LLC actual'!P28)/ 'LLC actual'!P40)</f>
        <v>0</v>
      </c>
    </row>
    <row r="125" spans="2:16" x14ac:dyDescent="0.35">
      <c r="B125" t="s">
        <v>185</v>
      </c>
      <c r="E125" s="38">
        <f>E124-E123</f>
        <v>185.02648939890787</v>
      </c>
      <c r="F125" s="38">
        <f t="shared" ref="F125:N125" si="33">F124-F123</f>
        <v>0</v>
      </c>
      <c r="G125" s="38">
        <f t="shared" si="33"/>
        <v>0</v>
      </c>
      <c r="H125" s="38">
        <f t="shared" si="33"/>
        <v>0</v>
      </c>
      <c r="I125" s="38">
        <f t="shared" si="33"/>
        <v>0</v>
      </c>
      <c r="J125" s="38">
        <f t="shared" si="33"/>
        <v>0</v>
      </c>
      <c r="K125" s="38">
        <f t="shared" si="33"/>
        <v>0</v>
      </c>
      <c r="L125" s="38">
        <f t="shared" si="33"/>
        <v>0</v>
      </c>
      <c r="M125" s="38">
        <f t="shared" si="33"/>
        <v>0</v>
      </c>
      <c r="N125" s="38">
        <f t="shared" si="33"/>
        <v>0</v>
      </c>
      <c r="O125" s="38">
        <f>O124-O123</f>
        <v>0</v>
      </c>
      <c r="P125" s="38">
        <f>P124-P123</f>
        <v>0</v>
      </c>
    </row>
    <row r="126" spans="2:16" x14ac:dyDescent="0.35">
      <c r="E126" s="2" t="s">
        <v>186</v>
      </c>
      <c r="F126" s="2"/>
      <c r="G126" s="2"/>
      <c r="H126" s="2"/>
      <c r="I126" s="2"/>
      <c r="J126" s="2"/>
      <c r="K126" s="2"/>
      <c r="L126" s="2"/>
      <c r="M126" s="2"/>
      <c r="N126" s="2"/>
      <c r="O126" s="38">
        <f>O125*O89</f>
        <v>0</v>
      </c>
      <c r="P126" s="38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CFBB2-93A4-4E66-BA8B-057DB87C128A}">
  <sheetPr>
    <tabColor theme="0" tint="-0.249977111117893"/>
  </sheetPr>
  <dimension ref="B3:R52"/>
  <sheetViews>
    <sheetView showGridLines="0" topLeftCell="B1" zoomScale="110" zoomScaleNormal="110" workbookViewId="0">
      <selection activeCell="E40" sqref="E40:E41"/>
    </sheetView>
  </sheetViews>
  <sheetFormatPr defaultColWidth="10.54296875" defaultRowHeight="14.5" x14ac:dyDescent="0.35"/>
  <cols>
    <col min="1" max="1" width="48" customWidth="1"/>
    <col min="2" max="2" width="36.54296875" customWidth="1"/>
    <col min="3" max="3" width="2.54296875" bestFit="1" customWidth="1"/>
    <col min="4" max="4" width="8.453125" customWidth="1"/>
    <col min="5" max="5" width="23.453125" bestFit="1" customWidth="1"/>
    <col min="6" max="16" width="11.7265625" bestFit="1" customWidth="1"/>
    <col min="18" max="18" width="11.54296875" bestFit="1" customWidth="1"/>
    <col min="19" max="19" width="28" customWidth="1"/>
  </cols>
  <sheetData>
    <row r="3" spans="2:18" x14ac:dyDescent="0.35">
      <c r="B3" s="3"/>
      <c r="C3" s="10"/>
      <c r="E3" s="3" t="s">
        <v>105</v>
      </c>
    </row>
    <row r="6" spans="2:18" x14ac:dyDescent="0.35">
      <c r="B6" s="3" t="s">
        <v>104</v>
      </c>
      <c r="C6" s="3"/>
    </row>
    <row r="7" spans="2:18" x14ac:dyDescent="0.35">
      <c r="E7" s="11">
        <v>46023</v>
      </c>
      <c r="F7" s="11">
        <f t="shared" ref="F7:P7" si="0">EDATE(E7,1)</f>
        <v>46054</v>
      </c>
      <c r="G7" s="11">
        <f t="shared" si="0"/>
        <v>46082</v>
      </c>
      <c r="H7" s="11">
        <f t="shared" si="0"/>
        <v>46113</v>
      </c>
      <c r="I7" s="11">
        <f t="shared" si="0"/>
        <v>46143</v>
      </c>
      <c r="J7" s="11">
        <f t="shared" si="0"/>
        <v>46174</v>
      </c>
      <c r="K7" s="11">
        <f>EDATE(J7,1)</f>
        <v>46204</v>
      </c>
      <c r="L7" s="11">
        <f t="shared" si="0"/>
        <v>46235</v>
      </c>
      <c r="M7" s="11">
        <f t="shared" si="0"/>
        <v>46266</v>
      </c>
      <c r="N7" s="11">
        <f t="shared" si="0"/>
        <v>46296</v>
      </c>
      <c r="O7" s="11">
        <f>EDATE(N7,1)</f>
        <v>46327</v>
      </c>
      <c r="P7" s="11">
        <f t="shared" si="0"/>
        <v>46357</v>
      </c>
      <c r="R7" s="15">
        <v>2026</v>
      </c>
    </row>
    <row r="8" spans="2:18" x14ac:dyDescent="0.35"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R8" s="1"/>
    </row>
    <row r="9" spans="2:18" x14ac:dyDescent="0.35">
      <c r="B9" s="12" t="s">
        <v>13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R9" s="1"/>
    </row>
    <row r="10" spans="2:18" x14ac:dyDescent="0.35">
      <c r="B10" s="13" t="s">
        <v>76</v>
      </c>
      <c r="C10" s="19" t="s">
        <v>163</v>
      </c>
      <c r="E10" s="46">
        <v>615407.30000000005</v>
      </c>
      <c r="F10" s="46">
        <v>0</v>
      </c>
      <c r="G10" s="46">
        <v>0</v>
      </c>
      <c r="H10" s="46">
        <v>0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v>0</v>
      </c>
      <c r="O10" s="46">
        <v>0</v>
      </c>
      <c r="P10" s="46">
        <v>0</v>
      </c>
      <c r="R10" s="8">
        <f>SUM(E10:P10)</f>
        <v>615407.30000000005</v>
      </c>
    </row>
    <row r="11" spans="2:18" x14ac:dyDescent="0.35">
      <c r="B11" s="13" t="s">
        <v>77</v>
      </c>
      <c r="C11" s="19" t="s">
        <v>163</v>
      </c>
      <c r="E11" s="46">
        <v>0</v>
      </c>
      <c r="F11" s="46">
        <v>0</v>
      </c>
      <c r="G11" s="46">
        <v>0</v>
      </c>
      <c r="H11" s="46">
        <v>0</v>
      </c>
      <c r="I11" s="46">
        <v>0</v>
      </c>
      <c r="J11" s="46">
        <v>0</v>
      </c>
      <c r="K11" s="46">
        <v>0</v>
      </c>
      <c r="L11" s="46">
        <v>0</v>
      </c>
      <c r="M11" s="46">
        <v>0</v>
      </c>
      <c r="N11" s="46">
        <v>0</v>
      </c>
      <c r="O11" s="46">
        <v>0</v>
      </c>
      <c r="P11" s="46">
        <v>0</v>
      </c>
      <c r="R11" s="8">
        <f t="shared" ref="R11:R26" si="1">SUM(E11:P11)</f>
        <v>0</v>
      </c>
    </row>
    <row r="12" spans="2:18" x14ac:dyDescent="0.35">
      <c r="B12" s="13" t="s">
        <v>80</v>
      </c>
      <c r="C12" s="19" t="s">
        <v>163</v>
      </c>
      <c r="E12" s="46">
        <v>1825.81</v>
      </c>
      <c r="F12" s="46">
        <v>0</v>
      </c>
      <c r="G12" s="46">
        <v>0</v>
      </c>
      <c r="H12" s="46">
        <v>0</v>
      </c>
      <c r="I12" s="46">
        <v>0</v>
      </c>
      <c r="J12" s="46">
        <v>0</v>
      </c>
      <c r="K12" s="46">
        <v>0</v>
      </c>
      <c r="L12" s="46">
        <v>0</v>
      </c>
      <c r="M12" s="46">
        <v>0</v>
      </c>
      <c r="N12" s="46">
        <v>0</v>
      </c>
      <c r="O12" s="46">
        <v>0</v>
      </c>
      <c r="P12" s="46">
        <v>0</v>
      </c>
      <c r="R12" s="8"/>
    </row>
    <row r="13" spans="2:18" x14ac:dyDescent="0.35">
      <c r="B13" s="42" t="s">
        <v>59</v>
      </c>
      <c r="C13" s="19" t="s">
        <v>163</v>
      </c>
      <c r="E13" s="20">
        <f t="shared" ref="E13:P13" si="2">SUM(E10:E12)</f>
        <v>617233.1100000001</v>
      </c>
      <c r="F13" s="20">
        <f t="shared" si="2"/>
        <v>0</v>
      </c>
      <c r="G13" s="20">
        <f t="shared" si="2"/>
        <v>0</v>
      </c>
      <c r="H13" s="20">
        <f t="shared" si="2"/>
        <v>0</v>
      </c>
      <c r="I13" s="20">
        <f t="shared" si="2"/>
        <v>0</v>
      </c>
      <c r="J13" s="20">
        <f t="shared" si="2"/>
        <v>0</v>
      </c>
      <c r="K13" s="20">
        <f t="shared" si="2"/>
        <v>0</v>
      </c>
      <c r="L13" s="20">
        <f t="shared" si="2"/>
        <v>0</v>
      </c>
      <c r="M13" s="20">
        <f t="shared" si="2"/>
        <v>0</v>
      </c>
      <c r="N13" s="20">
        <f t="shared" si="2"/>
        <v>0</v>
      </c>
      <c r="O13" s="20">
        <f t="shared" si="2"/>
        <v>0</v>
      </c>
      <c r="P13" s="20">
        <f t="shared" si="2"/>
        <v>0</v>
      </c>
      <c r="R13" s="20">
        <f t="shared" ref="R13" si="3">SUM(E13:P13)</f>
        <v>617233.1100000001</v>
      </c>
    </row>
    <row r="15" spans="2:18" x14ac:dyDescent="0.35">
      <c r="B15" s="5" t="s">
        <v>220</v>
      </c>
      <c r="C15" s="19" t="s">
        <v>163</v>
      </c>
      <c r="E15" s="46">
        <v>853284.16000000015</v>
      </c>
      <c r="F15" s="46">
        <v>0</v>
      </c>
      <c r="G15" s="46">
        <v>0</v>
      </c>
      <c r="H15" s="46">
        <v>0</v>
      </c>
      <c r="I15" s="46">
        <v>0</v>
      </c>
      <c r="J15" s="46">
        <v>0</v>
      </c>
      <c r="K15" s="46">
        <v>0</v>
      </c>
      <c r="L15" s="46">
        <v>0</v>
      </c>
      <c r="M15" s="46">
        <v>0</v>
      </c>
      <c r="N15" s="46">
        <v>0</v>
      </c>
      <c r="O15" s="46">
        <v>0</v>
      </c>
      <c r="P15" s="46">
        <v>0</v>
      </c>
      <c r="R15" s="8">
        <f t="shared" si="1"/>
        <v>853284.16000000015</v>
      </c>
    </row>
    <row r="16" spans="2:18" x14ac:dyDescent="0.35">
      <c r="B16" s="5" t="s">
        <v>221</v>
      </c>
      <c r="C16" s="19" t="s">
        <v>163</v>
      </c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R16" s="8"/>
    </row>
    <row r="17" spans="2:18" x14ac:dyDescent="0.35">
      <c r="B17" s="5" t="s">
        <v>222</v>
      </c>
      <c r="C17" s="19" t="s">
        <v>163</v>
      </c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R17" s="8"/>
    </row>
    <row r="18" spans="2:18" x14ac:dyDescent="0.35">
      <c r="B18" s="5" t="s">
        <v>223</v>
      </c>
      <c r="C18" s="19" t="s">
        <v>163</v>
      </c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R18" s="8"/>
    </row>
    <row r="19" spans="2:18" x14ac:dyDescent="0.35">
      <c r="B19" s="42" t="s">
        <v>43</v>
      </c>
      <c r="C19" s="19" t="s">
        <v>163</v>
      </c>
      <c r="E19" s="14">
        <f t="shared" ref="E19:P19" si="4">SUM(E15:E18)</f>
        <v>853284.16000000015</v>
      </c>
      <c r="F19" s="14">
        <f t="shared" si="4"/>
        <v>0</v>
      </c>
      <c r="G19" s="14">
        <f t="shared" si="4"/>
        <v>0</v>
      </c>
      <c r="H19" s="14">
        <f t="shared" si="4"/>
        <v>0</v>
      </c>
      <c r="I19" s="14">
        <f t="shared" si="4"/>
        <v>0</v>
      </c>
      <c r="J19" s="14">
        <f t="shared" si="4"/>
        <v>0</v>
      </c>
      <c r="K19" s="14">
        <f t="shared" si="4"/>
        <v>0</v>
      </c>
      <c r="L19" s="14">
        <f t="shared" si="4"/>
        <v>0</v>
      </c>
      <c r="M19" s="14">
        <f t="shared" si="4"/>
        <v>0</v>
      </c>
      <c r="N19" s="14">
        <f t="shared" si="4"/>
        <v>0</v>
      </c>
      <c r="O19" s="14">
        <f t="shared" si="4"/>
        <v>0</v>
      </c>
      <c r="P19" s="14">
        <f t="shared" si="4"/>
        <v>0</v>
      </c>
      <c r="R19" s="14">
        <f t="shared" si="1"/>
        <v>853284.16000000015</v>
      </c>
    </row>
    <row r="20" spans="2:18" x14ac:dyDescent="0.35"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R20" s="4"/>
    </row>
    <row r="21" spans="2:18" x14ac:dyDescent="0.35"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R21" s="4"/>
    </row>
    <row r="22" spans="2:18" x14ac:dyDescent="0.35">
      <c r="B22" s="5" t="s">
        <v>180</v>
      </c>
      <c r="C22" s="19" t="s">
        <v>163</v>
      </c>
      <c r="E22" s="46">
        <v>10193888.109999999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v>0</v>
      </c>
      <c r="O22" s="46">
        <v>0</v>
      </c>
      <c r="P22" s="46">
        <v>0</v>
      </c>
      <c r="R22" s="8">
        <f t="shared" si="1"/>
        <v>10193888.109999999</v>
      </c>
    </row>
    <row r="23" spans="2:18" x14ac:dyDescent="0.35">
      <c r="B23" s="5" t="s">
        <v>179</v>
      </c>
      <c r="C23" s="19" t="s">
        <v>163</v>
      </c>
      <c r="E23" s="46">
        <v>0</v>
      </c>
      <c r="F23" s="46">
        <v>0</v>
      </c>
      <c r="G23" s="46">
        <v>0</v>
      </c>
      <c r="H23" s="46">
        <v>0</v>
      </c>
      <c r="I23" s="46">
        <v>0</v>
      </c>
      <c r="J23" s="46">
        <v>0</v>
      </c>
      <c r="K23" s="46">
        <v>0</v>
      </c>
      <c r="L23" s="46">
        <v>0</v>
      </c>
      <c r="M23" s="46">
        <v>0</v>
      </c>
      <c r="N23" s="46">
        <v>0</v>
      </c>
      <c r="O23" s="46">
        <v>0</v>
      </c>
      <c r="P23" s="46">
        <v>0</v>
      </c>
      <c r="R23" s="8"/>
    </row>
    <row r="24" spans="2:18" x14ac:dyDescent="0.35">
      <c r="B24" s="42" t="s">
        <v>45</v>
      </c>
      <c r="C24" s="19" t="s">
        <v>163</v>
      </c>
      <c r="D24" s="10"/>
      <c r="E24" s="14">
        <f t="shared" ref="E24:L24" si="5">SUM(E22:E22)</f>
        <v>10193888.109999999</v>
      </c>
      <c r="F24" s="14">
        <f t="shared" si="5"/>
        <v>0</v>
      </c>
      <c r="G24" s="14">
        <f t="shared" si="5"/>
        <v>0</v>
      </c>
      <c r="H24" s="14">
        <f t="shared" si="5"/>
        <v>0</v>
      </c>
      <c r="I24" s="14">
        <f t="shared" si="5"/>
        <v>0</v>
      </c>
      <c r="J24" s="14">
        <f t="shared" si="5"/>
        <v>0</v>
      </c>
      <c r="K24" s="14">
        <f t="shared" si="5"/>
        <v>0</v>
      </c>
      <c r="L24" s="14">
        <f t="shared" si="5"/>
        <v>0</v>
      </c>
      <c r="M24" s="14">
        <f>SUM(M22:M23)</f>
        <v>0</v>
      </c>
      <c r="N24" s="14">
        <f>SUM(N22:N23)</f>
        <v>0</v>
      </c>
      <c r="O24" s="14">
        <f>SUM(O22:O22)</f>
        <v>0</v>
      </c>
      <c r="P24" s="14">
        <f>SUM(P22:P23)</f>
        <v>0</v>
      </c>
      <c r="R24" s="14">
        <f t="shared" si="1"/>
        <v>10193888.109999999</v>
      </c>
    </row>
    <row r="26" spans="2:18" x14ac:dyDescent="0.35">
      <c r="B26" s="42" t="s">
        <v>46</v>
      </c>
      <c r="C26" s="19" t="s">
        <v>163</v>
      </c>
      <c r="E26" s="14">
        <f>E24+E19</f>
        <v>11047172.27</v>
      </c>
      <c r="F26" s="14">
        <f t="shared" ref="F26:P26" si="6">F24+F19</f>
        <v>0</v>
      </c>
      <c r="G26" s="14">
        <f t="shared" si="6"/>
        <v>0</v>
      </c>
      <c r="H26" s="14">
        <f t="shared" si="6"/>
        <v>0</v>
      </c>
      <c r="I26" s="14">
        <f t="shared" si="6"/>
        <v>0</v>
      </c>
      <c r="J26" s="14">
        <f t="shared" si="6"/>
        <v>0</v>
      </c>
      <c r="K26" s="14">
        <f t="shared" si="6"/>
        <v>0</v>
      </c>
      <c r="L26" s="14">
        <f t="shared" si="6"/>
        <v>0</v>
      </c>
      <c r="M26" s="14">
        <f t="shared" si="6"/>
        <v>0</v>
      </c>
      <c r="N26" s="14">
        <f t="shared" si="6"/>
        <v>0</v>
      </c>
      <c r="O26" s="14">
        <f t="shared" si="6"/>
        <v>0</v>
      </c>
      <c r="P26" s="14">
        <f t="shared" si="6"/>
        <v>0</v>
      </c>
      <c r="R26" s="14">
        <f t="shared" si="1"/>
        <v>11047172.27</v>
      </c>
    </row>
    <row r="28" spans="2:18" x14ac:dyDescent="0.35">
      <c r="B28" s="5" t="s">
        <v>81</v>
      </c>
      <c r="C28" s="19" t="s">
        <v>163</v>
      </c>
      <c r="E28" s="46">
        <v>-600434.79</v>
      </c>
      <c r="F28" s="46">
        <v>0</v>
      </c>
      <c r="G28" s="46">
        <v>0</v>
      </c>
      <c r="H28" s="46">
        <v>0</v>
      </c>
      <c r="I28" s="46">
        <v>0</v>
      </c>
      <c r="J28" s="46">
        <v>0</v>
      </c>
      <c r="K28" s="46">
        <v>0</v>
      </c>
      <c r="L28" s="46">
        <v>0</v>
      </c>
      <c r="M28" s="46">
        <v>0</v>
      </c>
      <c r="N28" s="46">
        <v>0</v>
      </c>
      <c r="O28" s="46">
        <v>0</v>
      </c>
      <c r="P28" s="46">
        <v>0</v>
      </c>
      <c r="R28" s="8">
        <f t="shared" ref="R28" si="7">SUM(E28:P28)</f>
        <v>-600434.79</v>
      </c>
    </row>
    <row r="29" spans="2:18" x14ac:dyDescent="0.35">
      <c r="B29" s="5" t="s">
        <v>168</v>
      </c>
      <c r="C29" s="19" t="s">
        <v>163</v>
      </c>
      <c r="E29" s="46">
        <v>0</v>
      </c>
      <c r="F29" s="46">
        <v>0</v>
      </c>
      <c r="G29" s="46">
        <v>0</v>
      </c>
      <c r="H29" s="46">
        <v>0</v>
      </c>
      <c r="I29" s="46">
        <v>0</v>
      </c>
      <c r="J29" s="46">
        <v>0</v>
      </c>
      <c r="K29" s="46">
        <v>0</v>
      </c>
      <c r="L29" s="46">
        <v>0</v>
      </c>
      <c r="M29" s="46">
        <v>0</v>
      </c>
      <c r="N29" s="46">
        <v>0</v>
      </c>
      <c r="O29" s="46">
        <v>0</v>
      </c>
      <c r="P29" s="46">
        <v>0</v>
      </c>
      <c r="Q29" s="56"/>
      <c r="R29" s="53"/>
    </row>
    <row r="30" spans="2:18" x14ac:dyDescent="0.35">
      <c r="B30" s="5" t="s">
        <v>176</v>
      </c>
      <c r="C30" s="19" t="s">
        <v>163</v>
      </c>
      <c r="E30" s="46">
        <v>0</v>
      </c>
      <c r="F30" s="46">
        <v>0</v>
      </c>
      <c r="G30" s="46">
        <v>0</v>
      </c>
      <c r="H30" s="46">
        <v>0</v>
      </c>
      <c r="I30" s="46">
        <v>0</v>
      </c>
      <c r="J30" s="46">
        <v>0</v>
      </c>
      <c r="K30" s="46">
        <v>0</v>
      </c>
      <c r="L30" s="46">
        <v>0</v>
      </c>
      <c r="M30" s="46">
        <v>0</v>
      </c>
      <c r="N30" s="46">
        <v>0</v>
      </c>
      <c r="O30" s="46">
        <v>0</v>
      </c>
      <c r="P30" s="46">
        <v>0</v>
      </c>
      <c r="Q30" s="56"/>
      <c r="R30" s="53"/>
    </row>
    <row r="31" spans="2:18" ht="10.5" customHeight="1" x14ac:dyDescent="0.35"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R31" s="4"/>
    </row>
    <row r="32" spans="2:18" x14ac:dyDescent="0.35">
      <c r="B32" s="43" t="s">
        <v>19</v>
      </c>
      <c r="C32" s="19" t="s">
        <v>163</v>
      </c>
      <c r="E32" s="14">
        <f t="shared" ref="E32:J32" si="8">SUM(E28:E29,E24,E19,E13)</f>
        <v>11063970.59</v>
      </c>
      <c r="F32" s="14">
        <f t="shared" si="8"/>
        <v>0</v>
      </c>
      <c r="G32" s="14">
        <f t="shared" si="8"/>
        <v>0</v>
      </c>
      <c r="H32" s="14">
        <f t="shared" si="8"/>
        <v>0</v>
      </c>
      <c r="I32" s="14">
        <f t="shared" si="8"/>
        <v>0</v>
      </c>
      <c r="J32" s="14">
        <f t="shared" si="8"/>
        <v>0</v>
      </c>
      <c r="K32" s="14">
        <f>SUM(K28:K30,K24,K19,K13)</f>
        <v>0</v>
      </c>
      <c r="L32" s="14">
        <f>SUM(L28:L30,L24,L19,L13)</f>
        <v>0</v>
      </c>
      <c r="M32" s="14">
        <f>SUM(M28:M29,M24,M19,M13)</f>
        <v>0</v>
      </c>
      <c r="N32" s="14">
        <f>SUM(N28:N29,N24,N19,N13)</f>
        <v>0</v>
      </c>
      <c r="O32" s="14">
        <f>SUM(O28:O29,O24,O19,O13)</f>
        <v>0</v>
      </c>
      <c r="P32" s="14">
        <f>SUM(P28:P29,P24,P19,P13)</f>
        <v>0</v>
      </c>
      <c r="R32" s="14">
        <f t="shared" ref="R32" si="9">SUM(E32:P32)</f>
        <v>11063970.59</v>
      </c>
    </row>
    <row r="33" spans="2:18" x14ac:dyDescent="0.35">
      <c r="R33" s="18">
        <f>R32/12</f>
        <v>921997.54916666669</v>
      </c>
    </row>
    <row r="34" spans="2:18" x14ac:dyDescent="0.35"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R34" s="18"/>
    </row>
    <row r="35" spans="2:18" x14ac:dyDescent="0.35">
      <c r="B35" s="3" t="s">
        <v>153</v>
      </c>
      <c r="R35" s="18"/>
    </row>
    <row r="36" spans="2:18" x14ac:dyDescent="0.35">
      <c r="R36" s="18"/>
    </row>
    <row r="37" spans="2:18" x14ac:dyDescent="0.35">
      <c r="B37" s="5" t="s">
        <v>85</v>
      </c>
      <c r="C37" s="19" t="s">
        <v>163</v>
      </c>
      <c r="E37" s="14">
        <v>197943156.41999999</v>
      </c>
      <c r="F37" s="14">
        <f>E38</f>
        <v>186879185.82999998</v>
      </c>
      <c r="G37" s="14">
        <f t="shared" ref="G37:P37" si="10">F38</f>
        <v>186879185.82999998</v>
      </c>
      <c r="H37" s="14">
        <f t="shared" si="10"/>
        <v>186879185.82999998</v>
      </c>
      <c r="I37" s="14">
        <f t="shared" si="10"/>
        <v>186879185.82999998</v>
      </c>
      <c r="J37" s="14">
        <f t="shared" si="10"/>
        <v>186879185.82999998</v>
      </c>
      <c r="K37" s="14">
        <f t="shared" si="10"/>
        <v>186879185.82999998</v>
      </c>
      <c r="L37" s="14">
        <f t="shared" si="10"/>
        <v>186879185.82999998</v>
      </c>
      <c r="M37" s="14">
        <f t="shared" si="10"/>
        <v>186879185.82999998</v>
      </c>
      <c r="N37" s="14">
        <f>M38</f>
        <v>186879185.82999998</v>
      </c>
      <c r="O37" s="14">
        <f t="shared" si="10"/>
        <v>186879185.82999998</v>
      </c>
      <c r="P37" s="14">
        <f t="shared" si="10"/>
        <v>186879185.82999998</v>
      </c>
    </row>
    <row r="38" spans="2:18" x14ac:dyDescent="0.35">
      <c r="B38" s="5" t="s">
        <v>86</v>
      </c>
      <c r="C38" s="19" t="s">
        <v>163</v>
      </c>
      <c r="E38" s="14">
        <f>E37-E32</f>
        <v>186879185.82999998</v>
      </c>
      <c r="F38" s="14">
        <f>F37-F32</f>
        <v>186879185.82999998</v>
      </c>
      <c r="G38" s="14">
        <f t="shared" ref="G38:P38" si="11">G37-G32</f>
        <v>186879185.82999998</v>
      </c>
      <c r="H38" s="14">
        <f t="shared" si="11"/>
        <v>186879185.82999998</v>
      </c>
      <c r="I38" s="14">
        <f t="shared" si="11"/>
        <v>186879185.82999998</v>
      </c>
      <c r="J38" s="14">
        <f t="shared" si="11"/>
        <v>186879185.82999998</v>
      </c>
      <c r="K38" s="14">
        <f t="shared" si="11"/>
        <v>186879185.82999998</v>
      </c>
      <c r="L38" s="14">
        <f t="shared" si="11"/>
        <v>186879185.82999998</v>
      </c>
      <c r="M38" s="14">
        <f t="shared" si="11"/>
        <v>186879185.82999998</v>
      </c>
      <c r="N38" s="14">
        <f>N37-N32</f>
        <v>186879185.82999998</v>
      </c>
      <c r="O38" s="14">
        <f t="shared" si="11"/>
        <v>186879185.82999998</v>
      </c>
      <c r="P38" s="14">
        <f t="shared" si="11"/>
        <v>186879185.82999998</v>
      </c>
    </row>
    <row r="40" spans="2:18" x14ac:dyDescent="0.35">
      <c r="B40" s="5" t="s">
        <v>73</v>
      </c>
      <c r="C40" s="19" t="s">
        <v>54</v>
      </c>
      <c r="E40" s="33">
        <f>'SA Actual'!E88</f>
        <v>1.175</v>
      </c>
      <c r="F40" s="33">
        <f>'SA Actual'!F88</f>
        <v>1.1919</v>
      </c>
      <c r="G40" s="33">
        <f>'SA Actual'!G88</f>
        <v>1.18</v>
      </c>
      <c r="H40" s="33">
        <f>'SA Actual'!H88</f>
        <v>1.18</v>
      </c>
      <c r="I40" s="33">
        <f>'SA Actual'!I88</f>
        <v>1.18</v>
      </c>
      <c r="J40" s="33">
        <f>'SA Actual'!J88</f>
        <v>1.18</v>
      </c>
      <c r="K40" s="33">
        <f>'SA Actual'!K88</f>
        <v>1.18</v>
      </c>
      <c r="L40" s="33">
        <f>'SA Actual'!L88</f>
        <v>1.18</v>
      </c>
      <c r="M40" s="33">
        <f>'SA Actual'!M88</f>
        <v>1.18</v>
      </c>
      <c r="N40" s="33">
        <f>'SA Actual'!N88</f>
        <v>1.18</v>
      </c>
      <c r="O40" s="33">
        <f>'SA Actual'!O88</f>
        <v>1.18</v>
      </c>
      <c r="P40" s="33">
        <f>'SA Actual'!P88</f>
        <v>1.18</v>
      </c>
      <c r="Q40" s="34"/>
    </row>
    <row r="41" spans="2:18" x14ac:dyDescent="0.35">
      <c r="B41" s="5" t="s">
        <v>74</v>
      </c>
      <c r="C41" s="19" t="s">
        <v>54</v>
      </c>
      <c r="E41" s="33">
        <f>'SA Actual'!E89</f>
        <v>1.1919</v>
      </c>
      <c r="F41" s="33">
        <f>'SA Actual'!F89</f>
        <v>1.18</v>
      </c>
      <c r="G41" s="33">
        <f>'SA Actual'!G89</f>
        <v>1.18</v>
      </c>
      <c r="H41" s="33">
        <f>'SA Actual'!H89</f>
        <v>1.18</v>
      </c>
      <c r="I41" s="33">
        <f>'SA Actual'!I89</f>
        <v>1.18</v>
      </c>
      <c r="J41" s="33">
        <f>'SA Actual'!J89</f>
        <v>1.18</v>
      </c>
      <c r="K41" s="33">
        <f>'SA Actual'!K89</f>
        <v>1.18</v>
      </c>
      <c r="L41" s="33">
        <f>'SA Actual'!L89</f>
        <v>1.18</v>
      </c>
      <c r="M41" s="33">
        <f>'SA Actual'!M89</f>
        <v>1.18</v>
      </c>
      <c r="N41" s="33">
        <f>'SA Actual'!N89</f>
        <v>1.18</v>
      </c>
      <c r="O41" s="33">
        <f>'SA Actual'!O89</f>
        <v>1.18</v>
      </c>
      <c r="P41" s="33">
        <f>'SA Actual'!P89</f>
        <v>1.18</v>
      </c>
    </row>
    <row r="43" spans="2:18" x14ac:dyDescent="0.35">
      <c r="B43" s="3"/>
    </row>
    <row r="44" spans="2:18" ht="6.75" customHeight="1" x14ac:dyDescent="0.35">
      <c r="B44" s="3"/>
    </row>
    <row r="45" spans="2:18" x14ac:dyDescent="0.35">
      <c r="B45" s="5" t="s">
        <v>57</v>
      </c>
      <c r="C45" s="19" t="s">
        <v>162</v>
      </c>
      <c r="E45" s="14">
        <f>E37/E40</f>
        <v>168462260.78297871</v>
      </c>
      <c r="F45" s="14">
        <f t="shared" ref="F45:P46" si="12">F37/F40</f>
        <v>156790994.06829432</v>
      </c>
      <c r="G45" s="14">
        <f t="shared" si="12"/>
        <v>158372191.38135594</v>
      </c>
      <c r="H45" s="14">
        <f t="shared" si="12"/>
        <v>158372191.38135594</v>
      </c>
      <c r="I45" s="14">
        <f t="shared" si="12"/>
        <v>158372191.38135594</v>
      </c>
      <c r="J45" s="14">
        <f t="shared" si="12"/>
        <v>158372191.38135594</v>
      </c>
      <c r="K45" s="14">
        <f t="shared" si="12"/>
        <v>158372191.38135594</v>
      </c>
      <c r="L45" s="14">
        <f t="shared" si="12"/>
        <v>158372191.38135594</v>
      </c>
      <c r="M45" s="14">
        <f t="shared" si="12"/>
        <v>158372191.38135594</v>
      </c>
      <c r="N45" s="14">
        <f t="shared" si="12"/>
        <v>158372191.38135594</v>
      </c>
      <c r="O45" s="14">
        <f t="shared" si="12"/>
        <v>158372191.38135594</v>
      </c>
      <c r="P45" s="14">
        <f t="shared" si="12"/>
        <v>158372191.38135594</v>
      </c>
    </row>
    <row r="46" spans="2:18" x14ac:dyDescent="0.35">
      <c r="B46" s="5" t="s">
        <v>58</v>
      </c>
      <c r="C46" s="19" t="s">
        <v>162</v>
      </c>
      <c r="E46" s="14">
        <f>E38/E41</f>
        <v>156790994.06829432</v>
      </c>
      <c r="F46" s="14">
        <f t="shared" si="12"/>
        <v>158372191.38135594</v>
      </c>
      <c r="G46" s="14">
        <f t="shared" si="12"/>
        <v>158372191.38135594</v>
      </c>
      <c r="H46" s="14">
        <f t="shared" si="12"/>
        <v>158372191.38135594</v>
      </c>
      <c r="I46" s="14">
        <f t="shared" si="12"/>
        <v>158372191.38135594</v>
      </c>
      <c r="J46" s="14">
        <f t="shared" si="12"/>
        <v>158372191.38135594</v>
      </c>
      <c r="K46" s="14">
        <f t="shared" si="12"/>
        <v>158372191.38135594</v>
      </c>
      <c r="L46" s="14">
        <f t="shared" si="12"/>
        <v>158372191.38135594</v>
      </c>
      <c r="M46" s="14">
        <f t="shared" si="12"/>
        <v>158372191.38135594</v>
      </c>
      <c r="N46" s="14">
        <f t="shared" si="12"/>
        <v>158372191.38135594</v>
      </c>
      <c r="O46" s="14">
        <f t="shared" si="12"/>
        <v>158372191.38135594</v>
      </c>
      <c r="P46" s="14">
        <f t="shared" si="12"/>
        <v>158372191.38135594</v>
      </c>
    </row>
    <row r="48" spans="2:18" x14ac:dyDescent="0.35">
      <c r="B48" s="5" t="s">
        <v>57</v>
      </c>
      <c r="C48" s="19" t="s">
        <v>162</v>
      </c>
      <c r="E48" s="14">
        <f>E37/E41</f>
        <v>166073627.33450791</v>
      </c>
    </row>
    <row r="51" spans="2:16" x14ac:dyDescent="0.35">
      <c r="B51" s="2" t="s">
        <v>115</v>
      </c>
      <c r="E51" s="65">
        <v>186879185.82999998</v>
      </c>
      <c r="F51" s="65">
        <v>0</v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  <c r="O51" s="65">
        <v>0</v>
      </c>
      <c r="P51" s="65">
        <v>0</v>
      </c>
    </row>
    <row r="52" spans="2:16" x14ac:dyDescent="0.35">
      <c r="E52" s="18">
        <f>E38-E51</f>
        <v>0</v>
      </c>
      <c r="F52" s="18">
        <f t="shared" ref="F52:M52" si="13">F38-F51</f>
        <v>186879185.82999998</v>
      </c>
      <c r="G52" s="18">
        <f t="shared" si="13"/>
        <v>186879185.82999998</v>
      </c>
      <c r="H52" s="18">
        <f t="shared" si="13"/>
        <v>186879185.82999998</v>
      </c>
      <c r="I52" s="18">
        <f t="shared" si="13"/>
        <v>186879185.82999998</v>
      </c>
      <c r="J52" s="18">
        <f t="shared" si="13"/>
        <v>186879185.82999998</v>
      </c>
      <c r="K52" s="18">
        <f t="shared" si="13"/>
        <v>186879185.82999998</v>
      </c>
      <c r="L52" s="18">
        <f t="shared" si="13"/>
        <v>186879185.82999998</v>
      </c>
      <c r="M52" s="18">
        <f t="shared" si="13"/>
        <v>186879185.82999998</v>
      </c>
      <c r="N52" s="18">
        <f>N38-N51</f>
        <v>186879185.82999998</v>
      </c>
      <c r="O52" s="18">
        <f>O38-O51</f>
        <v>186879185.82999998</v>
      </c>
      <c r="P52" s="18">
        <f>P38-P51</f>
        <v>186879185.82999998</v>
      </c>
    </row>
  </sheetData>
  <pageMargins left="0.7" right="0.7" top="0.75" bottom="0.75" header="0.3" footer="0.3"/>
  <pageSetup paperSize="9" orientation="portrait" r:id="rId1"/>
  <ignoredErrors>
    <ignoredError sqref="N32:P32" formulaRange="1"/>
  </ignoredError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AAD75-0C8D-4744-923A-13C48DEC6168}">
  <sheetPr>
    <tabColor theme="1"/>
  </sheetPr>
  <dimension ref="A1"/>
  <sheetViews>
    <sheetView showGridLines="0" workbookViewId="0">
      <selection activeCell="P33" sqref="P33"/>
    </sheetView>
  </sheetViews>
  <sheetFormatPr defaultColWidth="10.54296875" defaultRowHeight="14.5" x14ac:dyDescent="0.3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84E40-1C76-4F57-8DAF-A6282E956C08}">
  <sheetPr>
    <tabColor theme="3" tint="0.749992370372631"/>
  </sheetPr>
  <dimension ref="B3:R46"/>
  <sheetViews>
    <sheetView showGridLines="0" workbookViewId="0">
      <selection activeCell="P9" sqref="P9"/>
    </sheetView>
  </sheetViews>
  <sheetFormatPr defaultColWidth="10.54296875" defaultRowHeight="14.5" x14ac:dyDescent="0.35"/>
  <cols>
    <col min="2" max="2" width="38.453125" bestFit="1" customWidth="1"/>
    <col min="3" max="3" width="2.54296875" bestFit="1" customWidth="1"/>
    <col min="4" max="4" width="5.453125" customWidth="1"/>
    <col min="5" max="10" width="10.54296875" customWidth="1"/>
    <col min="11" max="11" width="11.453125" customWidth="1"/>
    <col min="12" max="16" width="10.54296875" customWidth="1"/>
    <col min="17" max="17" width="8.54296875" bestFit="1" customWidth="1"/>
  </cols>
  <sheetData>
    <row r="3" spans="2:18" x14ac:dyDescent="0.35">
      <c r="B3" s="3" t="s">
        <v>88</v>
      </c>
      <c r="C3" s="10"/>
      <c r="E3" s="3" t="s">
        <v>129</v>
      </c>
    </row>
    <row r="7" spans="2:18" x14ac:dyDescent="0.35">
      <c r="B7" s="3" t="s">
        <v>89</v>
      </c>
      <c r="E7" s="57">
        <v>46023</v>
      </c>
      <c r="F7" s="57">
        <f t="shared" ref="F7:P7" si="0">EDATE(E7,1)</f>
        <v>46054</v>
      </c>
      <c r="G7" s="57">
        <f t="shared" si="0"/>
        <v>46082</v>
      </c>
      <c r="H7" s="57">
        <f t="shared" si="0"/>
        <v>46113</v>
      </c>
      <c r="I7" s="57">
        <f t="shared" si="0"/>
        <v>46143</v>
      </c>
      <c r="J7" s="57">
        <f t="shared" si="0"/>
        <v>46174</v>
      </c>
      <c r="K7" s="57">
        <f t="shared" si="0"/>
        <v>46204</v>
      </c>
      <c r="L7" s="57">
        <f t="shared" si="0"/>
        <v>46235</v>
      </c>
      <c r="M7" s="57">
        <f t="shared" si="0"/>
        <v>46266</v>
      </c>
      <c r="N7" s="57">
        <f t="shared" si="0"/>
        <v>46296</v>
      </c>
      <c r="O7" s="57">
        <f t="shared" si="0"/>
        <v>46327</v>
      </c>
      <c r="P7" s="57">
        <f t="shared" si="0"/>
        <v>46357</v>
      </c>
    </row>
    <row r="8" spans="2:18" x14ac:dyDescent="0.35">
      <c r="B8" s="5" t="s">
        <v>121</v>
      </c>
      <c r="C8" s="19" t="s">
        <v>162</v>
      </c>
      <c r="E8" s="55">
        <f t="shared" ref="E8:L8" si="1">E15+E19</f>
        <v>530157594.07540178</v>
      </c>
      <c r="F8" s="55">
        <f t="shared" si="1"/>
        <v>514242811.96781683</v>
      </c>
      <c r="G8" s="55">
        <f t="shared" si="1"/>
        <v>493028734.76667237</v>
      </c>
      <c r="H8" s="55">
        <f t="shared" si="1"/>
        <v>480153539.39827001</v>
      </c>
      <c r="I8" s="55">
        <f t="shared" si="1"/>
        <v>447164437.00635242</v>
      </c>
      <c r="J8" s="55">
        <f t="shared" si="1"/>
        <v>422778156.26407295</v>
      </c>
      <c r="K8" s="55">
        <f t="shared" si="1"/>
        <v>410457580.1774255</v>
      </c>
      <c r="L8" s="55">
        <f t="shared" si="1"/>
        <v>391286570.20195091</v>
      </c>
      <c r="M8" s="55">
        <f t="shared" ref="M8:P8" si="2">M15+M19</f>
        <v>363132731.46429801</v>
      </c>
      <c r="N8" s="55">
        <f t="shared" si="2"/>
        <v>351185260.54531336</v>
      </c>
      <c r="O8" s="55">
        <f t="shared" si="2"/>
        <v>336725453.14794624</v>
      </c>
      <c r="P8" s="55">
        <f t="shared" si="2"/>
        <v>309280719.22575855</v>
      </c>
    </row>
    <row r="9" spans="2:18" x14ac:dyDescent="0.35">
      <c r="B9" s="5" t="s">
        <v>121</v>
      </c>
      <c r="C9" s="19" t="s">
        <v>162</v>
      </c>
      <c r="E9" s="55">
        <f t="shared" ref="E9:L9" si="3">E16+E20</f>
        <v>514242811.96781683</v>
      </c>
      <c r="F9" s="55">
        <f t="shared" si="3"/>
        <v>493028734.76667237</v>
      </c>
      <c r="G9" s="55">
        <f t="shared" si="3"/>
        <v>480153539.39827001</v>
      </c>
      <c r="H9" s="55">
        <f t="shared" si="3"/>
        <v>447164437.00635242</v>
      </c>
      <c r="I9" s="55">
        <f t="shared" si="3"/>
        <v>422778156.26407295</v>
      </c>
      <c r="J9" s="55">
        <f t="shared" si="3"/>
        <v>410457580.1774255</v>
      </c>
      <c r="K9" s="55">
        <f t="shared" si="3"/>
        <v>391286570.20195091</v>
      </c>
      <c r="L9" s="55">
        <f t="shared" si="3"/>
        <v>363132731.46429801</v>
      </c>
      <c r="M9" s="55">
        <f t="shared" ref="M9:P9" si="4">M16+M20</f>
        <v>351185260.54531336</v>
      </c>
      <c r="N9" s="55">
        <f t="shared" si="4"/>
        <v>336725453.14794624</v>
      </c>
      <c r="O9" s="55">
        <f t="shared" si="4"/>
        <v>309280719.22575855</v>
      </c>
      <c r="P9" s="55">
        <f t="shared" si="4"/>
        <v>304548175.07555705</v>
      </c>
      <c r="R9" s="97">
        <f>P9*1.16</f>
        <v>353275883.08764619</v>
      </c>
    </row>
    <row r="11" spans="2:18" x14ac:dyDescent="0.35">
      <c r="B11" s="5" t="s">
        <v>95</v>
      </c>
      <c r="C11" s="19"/>
      <c r="E11" s="55">
        <f>E9-E8</f>
        <v>-15914782.107584953</v>
      </c>
      <c r="F11" s="55">
        <f t="shared" ref="F11:P11" si="5">F9-F8</f>
        <v>-21214077.201144457</v>
      </c>
      <c r="G11" s="55">
        <f t="shared" si="5"/>
        <v>-12875195.368402362</v>
      </c>
      <c r="H11" s="55">
        <f t="shared" si="5"/>
        <v>-32989102.391917586</v>
      </c>
      <c r="I11" s="55">
        <f t="shared" si="5"/>
        <v>-24386280.74227947</v>
      </c>
      <c r="J11" s="55">
        <f t="shared" si="5"/>
        <v>-12320576.086647451</v>
      </c>
      <c r="K11" s="55">
        <f t="shared" si="5"/>
        <v>-19171009.975474596</v>
      </c>
      <c r="L11" s="55">
        <f t="shared" si="5"/>
        <v>-28153838.737652898</v>
      </c>
      <c r="M11" s="55">
        <f t="shared" si="5"/>
        <v>-11947470.918984652</v>
      </c>
      <c r="N11" s="55">
        <f t="shared" si="5"/>
        <v>-14459807.39736712</v>
      </c>
      <c r="O11" s="55">
        <f t="shared" si="5"/>
        <v>-27444733.922187686</v>
      </c>
      <c r="P11" s="55">
        <f t="shared" si="5"/>
        <v>-4732544.1502014995</v>
      </c>
    </row>
    <row r="14" spans="2:18" x14ac:dyDescent="0.35">
      <c r="B14" s="60" t="s">
        <v>72</v>
      </c>
      <c r="C14" s="61"/>
      <c r="D14" s="61"/>
      <c r="E14" s="62">
        <v>46023</v>
      </c>
      <c r="F14" s="62">
        <f t="shared" ref="F14:P14" si="6">EDATE(E14,1)</f>
        <v>46054</v>
      </c>
      <c r="G14" s="62">
        <f t="shared" si="6"/>
        <v>46082</v>
      </c>
      <c r="H14" s="62">
        <f t="shared" si="6"/>
        <v>46113</v>
      </c>
      <c r="I14" s="62">
        <f t="shared" si="6"/>
        <v>46143</v>
      </c>
      <c r="J14" s="62">
        <f t="shared" si="6"/>
        <v>46174</v>
      </c>
      <c r="K14" s="62">
        <f>EDATE(J14,1)</f>
        <v>46204</v>
      </c>
      <c r="L14" s="62">
        <f t="shared" si="6"/>
        <v>46235</v>
      </c>
      <c r="M14" s="62">
        <f t="shared" si="6"/>
        <v>46266</v>
      </c>
      <c r="N14" s="62">
        <f t="shared" si="6"/>
        <v>46296</v>
      </c>
      <c r="O14" s="62">
        <f>EDATE(N14,1)</f>
        <v>46327</v>
      </c>
      <c r="P14" s="62">
        <f t="shared" si="6"/>
        <v>46357</v>
      </c>
    </row>
    <row r="15" spans="2:18" x14ac:dyDescent="0.35">
      <c r="B15" s="61" t="s">
        <v>51</v>
      </c>
      <c r="C15" s="19" t="s">
        <v>162</v>
      </c>
      <c r="D15" s="61"/>
      <c r="E15" s="55">
        <f>'SA budget'!E101</f>
        <v>361695333.29242307</v>
      </c>
      <c r="F15" s="55">
        <f>'SA budget'!F101</f>
        <v>344979373.05202758</v>
      </c>
      <c r="G15" s="55">
        <f>'SA budget'!G101</f>
        <v>330793524.01334631</v>
      </c>
      <c r="H15" s="55">
        <f>'SA budget'!H101</f>
        <v>319363580.16071975</v>
      </c>
      <c r="I15" s="55">
        <f>'SA budget'!I101</f>
        <v>287988996.98168635</v>
      </c>
      <c r="J15" s="55">
        <f>'SA budget'!J101</f>
        <v>265156004.92381465</v>
      </c>
      <c r="K15" s="55">
        <f>'SA budget'!K101</f>
        <v>254392600.74328598</v>
      </c>
      <c r="L15" s="55">
        <f>'SA budget'!L101</f>
        <v>237380066.34107834</v>
      </c>
      <c r="M15" s="55">
        <f>'SA budget'!M101</f>
        <v>212322251.03157374</v>
      </c>
      <c r="N15" s="55">
        <f>'SA budget'!N101</f>
        <v>205350375.83057934</v>
      </c>
      <c r="O15" s="55">
        <f>'SA budget'!O101</f>
        <v>194317066.6999048</v>
      </c>
      <c r="P15" s="55">
        <f>'SA budget'!P101</f>
        <v>170405906.47973156</v>
      </c>
    </row>
    <row r="16" spans="2:18" x14ac:dyDescent="0.35">
      <c r="B16" s="61" t="s">
        <v>51</v>
      </c>
      <c r="C16" s="19" t="s">
        <v>162</v>
      </c>
      <c r="D16" s="61"/>
      <c r="E16" s="55">
        <f>'SA budget'!E102</f>
        <v>344979373.05202758</v>
      </c>
      <c r="F16" s="55">
        <f>'SA budget'!F102</f>
        <v>330793524.01334631</v>
      </c>
      <c r="G16" s="55">
        <f>'SA budget'!G102</f>
        <v>319363580.16071975</v>
      </c>
      <c r="H16" s="55">
        <f>'SA budget'!H102</f>
        <v>287988996.98168635</v>
      </c>
      <c r="I16" s="55">
        <f>'SA budget'!I102</f>
        <v>265156004.92381465</v>
      </c>
      <c r="J16" s="55">
        <f>'SA budget'!J102</f>
        <v>254392600.74328598</v>
      </c>
      <c r="K16" s="55">
        <f>'SA budget'!K102</f>
        <v>237380066.34107834</v>
      </c>
      <c r="L16" s="55">
        <f>'SA budget'!L102</f>
        <v>212322251.03157374</v>
      </c>
      <c r="M16" s="55">
        <f>'SA budget'!M102</f>
        <v>205350375.83057934</v>
      </c>
      <c r="N16" s="55">
        <f>'SA budget'!N102</f>
        <v>194317066.6999048</v>
      </c>
      <c r="O16" s="55">
        <f>'SA budget'!O102</f>
        <v>170405906.47973156</v>
      </c>
      <c r="P16" s="55">
        <f>'SA budget'!P102</f>
        <v>169335163.31081685</v>
      </c>
    </row>
    <row r="17" spans="2:16" x14ac:dyDescent="0.35">
      <c r="B17" s="61"/>
      <c r="C17" s="61"/>
      <c r="D17" s="61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</row>
    <row r="18" spans="2:16" x14ac:dyDescent="0.35">
      <c r="B18" s="60" t="s">
        <v>90</v>
      </c>
      <c r="C18" s="61"/>
      <c r="D18" s="61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</row>
    <row r="19" spans="2:16" x14ac:dyDescent="0.35">
      <c r="B19" s="61" t="s">
        <v>57</v>
      </c>
      <c r="C19" s="19" t="s">
        <v>162</v>
      </c>
      <c r="D19" s="61"/>
      <c r="E19" s="55">
        <f>'LLC Budget'!E45</f>
        <v>168462260.78297874</v>
      </c>
      <c r="F19" s="55">
        <f>'LLC Budget'!F45</f>
        <v>169263438.91578922</v>
      </c>
      <c r="G19" s="55">
        <f>'LLC Budget'!G45</f>
        <v>162235210.75332606</v>
      </c>
      <c r="H19" s="55">
        <f>'LLC Budget'!H45</f>
        <v>160789959.23755026</v>
      </c>
      <c r="I19" s="55">
        <f>'LLC Budget'!I45</f>
        <v>159175440.0246661</v>
      </c>
      <c r="J19" s="55">
        <f>'LLC Budget'!J45</f>
        <v>157622151.3402583</v>
      </c>
      <c r="K19" s="55">
        <f>'LLC Budget'!K45</f>
        <v>156064979.43413952</v>
      </c>
      <c r="L19" s="55">
        <f>'LLC Budget'!L45</f>
        <v>153906503.8608726</v>
      </c>
      <c r="M19" s="55">
        <f>'LLC Budget'!M45</f>
        <v>150810480.43272427</v>
      </c>
      <c r="N19" s="55">
        <f>'LLC Budget'!N45</f>
        <v>145834884.71473399</v>
      </c>
      <c r="O19" s="55">
        <f>'LLC Budget'!O45</f>
        <v>142408386.44804144</v>
      </c>
      <c r="P19" s="55">
        <f>'LLC Budget'!P45</f>
        <v>138874812.74602696</v>
      </c>
    </row>
    <row r="20" spans="2:16" x14ac:dyDescent="0.35">
      <c r="B20" s="61" t="s">
        <v>58</v>
      </c>
      <c r="C20" s="19" t="s">
        <v>162</v>
      </c>
      <c r="D20" s="61"/>
      <c r="E20" s="55">
        <f>'LLC Budget'!E46</f>
        <v>169263438.91578922</v>
      </c>
      <c r="F20" s="55">
        <f>'LLC Budget'!F46</f>
        <v>162235210.75332606</v>
      </c>
      <c r="G20" s="55">
        <f>'LLC Budget'!G46</f>
        <v>160789959.23755026</v>
      </c>
      <c r="H20" s="55">
        <f>'LLC Budget'!H46</f>
        <v>159175440.0246661</v>
      </c>
      <c r="I20" s="55">
        <f>'LLC Budget'!I46</f>
        <v>157622151.3402583</v>
      </c>
      <c r="J20" s="55">
        <f>'LLC Budget'!J46</f>
        <v>156064979.43413952</v>
      </c>
      <c r="K20" s="55">
        <f>'LLC Budget'!K46</f>
        <v>153906503.8608726</v>
      </c>
      <c r="L20" s="55">
        <f>'LLC Budget'!L46</f>
        <v>150810480.43272427</v>
      </c>
      <c r="M20" s="55">
        <f>'LLC Budget'!M46</f>
        <v>145834884.71473399</v>
      </c>
      <c r="N20" s="55">
        <f>'LLC Budget'!N46</f>
        <v>142408386.44804144</v>
      </c>
      <c r="O20" s="55">
        <f>'LLC Budget'!O46</f>
        <v>138874812.74602696</v>
      </c>
      <c r="P20" s="55">
        <f>'LLC Budget'!P46</f>
        <v>135213011.7647402</v>
      </c>
    </row>
    <row r="25" spans="2:16" x14ac:dyDescent="0.35">
      <c r="B25" t="s">
        <v>303</v>
      </c>
    </row>
    <row r="35" spans="2:2" x14ac:dyDescent="0.35">
      <c r="B35" t="s">
        <v>304</v>
      </c>
    </row>
    <row r="36" spans="2:2" x14ac:dyDescent="0.35">
      <c r="B36" t="s">
        <v>305</v>
      </c>
    </row>
    <row r="46" spans="2:2" x14ac:dyDescent="0.35">
      <c r="B46" t="s">
        <v>306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AEAD0-2AFC-4D7E-9CC5-523DF8794233}">
  <sheetPr>
    <tabColor theme="3" tint="0.749992370372631"/>
  </sheetPr>
  <dimension ref="B3:AC109"/>
  <sheetViews>
    <sheetView showGridLines="0" topLeftCell="A2" workbookViewId="0">
      <pane xSplit="4" ySplit="6" topLeftCell="E8" activePane="bottomRight" state="frozen"/>
      <selection activeCell="E24" sqref="E24"/>
      <selection pane="topRight" activeCell="E24" sqref="E24"/>
      <selection pane="bottomLeft" activeCell="E24" sqref="E24"/>
      <selection pane="bottomRight" activeCell="F88" sqref="F88:P89"/>
    </sheetView>
  </sheetViews>
  <sheetFormatPr defaultColWidth="10.54296875" defaultRowHeight="14.5" x14ac:dyDescent="0.35"/>
  <cols>
    <col min="1" max="1" width="6.453125" customWidth="1"/>
    <col min="2" max="2" width="36.54296875" customWidth="1"/>
    <col min="3" max="3" width="3.81640625" bestFit="1" customWidth="1"/>
    <col min="4" max="4" width="3.81640625" customWidth="1"/>
    <col min="17" max="17" width="4.81640625" customWidth="1"/>
  </cols>
  <sheetData>
    <row r="3" spans="2:20" x14ac:dyDescent="0.35">
      <c r="B3" s="3" t="s">
        <v>24</v>
      </c>
      <c r="C3" s="10"/>
      <c r="E3" s="3" t="s">
        <v>105</v>
      </c>
    </row>
    <row r="6" spans="2:20" x14ac:dyDescent="0.35">
      <c r="B6" s="3" t="s">
        <v>1</v>
      </c>
      <c r="C6" s="3"/>
      <c r="E6" s="2" t="s">
        <v>123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2:20" x14ac:dyDescent="0.35">
      <c r="E7" s="57">
        <v>46023</v>
      </c>
      <c r="F7" s="57">
        <f t="shared" ref="F7:P7" si="0">EDATE(E7,1)</f>
        <v>46054</v>
      </c>
      <c r="G7" s="57">
        <f t="shared" si="0"/>
        <v>46082</v>
      </c>
      <c r="H7" s="57">
        <f t="shared" si="0"/>
        <v>46113</v>
      </c>
      <c r="I7" s="57">
        <f t="shared" si="0"/>
        <v>46143</v>
      </c>
      <c r="J7" s="57">
        <f t="shared" si="0"/>
        <v>46174</v>
      </c>
      <c r="K7" s="57">
        <f>EDATE(J7,1)</f>
        <v>46204</v>
      </c>
      <c r="L7" s="57">
        <f t="shared" si="0"/>
        <v>46235</v>
      </c>
      <c r="M7" s="57">
        <f t="shared" si="0"/>
        <v>46266</v>
      </c>
      <c r="N7" s="57">
        <f t="shared" si="0"/>
        <v>46296</v>
      </c>
      <c r="O7" s="57">
        <f>EDATE(N7,1)</f>
        <v>46327</v>
      </c>
      <c r="P7" s="57">
        <f t="shared" si="0"/>
        <v>46357</v>
      </c>
      <c r="R7" s="15">
        <v>2026</v>
      </c>
    </row>
    <row r="8" spans="2:20" x14ac:dyDescent="0.35"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R8" s="1"/>
    </row>
    <row r="9" spans="2:20" x14ac:dyDescent="0.35">
      <c r="B9" s="12" t="s">
        <v>13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R9" s="1"/>
    </row>
    <row r="10" spans="2:20" x14ac:dyDescent="0.35">
      <c r="B10" s="5" t="s">
        <v>11</v>
      </c>
      <c r="C10" s="19" t="s">
        <v>162</v>
      </c>
      <c r="E10" s="53">
        <v>0</v>
      </c>
      <c r="F10" s="53">
        <v>0</v>
      </c>
      <c r="G10" s="53">
        <v>0</v>
      </c>
      <c r="H10" s="53">
        <v>0</v>
      </c>
      <c r="I10" s="53">
        <v>0</v>
      </c>
      <c r="J10" s="53">
        <v>0</v>
      </c>
      <c r="K10" s="53">
        <v>2363322</v>
      </c>
      <c r="L10" s="53">
        <v>294998.69</v>
      </c>
      <c r="M10" s="53">
        <v>0</v>
      </c>
      <c r="N10" s="53">
        <v>0</v>
      </c>
      <c r="O10" s="53">
        <v>0</v>
      </c>
      <c r="P10" s="53">
        <v>0</v>
      </c>
      <c r="Q10" s="56"/>
      <c r="R10" s="53">
        <f t="shared" ref="R10:R50" si="1">SUM(E10:P10)</f>
        <v>2658320.69</v>
      </c>
      <c r="T10" t="s">
        <v>256</v>
      </c>
    </row>
    <row r="11" spans="2:20" x14ac:dyDescent="0.35">
      <c r="B11" s="5" t="s">
        <v>12</v>
      </c>
      <c r="C11" s="19" t="s">
        <v>162</v>
      </c>
      <c r="E11" s="53">
        <v>599166.48333333328</v>
      </c>
      <c r="F11" s="53">
        <v>570621.6166666667</v>
      </c>
      <c r="G11" s="53">
        <v>612797.98333333328</v>
      </c>
      <c r="H11" s="53">
        <v>237810</v>
      </c>
      <c r="I11" s="53">
        <v>0</v>
      </c>
      <c r="J11" s="53">
        <v>0</v>
      </c>
      <c r="K11" s="53">
        <v>0</v>
      </c>
      <c r="L11" s="53">
        <v>0</v>
      </c>
      <c r="M11" s="53">
        <v>0</v>
      </c>
      <c r="N11" s="53">
        <v>0</v>
      </c>
      <c r="O11" s="53">
        <v>0</v>
      </c>
      <c r="P11" s="53">
        <v>0</v>
      </c>
      <c r="Q11" s="56"/>
      <c r="R11" s="53">
        <f t="shared" si="1"/>
        <v>2020396.0833333335</v>
      </c>
      <c r="T11" t="s">
        <v>254</v>
      </c>
    </row>
    <row r="12" spans="2:20" x14ac:dyDescent="0.35">
      <c r="B12" s="5" t="s">
        <v>6</v>
      </c>
      <c r="C12" s="19" t="s">
        <v>162</v>
      </c>
      <c r="E12" s="53">
        <v>0</v>
      </c>
      <c r="F12" s="53">
        <v>0</v>
      </c>
      <c r="G12" s="53">
        <v>0</v>
      </c>
      <c r="H12" s="53">
        <v>0</v>
      </c>
      <c r="I12" s="53">
        <v>0</v>
      </c>
      <c r="J12" s="53">
        <v>0</v>
      </c>
      <c r="K12" s="53">
        <v>756326</v>
      </c>
      <c r="L12" s="53">
        <v>109002.93894071877</v>
      </c>
      <c r="M12" s="53">
        <v>0</v>
      </c>
      <c r="N12" s="53">
        <v>0</v>
      </c>
      <c r="O12" s="53">
        <v>0</v>
      </c>
      <c r="P12" s="53">
        <v>0</v>
      </c>
      <c r="Q12" s="56"/>
      <c r="R12" s="53">
        <f t="shared" si="1"/>
        <v>865328.93894071877</v>
      </c>
      <c r="T12" t="s">
        <v>255</v>
      </c>
    </row>
    <row r="13" spans="2:20" x14ac:dyDescent="0.35">
      <c r="B13" s="5" t="s">
        <v>7</v>
      </c>
      <c r="C13" s="19" t="s">
        <v>162</v>
      </c>
      <c r="E13" s="53">
        <v>1246050.2416666667</v>
      </c>
      <c r="F13" s="53">
        <v>467517.53333333338</v>
      </c>
      <c r="G13" s="53">
        <v>619029.58333333337</v>
      </c>
      <c r="H13" s="53">
        <v>237306.00000000003</v>
      </c>
      <c r="I13" s="53">
        <v>224266.99999999997</v>
      </c>
      <c r="J13" s="53">
        <v>0</v>
      </c>
      <c r="K13" s="53">
        <v>0</v>
      </c>
      <c r="L13" s="53">
        <v>0</v>
      </c>
      <c r="M13" s="53">
        <v>0</v>
      </c>
      <c r="N13" s="53">
        <v>0</v>
      </c>
      <c r="O13" s="53">
        <v>0</v>
      </c>
      <c r="P13" s="53">
        <v>0</v>
      </c>
      <c r="Q13" s="56"/>
      <c r="R13" s="53">
        <f t="shared" si="1"/>
        <v>2794170.3583333334</v>
      </c>
    </row>
    <row r="14" spans="2:20" x14ac:dyDescent="0.35">
      <c r="B14" s="5" t="s">
        <v>5</v>
      </c>
      <c r="C14" s="19" t="s">
        <v>162</v>
      </c>
      <c r="E14" s="53">
        <v>4790962.0000000009</v>
      </c>
      <c r="F14" s="53">
        <v>0</v>
      </c>
      <c r="G14" s="53">
        <v>0</v>
      </c>
      <c r="H14" s="53">
        <v>0</v>
      </c>
      <c r="I14" s="53">
        <v>7186443</v>
      </c>
      <c r="J14" s="53">
        <v>0</v>
      </c>
      <c r="K14" s="53">
        <v>0</v>
      </c>
      <c r="L14" s="53">
        <v>9581924</v>
      </c>
      <c r="M14" s="53">
        <v>0</v>
      </c>
      <c r="N14" s="53">
        <v>0</v>
      </c>
      <c r="O14" s="53">
        <v>7186443</v>
      </c>
      <c r="P14" s="53">
        <v>0</v>
      </c>
      <c r="Q14" s="56"/>
      <c r="R14" s="53">
        <f t="shared" si="1"/>
        <v>28745772</v>
      </c>
    </row>
    <row r="15" spans="2:20" x14ac:dyDescent="0.35">
      <c r="B15" s="5" t="s">
        <v>4</v>
      </c>
      <c r="C15" s="19" t="s">
        <v>162</v>
      </c>
      <c r="E15" s="53">
        <v>1814129.3083333333</v>
      </c>
      <c r="F15" s="53">
        <v>1542238.5166666666</v>
      </c>
      <c r="G15" s="53">
        <v>1125311.7083333335</v>
      </c>
      <c r="H15" s="53">
        <v>978890</v>
      </c>
      <c r="I15" s="53">
        <v>650000</v>
      </c>
      <c r="J15" s="53">
        <v>650000</v>
      </c>
      <c r="K15" s="53">
        <v>0</v>
      </c>
      <c r="L15" s="53">
        <v>0</v>
      </c>
      <c r="M15" s="53">
        <v>0</v>
      </c>
      <c r="N15" s="53">
        <v>0</v>
      </c>
      <c r="O15" s="53">
        <v>0</v>
      </c>
      <c r="P15" s="53">
        <v>0</v>
      </c>
      <c r="Q15" s="56"/>
      <c r="R15" s="53">
        <f t="shared" si="1"/>
        <v>6760569.5333333332</v>
      </c>
    </row>
    <row r="16" spans="2:20" x14ac:dyDescent="0.35">
      <c r="B16" s="5" t="s">
        <v>226</v>
      </c>
      <c r="C16" s="19" t="s">
        <v>162</v>
      </c>
      <c r="E16" s="53"/>
      <c r="F16" s="53"/>
      <c r="G16" s="53"/>
      <c r="H16" s="53">
        <v>5000000</v>
      </c>
      <c r="I16" s="53">
        <v>2000000</v>
      </c>
      <c r="J16" s="53">
        <v>2000000</v>
      </c>
      <c r="K16" s="53">
        <v>1000000</v>
      </c>
      <c r="L16" s="53"/>
      <c r="M16" s="53"/>
      <c r="N16" s="53"/>
      <c r="O16" s="53"/>
      <c r="P16" s="53"/>
      <c r="Q16" s="56"/>
      <c r="R16" s="53">
        <f t="shared" si="1"/>
        <v>10000000</v>
      </c>
      <c r="T16" t="s">
        <v>257</v>
      </c>
    </row>
    <row r="17" spans="2:20" x14ac:dyDescent="0.35">
      <c r="B17" s="5" t="s">
        <v>17</v>
      </c>
      <c r="C17" s="19" t="s">
        <v>162</v>
      </c>
      <c r="E17" s="53">
        <v>1308381.9500000002</v>
      </c>
      <c r="F17" s="53">
        <v>0</v>
      </c>
      <c r="G17" s="53">
        <v>1308381.9500000002</v>
      </c>
      <c r="H17" s="53">
        <v>1308381.95</v>
      </c>
      <c r="I17" s="53">
        <v>1831734.73</v>
      </c>
      <c r="J17" s="53">
        <v>0</v>
      </c>
      <c r="K17" s="53">
        <v>2355087.5099999998</v>
      </c>
      <c r="L17" s="53">
        <v>1570058.34</v>
      </c>
      <c r="M17" s="53">
        <v>1046705.56</v>
      </c>
      <c r="N17" s="53">
        <v>0</v>
      </c>
      <c r="O17" s="53">
        <v>1046705.56</v>
      </c>
      <c r="P17" s="53">
        <v>0</v>
      </c>
      <c r="Q17" s="56"/>
      <c r="R17" s="53">
        <f t="shared" si="1"/>
        <v>11775437.550000001</v>
      </c>
      <c r="T17" t="s">
        <v>236</v>
      </c>
    </row>
    <row r="18" spans="2:20" x14ac:dyDescent="0.35">
      <c r="B18" s="5" t="s">
        <v>18</v>
      </c>
      <c r="C18" s="19" t="s">
        <v>162</v>
      </c>
      <c r="E18" s="53">
        <v>214041.30000000002</v>
      </c>
      <c r="F18" s="53">
        <v>301393.21666666667</v>
      </c>
      <c r="G18" s="53">
        <v>0</v>
      </c>
      <c r="H18" s="53">
        <v>220000</v>
      </c>
      <c r="I18" s="53">
        <v>220000</v>
      </c>
      <c r="J18" s="53">
        <v>220000</v>
      </c>
      <c r="K18" s="53">
        <v>220000</v>
      </c>
      <c r="L18" s="53">
        <v>220000</v>
      </c>
      <c r="M18" s="53">
        <v>220000</v>
      </c>
      <c r="N18" s="53">
        <v>220000</v>
      </c>
      <c r="O18" s="53">
        <v>220000</v>
      </c>
      <c r="P18" s="53">
        <v>220000</v>
      </c>
      <c r="Q18" s="56"/>
      <c r="R18" s="53">
        <f t="shared" si="1"/>
        <v>2495434.5166666666</v>
      </c>
      <c r="T18" t="s">
        <v>258</v>
      </c>
    </row>
    <row r="19" spans="2:20" x14ac:dyDescent="0.35">
      <c r="B19" s="5" t="s">
        <v>227</v>
      </c>
      <c r="C19" s="19" t="s">
        <v>162</v>
      </c>
      <c r="E19" s="53"/>
      <c r="F19" s="53"/>
      <c r="G19" s="53"/>
      <c r="H19" s="53">
        <v>3000000</v>
      </c>
      <c r="I19" s="53">
        <v>375000</v>
      </c>
      <c r="J19" s="53">
        <v>375000</v>
      </c>
      <c r="K19" s="53">
        <v>375000</v>
      </c>
      <c r="L19" s="53">
        <v>375000</v>
      </c>
      <c r="M19" s="53">
        <v>375000</v>
      </c>
      <c r="N19" s="53">
        <v>375000</v>
      </c>
      <c r="O19" s="53">
        <v>375000</v>
      </c>
      <c r="P19" s="53">
        <v>375000</v>
      </c>
      <c r="Q19" s="56"/>
      <c r="R19" s="53">
        <f t="shared" si="1"/>
        <v>6000000</v>
      </c>
      <c r="T19" t="s">
        <v>235</v>
      </c>
    </row>
    <row r="20" spans="2:20" x14ac:dyDescent="0.35">
      <c r="B20" s="42" t="s">
        <v>50</v>
      </c>
      <c r="C20" s="19" t="s">
        <v>162</v>
      </c>
      <c r="E20" s="55">
        <f t="shared" ref="E20:P20" si="2">SUM(E10:E19)</f>
        <v>9972731.2833333351</v>
      </c>
      <c r="F20" s="55">
        <f t="shared" si="2"/>
        <v>2881770.8833333338</v>
      </c>
      <c r="G20" s="55">
        <f t="shared" si="2"/>
        <v>3665521.2250000006</v>
      </c>
      <c r="H20" s="55">
        <f t="shared" si="2"/>
        <v>10982387.949999999</v>
      </c>
      <c r="I20" s="55">
        <f t="shared" si="2"/>
        <v>12487444.73</v>
      </c>
      <c r="J20" s="55">
        <f t="shared" si="2"/>
        <v>3245000</v>
      </c>
      <c r="K20" s="55">
        <f t="shared" si="2"/>
        <v>7069735.5099999998</v>
      </c>
      <c r="L20" s="55">
        <f t="shared" si="2"/>
        <v>12150983.968940718</v>
      </c>
      <c r="M20" s="55">
        <f t="shared" si="2"/>
        <v>1641705.56</v>
      </c>
      <c r="N20" s="55">
        <f t="shared" si="2"/>
        <v>595000</v>
      </c>
      <c r="O20" s="55">
        <f t="shared" si="2"/>
        <v>8828148.5600000005</v>
      </c>
      <c r="P20" s="55">
        <f t="shared" si="2"/>
        <v>595000</v>
      </c>
      <c r="Q20" s="56"/>
      <c r="R20" s="55">
        <f t="shared" si="1"/>
        <v>74115429.670607388</v>
      </c>
    </row>
    <row r="21" spans="2:20" x14ac:dyDescent="0.35"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</row>
    <row r="22" spans="2:20" x14ac:dyDescent="0.35">
      <c r="B22" s="5" t="s">
        <v>206</v>
      </c>
      <c r="C22" s="19" t="s">
        <v>162</v>
      </c>
      <c r="E22" s="53">
        <f>'Data Budget'!E61</f>
        <v>4718356.8811111106</v>
      </c>
      <c r="F22" s="53">
        <f>'Data Budget'!F61</f>
        <v>4718356.8811111106</v>
      </c>
      <c r="G22" s="53">
        <f>'Data Budget'!G61</f>
        <v>4718356.8811111106</v>
      </c>
      <c r="H22" s="53">
        <f>'Data Budget'!H61</f>
        <v>4718356.8811111106</v>
      </c>
      <c r="I22" s="53">
        <f>'Data Budget'!I61</f>
        <v>4596761.8811111106</v>
      </c>
      <c r="J22" s="53">
        <f>'Data Budget'!J61</f>
        <v>4596761.8811111106</v>
      </c>
      <c r="K22" s="53">
        <f>'Data Budget'!K61</f>
        <v>4596761.8811111106</v>
      </c>
      <c r="L22" s="53">
        <f>'Data Budget'!L61</f>
        <v>4858617.1033333316</v>
      </c>
      <c r="M22" s="53">
        <f>'Data Budget'!M61</f>
        <v>4858617.1033333316</v>
      </c>
      <c r="N22" s="53">
        <f>'Data Budget'!N61</f>
        <v>4858617.1033333316</v>
      </c>
      <c r="O22" s="53">
        <f>'Data Budget'!O61</f>
        <v>5128841.5477777757</v>
      </c>
      <c r="P22" s="53">
        <f>'Data Budget'!P61</f>
        <v>5128841.5477777757</v>
      </c>
      <c r="Q22" s="56"/>
      <c r="R22" s="53">
        <f t="shared" si="1"/>
        <v>57497247.573333323</v>
      </c>
    </row>
    <row r="23" spans="2:20" x14ac:dyDescent="0.35">
      <c r="B23" s="5" t="s">
        <v>178</v>
      </c>
      <c r="C23" s="19" t="s">
        <v>162</v>
      </c>
      <c r="E23" s="53">
        <f>'Data Budget'!E48</f>
        <v>416446.66666666669</v>
      </c>
      <c r="F23" s="53">
        <f>'Data Budget'!F48</f>
        <v>416446.66666666669</v>
      </c>
      <c r="G23" s="53">
        <f>'Data Budget'!G48</f>
        <v>416446.66666666669</v>
      </c>
      <c r="H23" s="53">
        <f>'Data Budget'!H48</f>
        <v>416446.66666666669</v>
      </c>
      <c r="I23" s="53">
        <f>'Data Budget'!I48</f>
        <v>431846.66666666669</v>
      </c>
      <c r="J23" s="53">
        <f>'Data Budget'!J48</f>
        <v>431846.66666666669</v>
      </c>
      <c r="K23" s="53">
        <f>'Data Budget'!K48</f>
        <v>431846.66666666669</v>
      </c>
      <c r="L23" s="53">
        <f>'Data Budget'!L48</f>
        <v>431846.66666666669</v>
      </c>
      <c r="M23" s="53">
        <f>'Data Budget'!M48</f>
        <v>431846.66666666669</v>
      </c>
      <c r="N23" s="53">
        <f>'Data Budget'!N48</f>
        <v>431846.66666666669</v>
      </c>
      <c r="O23" s="53">
        <f>'Data Budget'!O48</f>
        <v>420866.66666666669</v>
      </c>
      <c r="P23" s="53">
        <f>'Data Budget'!P48</f>
        <v>420866.66666666669</v>
      </c>
      <c r="Q23" s="56"/>
      <c r="R23" s="53">
        <f t="shared" si="1"/>
        <v>5098600</v>
      </c>
    </row>
    <row r="24" spans="2:20" x14ac:dyDescent="0.35">
      <c r="B24" s="5" t="s">
        <v>80</v>
      </c>
      <c r="C24" s="19" t="s">
        <v>162</v>
      </c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6"/>
      <c r="R24" s="53"/>
    </row>
    <row r="25" spans="2:20" x14ac:dyDescent="0.35">
      <c r="B25" s="42" t="s">
        <v>59</v>
      </c>
      <c r="C25" s="19" t="s">
        <v>162</v>
      </c>
      <c r="E25" s="52">
        <f t="shared" ref="E25:P25" si="3">SUM(E22:E24)</f>
        <v>5134803.5477777775</v>
      </c>
      <c r="F25" s="52">
        <f t="shared" si="3"/>
        <v>5134803.5477777775</v>
      </c>
      <c r="G25" s="52">
        <f t="shared" si="3"/>
        <v>5134803.5477777775</v>
      </c>
      <c r="H25" s="52">
        <f t="shared" si="3"/>
        <v>5134803.5477777775</v>
      </c>
      <c r="I25" s="52">
        <f t="shared" si="3"/>
        <v>5028608.5477777775</v>
      </c>
      <c r="J25" s="52">
        <f t="shared" si="3"/>
        <v>5028608.5477777775</v>
      </c>
      <c r="K25" s="52">
        <f t="shared" si="3"/>
        <v>5028608.5477777775</v>
      </c>
      <c r="L25" s="52">
        <f t="shared" si="3"/>
        <v>5290463.7699999986</v>
      </c>
      <c r="M25" s="52">
        <f t="shared" si="3"/>
        <v>5290463.7699999986</v>
      </c>
      <c r="N25" s="52">
        <f t="shared" si="3"/>
        <v>5290463.7699999986</v>
      </c>
      <c r="O25" s="52">
        <f t="shared" si="3"/>
        <v>5549708.2144444427</v>
      </c>
      <c r="P25" s="52">
        <f t="shared" si="3"/>
        <v>5549708.2144444427</v>
      </c>
      <c r="Q25" s="56"/>
      <c r="R25" s="52">
        <f t="shared" ref="R25" si="4">SUM(E25:P25)</f>
        <v>62595847.573333323</v>
      </c>
    </row>
    <row r="26" spans="2:20" x14ac:dyDescent="0.35"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</row>
    <row r="27" spans="2:20" x14ac:dyDescent="0.35">
      <c r="B27" s="42" t="s">
        <v>300</v>
      </c>
      <c r="C27" s="19" t="s">
        <v>162</v>
      </c>
      <c r="E27" s="52"/>
      <c r="F27" s="52"/>
      <c r="G27" s="52"/>
      <c r="H27" s="52">
        <f>1800000/9</f>
        <v>200000</v>
      </c>
      <c r="I27" s="52">
        <f t="shared" ref="I27:P27" si="5">1800000/9</f>
        <v>200000</v>
      </c>
      <c r="J27" s="52">
        <f t="shared" si="5"/>
        <v>200000</v>
      </c>
      <c r="K27" s="52">
        <f t="shared" si="5"/>
        <v>200000</v>
      </c>
      <c r="L27" s="52">
        <f t="shared" si="5"/>
        <v>200000</v>
      </c>
      <c r="M27" s="52">
        <f t="shared" si="5"/>
        <v>200000</v>
      </c>
      <c r="N27" s="52">
        <f t="shared" si="5"/>
        <v>200000</v>
      </c>
      <c r="O27" s="52">
        <f t="shared" si="5"/>
        <v>200000</v>
      </c>
      <c r="P27" s="52">
        <f t="shared" si="5"/>
        <v>200000</v>
      </c>
      <c r="Q27" s="56"/>
      <c r="R27" s="52">
        <f t="shared" ref="R27" si="6">SUM(E27:P27)</f>
        <v>1800000</v>
      </c>
    </row>
    <row r="28" spans="2:20" x14ac:dyDescent="0.35"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</row>
    <row r="29" spans="2:20" x14ac:dyDescent="0.35">
      <c r="B29" s="5" t="s">
        <v>26</v>
      </c>
      <c r="C29" s="19" t="s">
        <v>162</v>
      </c>
      <c r="E29" s="53">
        <v>296854.80682433327</v>
      </c>
      <c r="F29" s="53">
        <v>296854.80682433327</v>
      </c>
      <c r="G29" s="53">
        <v>296854.80682433327</v>
      </c>
      <c r="H29" s="53">
        <v>296854.80682433327</v>
      </c>
      <c r="I29" s="53">
        <v>296854.80682433327</v>
      </c>
      <c r="J29" s="53">
        <v>296854.80682433327</v>
      </c>
      <c r="K29" s="53">
        <v>296854.80682433327</v>
      </c>
      <c r="L29" s="53">
        <v>296854.80682433327</v>
      </c>
      <c r="M29" s="53">
        <v>296854.80682433327</v>
      </c>
      <c r="N29" s="53">
        <v>296854.80682433327</v>
      </c>
      <c r="O29" s="53">
        <v>296854.80682433327</v>
      </c>
      <c r="P29" s="53">
        <v>296854.80682433327</v>
      </c>
      <c r="Q29" s="56"/>
      <c r="R29" s="53">
        <f t="shared" si="1"/>
        <v>3562257.6818919983</v>
      </c>
    </row>
    <row r="30" spans="2:20" x14ac:dyDescent="0.35">
      <c r="B30" s="5" t="s">
        <v>27</v>
      </c>
      <c r="C30" s="19" t="s">
        <v>162</v>
      </c>
      <c r="E30" s="53"/>
      <c r="F30" s="53">
        <v>662352.22932799999</v>
      </c>
      <c r="G30" s="53"/>
      <c r="H30" s="53"/>
      <c r="I30" s="53"/>
      <c r="J30" s="53">
        <v>277342.06499999994</v>
      </c>
      <c r="K30" s="53"/>
      <c r="L30" s="53"/>
      <c r="M30" s="53"/>
      <c r="N30" s="53"/>
      <c r="O30" s="53"/>
      <c r="P30" s="53"/>
      <c r="Q30" s="56"/>
      <c r="R30" s="53">
        <f t="shared" si="1"/>
        <v>939694.29432799993</v>
      </c>
    </row>
    <row r="31" spans="2:20" x14ac:dyDescent="0.35">
      <c r="B31" s="5" t="s">
        <v>28</v>
      </c>
      <c r="C31" s="19" t="s">
        <v>162</v>
      </c>
      <c r="E31" s="53">
        <v>213251.39038233334</v>
      </c>
      <c r="F31" s="53">
        <v>213251.39038233334</v>
      </c>
      <c r="G31" s="53">
        <v>689064.92137433344</v>
      </c>
      <c r="H31" s="53">
        <v>213251.39038233334</v>
      </c>
      <c r="I31" s="53">
        <v>213251.39038233334</v>
      </c>
      <c r="J31" s="53">
        <v>213251.39038233334</v>
      </c>
      <c r="K31" s="53">
        <v>412485.4253823334</v>
      </c>
      <c r="L31" s="53">
        <v>213251.39038233334</v>
      </c>
      <c r="M31" s="53">
        <v>213251.39038233334</v>
      </c>
      <c r="N31" s="53">
        <v>213251.39038233334</v>
      </c>
      <c r="O31" s="53">
        <v>213251.39038233334</v>
      </c>
      <c r="P31" s="53">
        <v>213251.39038233334</v>
      </c>
      <c r="Q31" s="56"/>
      <c r="R31" s="53">
        <f t="shared" si="1"/>
        <v>3234064.2505799998</v>
      </c>
    </row>
    <row r="32" spans="2:20" x14ac:dyDescent="0.35">
      <c r="B32" s="5" t="s">
        <v>29</v>
      </c>
      <c r="C32" s="19" t="s">
        <v>162</v>
      </c>
      <c r="E32" s="53">
        <v>93053.398923333327</v>
      </c>
      <c r="F32" s="53">
        <v>93053.398923333327</v>
      </c>
      <c r="G32" s="53">
        <v>300677.20964333334</v>
      </c>
      <c r="H32" s="53">
        <v>93053.398923333327</v>
      </c>
      <c r="I32" s="53">
        <v>93053.398923333327</v>
      </c>
      <c r="J32" s="53">
        <v>93053.398923333327</v>
      </c>
      <c r="K32" s="53">
        <v>179990.24892333333</v>
      </c>
      <c r="L32" s="53">
        <v>93053.398923333327</v>
      </c>
      <c r="M32" s="53">
        <v>93053.398923333327</v>
      </c>
      <c r="N32" s="53">
        <v>93053.398923333327</v>
      </c>
      <c r="O32" s="53">
        <v>93053.398923333327</v>
      </c>
      <c r="P32" s="53">
        <v>93053.398923333327</v>
      </c>
      <c r="Q32" s="56"/>
      <c r="R32" s="53">
        <f t="shared" si="1"/>
        <v>1411201.4477999995</v>
      </c>
    </row>
    <row r="33" spans="2:18" x14ac:dyDescent="0.35">
      <c r="B33" s="5" t="s">
        <v>30</v>
      </c>
      <c r="C33" s="19" t="s">
        <v>162</v>
      </c>
      <c r="E33" s="53">
        <v>25312.453074999998</v>
      </c>
      <c r="F33" s="53"/>
      <c r="G33" s="53"/>
      <c r="H33" s="53">
        <v>44138.446275000002</v>
      </c>
      <c r="I33" s="53"/>
      <c r="J33" s="53"/>
      <c r="K33" s="53">
        <v>25312.453075000001</v>
      </c>
      <c r="L33" s="53"/>
      <c r="M33" s="53"/>
      <c r="N33" s="53">
        <v>25312.453075000001</v>
      </c>
      <c r="O33" s="53"/>
      <c r="P33" s="53"/>
      <c r="Q33" s="56"/>
      <c r="R33" s="53">
        <f t="shared" si="1"/>
        <v>120075.80549999999</v>
      </c>
    </row>
    <row r="34" spans="2:18" x14ac:dyDescent="0.35">
      <c r="B34" s="5" t="s">
        <v>31</v>
      </c>
      <c r="C34" s="19" t="s">
        <v>162</v>
      </c>
      <c r="E34" s="53">
        <v>21985.673527999999</v>
      </c>
      <c r="F34" s="53"/>
      <c r="G34" s="53"/>
      <c r="H34" s="53">
        <v>38337.393335999994</v>
      </c>
      <c r="I34" s="53"/>
      <c r="J34" s="53"/>
      <c r="K34" s="53">
        <v>21985.673527999999</v>
      </c>
      <c r="L34" s="53"/>
      <c r="M34" s="53"/>
      <c r="N34" s="53">
        <v>21985.673527999999</v>
      </c>
      <c r="O34" s="53"/>
      <c r="P34" s="53"/>
      <c r="Q34" s="56"/>
      <c r="R34" s="53">
        <f t="shared" si="1"/>
        <v>104294.41391999999</v>
      </c>
    </row>
    <row r="35" spans="2:18" x14ac:dyDescent="0.35">
      <c r="B35" s="5" t="s">
        <v>32</v>
      </c>
      <c r="C35" s="19" t="s">
        <v>162</v>
      </c>
      <c r="E35" s="53">
        <v>80276.636895000003</v>
      </c>
      <c r="F35" s="53">
        <v>80276.636895000003</v>
      </c>
      <c r="G35" s="53">
        <v>259392.51505500003</v>
      </c>
      <c r="H35" s="53">
        <v>80276.636895000003</v>
      </c>
      <c r="I35" s="53">
        <v>80276.636895000003</v>
      </c>
      <c r="J35" s="53">
        <v>80276.636895000003</v>
      </c>
      <c r="K35" s="53">
        <v>155276.56189500002</v>
      </c>
      <c r="L35" s="53">
        <v>80276.636895000003</v>
      </c>
      <c r="M35" s="53">
        <v>80276.636895000003</v>
      </c>
      <c r="N35" s="53">
        <v>80276.636895000003</v>
      </c>
      <c r="O35" s="53">
        <v>80276.636895000003</v>
      </c>
      <c r="P35" s="53">
        <v>80276.636895000003</v>
      </c>
      <c r="Q35" s="56"/>
      <c r="R35" s="53">
        <f t="shared" si="1"/>
        <v>1217435.4459000002</v>
      </c>
    </row>
    <row r="36" spans="2:18" x14ac:dyDescent="0.35">
      <c r="B36" s="42" t="s">
        <v>43</v>
      </c>
      <c r="C36" s="19" t="s">
        <v>162</v>
      </c>
      <c r="E36" s="55">
        <f>SUM(E29:E35)</f>
        <v>730734.35962799995</v>
      </c>
      <c r="F36" s="55">
        <f t="shared" ref="F36:P36" si="7">SUM(F29:F35)</f>
        <v>1345788.462353</v>
      </c>
      <c r="G36" s="55">
        <f t="shared" si="7"/>
        <v>1545989.4528970001</v>
      </c>
      <c r="H36" s="55">
        <f t="shared" si="7"/>
        <v>765912.072636</v>
      </c>
      <c r="I36" s="55">
        <f t="shared" si="7"/>
        <v>683436.23302499996</v>
      </c>
      <c r="J36" s="55">
        <f t="shared" si="7"/>
        <v>960778.29802499991</v>
      </c>
      <c r="K36" s="55">
        <f t="shared" si="7"/>
        <v>1091905.1696279999</v>
      </c>
      <c r="L36" s="55">
        <f t="shared" si="7"/>
        <v>683436.23302499996</v>
      </c>
      <c r="M36" s="55">
        <f t="shared" si="7"/>
        <v>683436.23302499996</v>
      </c>
      <c r="N36" s="55">
        <f t="shared" si="7"/>
        <v>730734.35962799995</v>
      </c>
      <c r="O36" s="55">
        <f t="shared" si="7"/>
        <v>683436.23302499996</v>
      </c>
      <c r="P36" s="55">
        <f t="shared" si="7"/>
        <v>683436.23302499996</v>
      </c>
      <c r="Q36" s="56"/>
      <c r="R36" s="55">
        <f t="shared" si="1"/>
        <v>10589023.339919997</v>
      </c>
    </row>
    <row r="37" spans="2:18" ht="5.25" customHeight="1" x14ac:dyDescent="0.35"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6"/>
      <c r="R37" s="54"/>
    </row>
    <row r="38" spans="2:18" x14ac:dyDescent="0.35">
      <c r="B38" s="5" t="s">
        <v>36</v>
      </c>
      <c r="C38" s="19" t="s">
        <v>162</v>
      </c>
      <c r="E38" s="53"/>
      <c r="F38" s="53"/>
      <c r="G38" s="53"/>
      <c r="H38" s="53"/>
      <c r="I38" s="53"/>
      <c r="J38" s="53">
        <f>'Data Budget'!F10/2</f>
        <v>385000</v>
      </c>
      <c r="K38" s="53"/>
      <c r="L38" s="53"/>
      <c r="M38" s="53"/>
      <c r="N38" s="53"/>
      <c r="O38" s="53"/>
      <c r="P38" s="53">
        <f>'Data Budget'!F10/2</f>
        <v>385000</v>
      </c>
      <c r="Q38" s="56"/>
      <c r="R38" s="53">
        <f t="shared" si="1"/>
        <v>770000</v>
      </c>
    </row>
    <row r="39" spans="2:18" x14ac:dyDescent="0.35">
      <c r="B39" s="5" t="s">
        <v>33</v>
      </c>
      <c r="C39" s="19" t="s">
        <v>162</v>
      </c>
      <c r="E39" s="53">
        <v>77000</v>
      </c>
      <c r="F39" s="53"/>
      <c r="G39" s="53"/>
      <c r="H39" s="53"/>
      <c r="I39" s="53"/>
      <c r="J39" s="53"/>
      <c r="K39" s="53">
        <v>90500</v>
      </c>
      <c r="L39" s="53"/>
      <c r="M39" s="53"/>
      <c r="N39" s="53"/>
      <c r="O39" s="53"/>
      <c r="P39" s="53"/>
      <c r="Q39" s="56"/>
      <c r="R39" s="53">
        <f t="shared" si="1"/>
        <v>167500</v>
      </c>
    </row>
    <row r="40" spans="2:18" x14ac:dyDescent="0.35">
      <c r="B40" s="42" t="s">
        <v>44</v>
      </c>
      <c r="C40" s="19" t="s">
        <v>162</v>
      </c>
      <c r="D40" s="10"/>
      <c r="E40" s="55">
        <f>SUM(E38:E39)</f>
        <v>77000</v>
      </c>
      <c r="F40" s="55">
        <f t="shared" ref="F40:P40" si="8">SUM(F38:F39)</f>
        <v>0</v>
      </c>
      <c r="G40" s="55">
        <f t="shared" si="8"/>
        <v>0</v>
      </c>
      <c r="H40" s="55">
        <f t="shared" si="8"/>
        <v>0</v>
      </c>
      <c r="I40" s="55">
        <f t="shared" si="8"/>
        <v>0</v>
      </c>
      <c r="J40" s="55">
        <f t="shared" si="8"/>
        <v>385000</v>
      </c>
      <c r="K40" s="55">
        <f t="shared" si="8"/>
        <v>90500</v>
      </c>
      <c r="L40" s="55">
        <f t="shared" si="8"/>
        <v>0</v>
      </c>
      <c r="M40" s="55">
        <f t="shared" si="8"/>
        <v>0</v>
      </c>
      <c r="N40" s="55">
        <f t="shared" si="8"/>
        <v>0</v>
      </c>
      <c r="O40" s="55">
        <f t="shared" si="8"/>
        <v>0</v>
      </c>
      <c r="P40" s="55">
        <f t="shared" si="8"/>
        <v>385000</v>
      </c>
      <c r="Q40" s="56"/>
      <c r="R40" s="55">
        <f t="shared" si="1"/>
        <v>937500</v>
      </c>
    </row>
    <row r="41" spans="2:18" ht="12" customHeight="1" x14ac:dyDescent="0.35"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6"/>
      <c r="R41" s="54"/>
    </row>
    <row r="42" spans="2:18" x14ac:dyDescent="0.35">
      <c r="B42" s="5" t="s">
        <v>209</v>
      </c>
      <c r="C42" s="19" t="s">
        <v>162</v>
      </c>
      <c r="E42" s="53">
        <v>0</v>
      </c>
      <c r="F42" s="53">
        <v>274324.76500000001</v>
      </c>
      <c r="G42" s="53">
        <v>0</v>
      </c>
      <c r="H42" s="53">
        <v>787709.15327999997</v>
      </c>
      <c r="I42" s="53">
        <v>0</v>
      </c>
      <c r="J42" s="53">
        <v>0</v>
      </c>
      <c r="K42" s="53">
        <v>787709.15327999997</v>
      </c>
      <c r="L42" s="53">
        <v>0</v>
      </c>
      <c r="M42" s="53">
        <v>0</v>
      </c>
      <c r="N42" s="53">
        <v>787709.15327999997</v>
      </c>
      <c r="O42" s="53">
        <v>0</v>
      </c>
      <c r="P42" s="53">
        <v>787709.15327999997</v>
      </c>
      <c r="Q42" s="56"/>
      <c r="R42" s="53">
        <f t="shared" si="1"/>
        <v>3425161.3781199995</v>
      </c>
    </row>
    <row r="43" spans="2:18" x14ac:dyDescent="0.35">
      <c r="B43" s="5" t="s">
        <v>210</v>
      </c>
      <c r="C43" s="19" t="s">
        <v>162</v>
      </c>
      <c r="E43" s="53">
        <v>0</v>
      </c>
      <c r="F43" s="53">
        <v>274324.76500000001</v>
      </c>
      <c r="G43" s="53">
        <v>0</v>
      </c>
      <c r="H43" s="53">
        <v>787709.15327999997</v>
      </c>
      <c r="I43" s="53">
        <v>0</v>
      </c>
      <c r="J43" s="53">
        <v>0</v>
      </c>
      <c r="K43" s="53">
        <v>787709.15327999997</v>
      </c>
      <c r="L43" s="53">
        <v>0</v>
      </c>
      <c r="M43" s="53">
        <v>0</v>
      </c>
      <c r="N43" s="53">
        <v>787709.15327999997</v>
      </c>
      <c r="O43" s="53">
        <v>0</v>
      </c>
      <c r="P43" s="53">
        <v>787709.15327999997</v>
      </c>
      <c r="Q43" s="56"/>
      <c r="R43" s="53">
        <f t="shared" si="1"/>
        <v>3425161.3781199995</v>
      </c>
    </row>
    <row r="44" spans="2:18" x14ac:dyDescent="0.35">
      <c r="B44" s="5" t="s">
        <v>211</v>
      </c>
      <c r="C44" s="19" t="s">
        <v>162</v>
      </c>
      <c r="E44" s="53">
        <v>-400704.4</v>
      </c>
      <c r="F44" s="53">
        <v>0</v>
      </c>
      <c r="G44" s="53">
        <v>0</v>
      </c>
      <c r="H44" s="53"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  <c r="N44" s="53">
        <v>0</v>
      </c>
      <c r="O44" s="53">
        <v>0</v>
      </c>
      <c r="P44" s="53">
        <v>-3425161.3781199995</v>
      </c>
      <c r="Q44" s="56"/>
      <c r="R44" s="53">
        <f t="shared" si="1"/>
        <v>-3825865.7781199994</v>
      </c>
    </row>
    <row r="45" spans="2:18" x14ac:dyDescent="0.35">
      <c r="B45" s="5" t="s">
        <v>35</v>
      </c>
      <c r="C45" s="19" t="s">
        <v>162</v>
      </c>
      <c r="E45" s="53">
        <v>0</v>
      </c>
      <c r="F45" s="53">
        <v>352350</v>
      </c>
      <c r="G45" s="53">
        <v>0</v>
      </c>
      <c r="H45" s="53">
        <v>8715600</v>
      </c>
      <c r="I45" s="53">
        <v>210600</v>
      </c>
      <c r="J45" s="53">
        <v>0</v>
      </c>
      <c r="K45" s="53">
        <v>502200</v>
      </c>
      <c r="L45" s="53">
        <v>0</v>
      </c>
      <c r="M45" s="53">
        <v>252720</v>
      </c>
      <c r="N45" s="53">
        <v>0</v>
      </c>
      <c r="O45" s="53">
        <v>3997349.9999999995</v>
      </c>
      <c r="P45" s="53">
        <v>0</v>
      </c>
      <c r="Q45" s="56"/>
      <c r="R45" s="53">
        <f t="shared" si="1"/>
        <v>14030820</v>
      </c>
    </row>
    <row r="46" spans="2:18" x14ac:dyDescent="0.35">
      <c r="B46" s="42" t="s">
        <v>45</v>
      </c>
      <c r="C46" s="19" t="s">
        <v>162</v>
      </c>
      <c r="D46" s="10"/>
      <c r="E46" s="55">
        <f t="shared" ref="E46:P46" si="9">SUM(E42:E45)</f>
        <v>-400704.4</v>
      </c>
      <c r="F46" s="55">
        <f t="shared" si="9"/>
        <v>900999.53</v>
      </c>
      <c r="G46" s="55">
        <f t="shared" si="9"/>
        <v>0</v>
      </c>
      <c r="H46" s="55">
        <f t="shared" si="9"/>
        <v>10291018.30656</v>
      </c>
      <c r="I46" s="55">
        <f t="shared" si="9"/>
        <v>210600</v>
      </c>
      <c r="J46" s="55">
        <f t="shared" si="9"/>
        <v>0</v>
      </c>
      <c r="K46" s="55">
        <f t="shared" si="9"/>
        <v>2077618.3065599999</v>
      </c>
      <c r="L46" s="55">
        <f t="shared" si="9"/>
        <v>0</v>
      </c>
      <c r="M46" s="55">
        <f t="shared" si="9"/>
        <v>252720</v>
      </c>
      <c r="N46" s="55">
        <f t="shared" si="9"/>
        <v>1575418.3065599999</v>
      </c>
      <c r="O46" s="55">
        <f t="shared" si="9"/>
        <v>3997349.9999999995</v>
      </c>
      <c r="P46" s="55">
        <f t="shared" si="9"/>
        <v>-1849743.0715599996</v>
      </c>
      <c r="Q46" s="56"/>
      <c r="R46" s="55">
        <f t="shared" si="1"/>
        <v>17055276.978120003</v>
      </c>
    </row>
    <row r="47" spans="2:18" ht="6" customHeight="1" x14ac:dyDescent="0.35"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</row>
    <row r="48" spans="2:18" x14ac:dyDescent="0.35">
      <c r="B48" s="42" t="s">
        <v>46</v>
      </c>
      <c r="C48" s="19" t="s">
        <v>162</v>
      </c>
      <c r="E48" s="55">
        <f t="shared" ref="E48:P48" si="10">E46+E40+E36</f>
        <v>407029.95962799992</v>
      </c>
      <c r="F48" s="55">
        <f t="shared" si="10"/>
        <v>2246787.9923529997</v>
      </c>
      <c r="G48" s="55">
        <f t="shared" si="10"/>
        <v>1545989.4528970001</v>
      </c>
      <c r="H48" s="55">
        <f t="shared" si="10"/>
        <v>11056930.379196001</v>
      </c>
      <c r="I48" s="55">
        <f t="shared" si="10"/>
        <v>894036.23302499996</v>
      </c>
      <c r="J48" s="55">
        <f t="shared" si="10"/>
        <v>1345778.2980249999</v>
      </c>
      <c r="K48" s="55">
        <f t="shared" si="10"/>
        <v>3260023.4761879998</v>
      </c>
      <c r="L48" s="55">
        <f t="shared" si="10"/>
        <v>683436.23302499996</v>
      </c>
      <c r="M48" s="55">
        <f t="shared" si="10"/>
        <v>936156.23302499996</v>
      </c>
      <c r="N48" s="55">
        <f t="shared" si="10"/>
        <v>2306152.6661879998</v>
      </c>
      <c r="O48" s="55">
        <f t="shared" si="10"/>
        <v>4680786.2330249995</v>
      </c>
      <c r="P48" s="55">
        <f t="shared" si="10"/>
        <v>-781306.83853499964</v>
      </c>
      <c r="Q48" s="56"/>
      <c r="R48" s="55">
        <f t="shared" si="1"/>
        <v>28581800.318040002</v>
      </c>
    </row>
    <row r="49" spans="2:29" ht="6" customHeight="1" x14ac:dyDescent="0.35"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</row>
    <row r="50" spans="2:29" x14ac:dyDescent="0.35">
      <c r="B50" s="5" t="s">
        <v>75</v>
      </c>
      <c r="C50" s="19" t="s">
        <v>162</v>
      </c>
      <c r="E50" s="53"/>
      <c r="F50" s="53"/>
      <c r="G50" s="53"/>
      <c r="H50" s="53"/>
      <c r="I50" s="53"/>
      <c r="J50" s="53"/>
      <c r="K50" s="53"/>
      <c r="L50" s="53"/>
      <c r="M50" s="53">
        <v>-5000000</v>
      </c>
      <c r="N50" s="53"/>
      <c r="O50" s="53"/>
      <c r="P50" s="53"/>
      <c r="Q50" s="56"/>
      <c r="R50" s="53">
        <f t="shared" si="1"/>
        <v>-5000000</v>
      </c>
    </row>
    <row r="51" spans="2:29" x14ac:dyDescent="0.35">
      <c r="B51" s="5" t="s">
        <v>263</v>
      </c>
      <c r="C51" s="19" t="s">
        <v>162</v>
      </c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>
        <f>-'Data Budget'!I101*10^6</f>
        <v>-7739045.21</v>
      </c>
      <c r="Q51" s="56"/>
      <c r="R51" s="53"/>
    </row>
    <row r="52" spans="2:29" x14ac:dyDescent="0.35">
      <c r="B52" s="5" t="s">
        <v>172</v>
      </c>
      <c r="C52" s="19" t="s">
        <v>162</v>
      </c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6"/>
      <c r="R52" s="53"/>
    </row>
    <row r="53" spans="2:29" x14ac:dyDescent="0.35">
      <c r="B53" s="5" t="s">
        <v>81</v>
      </c>
      <c r="C53" s="19" t="s">
        <v>162</v>
      </c>
      <c r="E53" s="53">
        <f t="shared" ref="E53:P53" si="11">-MAX(2%/12*AVERAGE(E64,E64-SUM(E20,E25,E48)),0)</f>
        <v>-328568.62294189772</v>
      </c>
      <c r="F53" s="53">
        <f t="shared" si="11"/>
        <v>-306069.93969126116</v>
      </c>
      <c r="G53" s="53">
        <f t="shared" si="11"/>
        <v>-286733.13423942716</v>
      </c>
      <c r="H53" s="53">
        <f t="shared" si="11"/>
        <v>-258046.39606373015</v>
      </c>
      <c r="I53" s="53">
        <f t="shared" si="11"/>
        <v>-217456.09154513368</v>
      </c>
      <c r="J53" s="53">
        <f t="shared" si="11"/>
        <v>-191222.04523220425</v>
      </c>
      <c r="K53" s="53">
        <f t="shared" si="11"/>
        <v>-173007.14764111748</v>
      </c>
      <c r="L53" s="53">
        <f t="shared" si="11"/>
        <v>-146865.35303890973</v>
      </c>
      <c r="M53" s="53">
        <f t="shared" si="11"/>
        <v>-122059.84095109468</v>
      </c>
      <c r="N53" s="53">
        <f t="shared" si="11"/>
        <v>-118602.04726259496</v>
      </c>
      <c r="O53" s="53">
        <f t="shared" si="11"/>
        <v>-99609.829127964986</v>
      </c>
      <c r="P53" s="53">
        <f t="shared" si="11"/>
        <v>-76608.912708881035</v>
      </c>
      <c r="Q53" s="56"/>
      <c r="R53" s="53">
        <f t="shared" ref="R53" si="12">SUM(E53:P53)</f>
        <v>-2324849.3604442165</v>
      </c>
    </row>
    <row r="54" spans="2:29" x14ac:dyDescent="0.35">
      <c r="B54" s="5" t="s">
        <v>182</v>
      </c>
      <c r="C54" s="19" t="s">
        <v>162</v>
      </c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6"/>
      <c r="R54" s="53"/>
    </row>
    <row r="55" spans="2:29" x14ac:dyDescent="0.35">
      <c r="B55" s="51" t="s">
        <v>181</v>
      </c>
      <c r="C55" s="19" t="s">
        <v>162</v>
      </c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6"/>
      <c r="R55" s="53"/>
      <c r="T55" s="4"/>
      <c r="U55" s="4"/>
      <c r="V55" s="4"/>
      <c r="W55" s="4"/>
      <c r="X55" s="4"/>
      <c r="Y55" s="4"/>
      <c r="Z55" s="4"/>
      <c r="AA55" s="4"/>
      <c r="AC55" s="4"/>
    </row>
    <row r="56" spans="2:29" x14ac:dyDescent="0.35">
      <c r="I56" s="54"/>
      <c r="J56" s="54"/>
      <c r="K56" s="54"/>
      <c r="L56" s="54"/>
      <c r="M56" s="54"/>
      <c r="N56" s="54"/>
      <c r="O56" s="54"/>
      <c r="P56" s="54"/>
      <c r="Q56" s="56"/>
      <c r="R56" s="54"/>
      <c r="T56" s="4"/>
      <c r="U56" s="4"/>
      <c r="V56" s="4"/>
      <c r="W56" s="4"/>
      <c r="X56" s="4"/>
      <c r="Y56" s="4"/>
      <c r="Z56" s="4"/>
      <c r="AA56" s="4"/>
      <c r="AC56" s="4"/>
    </row>
    <row r="57" spans="2:29" x14ac:dyDescent="0.35">
      <c r="I57" s="54"/>
      <c r="J57" s="54"/>
      <c r="K57" s="54"/>
      <c r="L57" s="54"/>
      <c r="M57" s="54"/>
      <c r="N57" s="54"/>
      <c r="O57" s="54"/>
      <c r="P57" s="54"/>
      <c r="Q57" s="56"/>
      <c r="R57" s="54"/>
      <c r="T57" s="4"/>
      <c r="U57" s="4"/>
      <c r="V57" s="4"/>
      <c r="W57" s="4"/>
      <c r="X57" s="4"/>
      <c r="Y57" s="4"/>
      <c r="Z57" s="4"/>
      <c r="AA57" s="4"/>
      <c r="AC57" s="4"/>
    </row>
    <row r="58" spans="2:29" x14ac:dyDescent="0.35">
      <c r="E58" s="56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6"/>
      <c r="R58" s="54"/>
    </row>
    <row r="59" spans="2:29" x14ac:dyDescent="0.35">
      <c r="B59" s="5" t="s">
        <v>157</v>
      </c>
      <c r="C59" s="19" t="s">
        <v>162</v>
      </c>
      <c r="E59" s="53">
        <f t="shared" ref="E59:P59" si="13">20%*SUM(E25,E20)</f>
        <v>3021506.9662222229</v>
      </c>
      <c r="F59" s="53">
        <f t="shared" si="13"/>
        <v>1603314.8862222224</v>
      </c>
      <c r="G59" s="53">
        <f t="shared" si="13"/>
        <v>1760064.9545555555</v>
      </c>
      <c r="H59" s="53">
        <f t="shared" si="13"/>
        <v>3223438.2995555555</v>
      </c>
      <c r="I59" s="53">
        <f t="shared" si="13"/>
        <v>3503210.6555555556</v>
      </c>
      <c r="J59" s="53">
        <f t="shared" si="13"/>
        <v>1654721.7095555556</v>
      </c>
      <c r="K59" s="53">
        <f t="shared" si="13"/>
        <v>2419668.8115555556</v>
      </c>
      <c r="L59" s="53">
        <f t="shared" si="13"/>
        <v>3488289.5477881432</v>
      </c>
      <c r="M59" s="53">
        <f t="shared" si="13"/>
        <v>1386433.8659999997</v>
      </c>
      <c r="N59" s="53">
        <f t="shared" si="13"/>
        <v>1177092.7539999997</v>
      </c>
      <c r="O59" s="53">
        <f t="shared" si="13"/>
        <v>2875571.3548888885</v>
      </c>
      <c r="P59" s="53">
        <f t="shared" si="13"/>
        <v>1228941.6428888885</v>
      </c>
      <c r="Q59" s="56"/>
      <c r="R59" s="53">
        <f t="shared" ref="R59:R60" si="14">SUM(E59:P59)</f>
        <v>27342255.448788147</v>
      </c>
    </row>
    <row r="60" spans="2:29" x14ac:dyDescent="0.35">
      <c r="B60" s="5" t="s">
        <v>158</v>
      </c>
      <c r="C60" s="19" t="s">
        <v>162</v>
      </c>
      <c r="E60" s="53">
        <v>-2082692</v>
      </c>
      <c r="F60" s="53">
        <v>0</v>
      </c>
      <c r="G60" s="53">
        <f>-E59</f>
        <v>-3021506.9662222229</v>
      </c>
      <c r="H60" s="53">
        <f t="shared" ref="H60:P60" si="15">-F59</f>
        <v>-1603314.8862222224</v>
      </c>
      <c r="I60" s="53">
        <f t="shared" si="15"/>
        <v>-1760064.9545555555</v>
      </c>
      <c r="J60" s="53">
        <f t="shared" si="15"/>
        <v>-3223438.2995555555</v>
      </c>
      <c r="K60" s="53">
        <f t="shared" si="15"/>
        <v>-3503210.6555555556</v>
      </c>
      <c r="L60" s="53">
        <f t="shared" si="15"/>
        <v>-1654721.7095555556</v>
      </c>
      <c r="M60" s="53">
        <f t="shared" si="15"/>
        <v>-2419668.8115555556</v>
      </c>
      <c r="N60" s="53">
        <f t="shared" si="15"/>
        <v>-3488289.5477881432</v>
      </c>
      <c r="O60" s="53">
        <f t="shared" si="15"/>
        <v>-1386433.8659999997</v>
      </c>
      <c r="P60" s="53">
        <f t="shared" si="15"/>
        <v>-1177092.7539999997</v>
      </c>
      <c r="Q60" s="56"/>
      <c r="R60" s="53">
        <f t="shared" si="14"/>
        <v>-25320434.451010369</v>
      </c>
    </row>
    <row r="61" spans="2:29" ht="6" customHeight="1" x14ac:dyDescent="0.35"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</row>
    <row r="62" spans="2:29" x14ac:dyDescent="0.35">
      <c r="B62" s="42" t="s">
        <v>19</v>
      </c>
      <c r="C62" s="19" t="s">
        <v>162</v>
      </c>
      <c r="E62" s="55">
        <f>+E48+E25+E20+SUM(E50:E55)+SUM(E59:E60)+E27</f>
        <v>16124811.134019436</v>
      </c>
      <c r="F62" s="55">
        <f t="shared" ref="F62:P62" si="16">+F48+F25+F20+SUM(F50:F55)+SUM(F59:F60)+F27</f>
        <v>11560607.369995074</v>
      </c>
      <c r="G62" s="55">
        <f t="shared" si="16"/>
        <v>8798139.0797686838</v>
      </c>
      <c r="H62" s="55">
        <f t="shared" si="16"/>
        <v>28736198.894243382</v>
      </c>
      <c r="I62" s="55">
        <f t="shared" si="16"/>
        <v>20135779.120257642</v>
      </c>
      <c r="J62" s="55">
        <f t="shared" si="16"/>
        <v>8059448.2105705719</v>
      </c>
      <c r="K62" s="55">
        <f t="shared" si="16"/>
        <v>14301818.54232466</v>
      </c>
      <c r="L62" s="55">
        <f t="shared" si="16"/>
        <v>20011586.457159393</v>
      </c>
      <c r="M62" s="55">
        <f t="shared" si="16"/>
        <v>1913030.7765183493</v>
      </c>
      <c r="N62" s="55">
        <f t="shared" si="16"/>
        <v>5961817.5951372599</v>
      </c>
      <c r="O62" s="55">
        <f t="shared" si="16"/>
        <v>20648170.667230371</v>
      </c>
      <c r="P62" s="55">
        <f t="shared" si="16"/>
        <v>-2200403.8579105493</v>
      </c>
      <c r="Q62" s="56"/>
      <c r="R62" s="55">
        <f t="shared" ref="R62" si="17">SUM(E62:P62)</f>
        <v>154051003.98931429</v>
      </c>
    </row>
    <row r="63" spans="2:29" x14ac:dyDescent="0.35"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8">
        <f>R62/12</f>
        <v>12837583.665776191</v>
      </c>
    </row>
    <row r="64" spans="2:29" x14ac:dyDescent="0.35">
      <c r="B64" s="5" t="s">
        <v>51</v>
      </c>
      <c r="C64" s="19" t="s">
        <v>162</v>
      </c>
      <c r="E64" s="77">
        <v>204898456.16050819</v>
      </c>
      <c r="F64" s="55">
        <f>E65</f>
        <v>188773645.02648875</v>
      </c>
      <c r="G64" s="55">
        <f t="shared" ref="G64:P64" si="18">F65</f>
        <v>177213037.65649366</v>
      </c>
      <c r="H64" s="55">
        <f t="shared" si="18"/>
        <v>168414898.57672498</v>
      </c>
      <c r="I64" s="55">
        <f t="shared" si="18"/>
        <v>139678699.68248159</v>
      </c>
      <c r="J64" s="55">
        <f t="shared" si="18"/>
        <v>119542920.56222394</v>
      </c>
      <c r="K64" s="55">
        <f t="shared" si="18"/>
        <v>111483472.35165337</v>
      </c>
      <c r="L64" s="55">
        <f t="shared" si="18"/>
        <v>97181653.809328705</v>
      </c>
      <c r="M64" s="55">
        <f t="shared" si="18"/>
        <v>77170067.352169305</v>
      </c>
      <c r="N64" s="55">
        <f t="shared" si="18"/>
        <v>75257036.57565096</v>
      </c>
      <c r="O64" s="55">
        <f t="shared" si="18"/>
        <v>69295218.980513707</v>
      </c>
      <c r="P64" s="55">
        <f t="shared" si="18"/>
        <v>48647048.313283339</v>
      </c>
      <c r="Q64" s="56"/>
      <c r="R64" s="56"/>
    </row>
    <row r="65" spans="2:19" x14ac:dyDescent="0.35">
      <c r="B65" s="5" t="s">
        <v>52</v>
      </c>
      <c r="C65" s="19" t="s">
        <v>162</v>
      </c>
      <c r="E65" s="55">
        <f>E64-E62</f>
        <v>188773645.02648875</v>
      </c>
      <c r="F65" s="55">
        <f>F64-F62</f>
        <v>177213037.65649366</v>
      </c>
      <c r="G65" s="55">
        <f t="shared" ref="G65:P65" si="19">G64-G62</f>
        <v>168414898.57672498</v>
      </c>
      <c r="H65" s="55">
        <f t="shared" si="19"/>
        <v>139678699.68248159</v>
      </c>
      <c r="I65" s="55">
        <f t="shared" si="19"/>
        <v>119542920.56222394</v>
      </c>
      <c r="J65" s="55">
        <f t="shared" si="19"/>
        <v>111483472.35165337</v>
      </c>
      <c r="K65" s="55">
        <f t="shared" si="19"/>
        <v>97181653.809328705</v>
      </c>
      <c r="L65" s="55">
        <f t="shared" si="19"/>
        <v>77170067.352169305</v>
      </c>
      <c r="M65" s="55">
        <f t="shared" si="19"/>
        <v>75257036.57565096</v>
      </c>
      <c r="N65" s="55">
        <f t="shared" si="19"/>
        <v>69295218.980513707</v>
      </c>
      <c r="O65" s="55">
        <f t="shared" si="19"/>
        <v>48647048.313283339</v>
      </c>
      <c r="P65" s="55">
        <f t="shared" si="19"/>
        <v>50847452.17119389</v>
      </c>
      <c r="Q65" s="56"/>
      <c r="R65" s="56"/>
    </row>
    <row r="66" spans="2:19" x14ac:dyDescent="0.35"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</row>
    <row r="67" spans="2:19" x14ac:dyDescent="0.35"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</row>
    <row r="68" spans="2:19" x14ac:dyDescent="0.35"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</row>
    <row r="69" spans="2:19" x14ac:dyDescent="0.35"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</row>
    <row r="70" spans="2:19" x14ac:dyDescent="0.35">
      <c r="B70" s="3" t="s">
        <v>8</v>
      </c>
      <c r="C70" s="3"/>
      <c r="E70" s="57">
        <v>46023</v>
      </c>
      <c r="F70" s="57">
        <f t="shared" ref="F70" si="20">EDATE(E70,1)</f>
        <v>46054</v>
      </c>
      <c r="G70" s="57">
        <f t="shared" ref="G70" si="21">EDATE(F70,1)</f>
        <v>46082</v>
      </c>
      <c r="H70" s="57">
        <f t="shared" ref="H70" si="22">EDATE(G70,1)</f>
        <v>46113</v>
      </c>
      <c r="I70" s="57">
        <f t="shared" ref="I70" si="23">EDATE(H70,1)</f>
        <v>46143</v>
      </c>
      <c r="J70" s="57">
        <f t="shared" ref="J70" si="24">EDATE(I70,1)</f>
        <v>46174</v>
      </c>
      <c r="K70" s="57">
        <f>EDATE(J70,1)</f>
        <v>46204</v>
      </c>
      <c r="L70" s="57">
        <f t="shared" ref="L70" si="25">EDATE(K70,1)</f>
        <v>46235</v>
      </c>
      <c r="M70" s="57">
        <f t="shared" ref="M70" si="26">EDATE(L70,1)</f>
        <v>46266</v>
      </c>
      <c r="N70" s="57">
        <f t="shared" ref="N70" si="27">EDATE(M70,1)</f>
        <v>46296</v>
      </c>
      <c r="O70" s="57">
        <f>EDATE(N70,1)</f>
        <v>46327</v>
      </c>
      <c r="P70" s="57">
        <f t="shared" ref="P70" si="28">EDATE(O70,1)</f>
        <v>46357</v>
      </c>
      <c r="Q70" s="56"/>
      <c r="R70" s="15">
        <v>2025</v>
      </c>
    </row>
    <row r="71" spans="2:19" x14ac:dyDescent="0.35"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</row>
    <row r="72" spans="2:19" x14ac:dyDescent="0.35">
      <c r="B72" s="5" t="s">
        <v>207</v>
      </c>
      <c r="C72" s="19" t="s">
        <v>163</v>
      </c>
      <c r="E72" s="53">
        <f>'Data Budget'!E69</f>
        <v>2652656.2266666666</v>
      </c>
      <c r="F72" s="53">
        <f>'Data Budget'!F69</f>
        <v>2652656.2266666666</v>
      </c>
      <c r="G72" s="53">
        <f>'Data Budget'!G69</f>
        <v>2652656.2266666666</v>
      </c>
      <c r="H72" s="53">
        <f>'Data Budget'!H69</f>
        <v>2652656.2266666666</v>
      </c>
      <c r="I72" s="53">
        <f>'Data Budget'!I69</f>
        <v>2692903.84</v>
      </c>
      <c r="J72" s="53">
        <f>'Data Budget'!J69</f>
        <v>2692903.84</v>
      </c>
      <c r="K72" s="53">
        <f>'Data Budget'!K69</f>
        <v>2692903.84</v>
      </c>
      <c r="L72" s="53">
        <f>'Data Budget'!L69</f>
        <v>5399665.3833333328</v>
      </c>
      <c r="M72" s="53">
        <f>'Data Budget'!M69</f>
        <v>5399665.3833333328</v>
      </c>
      <c r="N72" s="53">
        <f>'Data Budget'!N69</f>
        <v>5399665.3833333328</v>
      </c>
      <c r="O72" s="53">
        <f>'Data Budget'!O69</f>
        <v>3292479.84</v>
      </c>
      <c r="P72" s="53">
        <f>'Data Budget'!P69</f>
        <v>3292479.84</v>
      </c>
      <c r="Q72" s="56"/>
      <c r="R72" s="53">
        <f t="shared" ref="R72:R76" si="29">SUM(E72:P72)</f>
        <v>41473292.256666675</v>
      </c>
      <c r="S72" t="s">
        <v>118</v>
      </c>
    </row>
    <row r="73" spans="2:19" x14ac:dyDescent="0.35">
      <c r="B73" s="5" t="s">
        <v>178</v>
      </c>
      <c r="C73" s="19" t="s">
        <v>163</v>
      </c>
      <c r="E73" s="53">
        <f>'Data Budget'!E47</f>
        <v>841253.33333333337</v>
      </c>
      <c r="F73" s="53">
        <f>'Data Budget'!F47</f>
        <v>841253.33333333337</v>
      </c>
      <c r="G73" s="53">
        <f>'Data Budget'!G47</f>
        <v>841253.33333333337</v>
      </c>
      <c r="H73" s="53">
        <f>'Data Budget'!H47</f>
        <v>841253.33333333337</v>
      </c>
      <c r="I73" s="53">
        <f>'Data Budget'!I47</f>
        <v>861520</v>
      </c>
      <c r="J73" s="53">
        <f>'Data Budget'!J47</f>
        <v>861520</v>
      </c>
      <c r="K73" s="53">
        <f>'Data Budget'!K47</f>
        <v>861520</v>
      </c>
      <c r="L73" s="53">
        <f>'Data Budget'!L47</f>
        <v>852720</v>
      </c>
      <c r="M73" s="53">
        <f>'Data Budget'!M47</f>
        <v>852720</v>
      </c>
      <c r="N73" s="53">
        <f>'Data Budget'!N47</f>
        <v>852720</v>
      </c>
      <c r="O73" s="53">
        <f>'Data Budget'!O47</f>
        <v>849973.33333333337</v>
      </c>
      <c r="P73" s="53">
        <f>'Data Budget'!P47</f>
        <v>849973.33333333337</v>
      </c>
      <c r="Q73" s="56"/>
      <c r="R73" s="53">
        <f>SUM(E73:P73)</f>
        <v>10207680.000000002</v>
      </c>
    </row>
    <row r="74" spans="2:19" x14ac:dyDescent="0.35">
      <c r="B74" s="5" t="s">
        <v>80</v>
      </c>
      <c r="C74" s="19" t="s">
        <v>163</v>
      </c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6"/>
      <c r="R74" s="53"/>
    </row>
    <row r="75" spans="2:19" x14ac:dyDescent="0.35">
      <c r="B75" s="5" t="s">
        <v>187</v>
      </c>
      <c r="C75" s="19" t="s">
        <v>163</v>
      </c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6"/>
      <c r="R75" s="53"/>
    </row>
    <row r="76" spans="2:19" x14ac:dyDescent="0.35">
      <c r="B76" s="5" t="s">
        <v>126</v>
      </c>
      <c r="C76" s="19" t="s">
        <v>163</v>
      </c>
      <c r="E76" s="53">
        <f>-MAX(3%/12*AVERAGE(E85,E85-SUM(E72:E73)),0)</f>
        <v>-456223.439625</v>
      </c>
      <c r="F76" s="53">
        <f t="shared" ref="F76:P76" si="30">-MAX(3%/12*AVERAGE(F85,F85-SUM(F72:F73)),0)</f>
        <v>-448629.22432406247</v>
      </c>
      <c r="G76" s="53">
        <f t="shared" si="30"/>
        <v>-441016.02348487265</v>
      </c>
      <c r="H76" s="53">
        <f t="shared" si="30"/>
        <v>-433383.78964358487</v>
      </c>
      <c r="I76" s="53">
        <f t="shared" si="30"/>
        <v>-425656.83236769377</v>
      </c>
      <c r="J76" s="53">
        <f t="shared" si="30"/>
        <v>-417834.91484861303</v>
      </c>
      <c r="K76" s="53">
        <f t="shared" si="30"/>
        <v>-409993.44253573462</v>
      </c>
      <c r="L76" s="53">
        <f t="shared" si="30"/>
        <v>-398759.91461290728</v>
      </c>
      <c r="M76" s="53">
        <f t="shared" si="30"/>
        <v>-384125.85094110615</v>
      </c>
      <c r="N76" s="53">
        <f t="shared" si="30"/>
        <v>-369455.20211012557</v>
      </c>
      <c r="O76" s="53">
        <f t="shared" si="30"/>
        <v>-357385.29191956751</v>
      </c>
      <c r="P76" s="53">
        <f t="shared" si="30"/>
        <v>-347922.62221603311</v>
      </c>
      <c r="Q76" s="56"/>
      <c r="R76" s="53">
        <f t="shared" si="29"/>
        <v>-4890386.5486293007</v>
      </c>
    </row>
    <row r="77" spans="2:19" x14ac:dyDescent="0.35">
      <c r="B77" s="5" t="s">
        <v>182</v>
      </c>
      <c r="C77" s="19" t="s">
        <v>163</v>
      </c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6"/>
      <c r="R77" s="53"/>
    </row>
    <row r="78" spans="2:19" x14ac:dyDescent="0.35">
      <c r="B78" s="5" t="s">
        <v>168</v>
      </c>
      <c r="C78" s="19" t="s">
        <v>163</v>
      </c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6"/>
      <c r="R78" s="53"/>
    </row>
    <row r="79" spans="2:19" x14ac:dyDescent="0.35">
      <c r="B79" s="5" t="s">
        <v>175</v>
      </c>
      <c r="C79" s="19" t="s">
        <v>163</v>
      </c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6"/>
      <c r="R79" s="53"/>
    </row>
    <row r="80" spans="2:19" x14ac:dyDescent="0.35">
      <c r="B80" s="5" t="s">
        <v>174</v>
      </c>
      <c r="C80" s="19" t="s">
        <v>163</v>
      </c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6"/>
      <c r="R80" s="53"/>
    </row>
    <row r="81" spans="2:19" x14ac:dyDescent="0.35">
      <c r="C81" s="3"/>
      <c r="E81" s="55">
        <f t="shared" ref="E81:P81" si="31">SUM(E72:E76)</f>
        <v>3037686.1203749999</v>
      </c>
      <c r="F81" s="55">
        <f t="shared" si="31"/>
        <v>3045280.3356759376</v>
      </c>
      <c r="G81" s="55">
        <f t="shared" si="31"/>
        <v>3052893.5365151274</v>
      </c>
      <c r="H81" s="55">
        <f t="shared" si="31"/>
        <v>3060525.7703564153</v>
      </c>
      <c r="I81" s="55">
        <f t="shared" si="31"/>
        <v>3128767.0076323058</v>
      </c>
      <c r="J81" s="55">
        <f t="shared" si="31"/>
        <v>3136588.9251513868</v>
      </c>
      <c r="K81" s="55">
        <f t="shared" si="31"/>
        <v>3144430.3974642651</v>
      </c>
      <c r="L81" s="55">
        <f t="shared" si="31"/>
        <v>5853625.4687204259</v>
      </c>
      <c r="M81" s="55">
        <f t="shared" si="31"/>
        <v>5868259.5323922271</v>
      </c>
      <c r="N81" s="55">
        <f t="shared" si="31"/>
        <v>5882930.1812232072</v>
      </c>
      <c r="O81" s="55">
        <f t="shared" si="31"/>
        <v>3785067.8814137657</v>
      </c>
      <c r="P81" s="55">
        <f t="shared" si="31"/>
        <v>3794530.5511173001</v>
      </c>
      <c r="Q81" s="56"/>
      <c r="R81" s="55">
        <f>SUM(R72:R72)</f>
        <v>41473292.256666675</v>
      </c>
      <c r="S81" t="s">
        <v>119</v>
      </c>
    </row>
    <row r="82" spans="2:19" x14ac:dyDescent="0.35">
      <c r="C82" s="3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</row>
    <row r="83" spans="2:19" x14ac:dyDescent="0.35">
      <c r="B83" s="3" t="s">
        <v>152</v>
      </c>
      <c r="C83" s="3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</row>
    <row r="84" spans="2:19" x14ac:dyDescent="0.35">
      <c r="C84" s="3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</row>
    <row r="85" spans="2:19" x14ac:dyDescent="0.35">
      <c r="B85" s="5" t="s">
        <v>57</v>
      </c>
      <c r="C85" s="19" t="s">
        <v>163</v>
      </c>
      <c r="E85" s="77">
        <v>184236330.63</v>
      </c>
      <c r="F85" s="55">
        <f>E86</f>
        <v>181198644.50962499</v>
      </c>
      <c r="G85" s="55">
        <f t="shared" ref="G85:P85" si="32">F86</f>
        <v>178153364.17394906</v>
      </c>
      <c r="H85" s="55">
        <f t="shared" si="32"/>
        <v>175100470.63743395</v>
      </c>
      <c r="I85" s="55">
        <f t="shared" si="32"/>
        <v>172039944.86707753</v>
      </c>
      <c r="J85" s="55">
        <f t="shared" si="32"/>
        <v>168911177.85944521</v>
      </c>
      <c r="K85" s="55">
        <f t="shared" si="32"/>
        <v>165774588.93429384</v>
      </c>
      <c r="L85" s="55">
        <f t="shared" si="32"/>
        <v>162630158.53682956</v>
      </c>
      <c r="M85" s="55">
        <f t="shared" si="32"/>
        <v>156776533.06810912</v>
      </c>
      <c r="N85" s="55">
        <f t="shared" si="32"/>
        <v>150908273.53571689</v>
      </c>
      <c r="O85" s="55">
        <f t="shared" si="32"/>
        <v>145025343.35449368</v>
      </c>
      <c r="P85" s="55">
        <f t="shared" si="32"/>
        <v>141240275.47307992</v>
      </c>
      <c r="Q85" s="56"/>
      <c r="R85" s="56"/>
    </row>
    <row r="86" spans="2:19" x14ac:dyDescent="0.35">
      <c r="B86" s="5" t="s">
        <v>58</v>
      </c>
      <c r="C86" s="19" t="s">
        <v>163</v>
      </c>
      <c r="E86" s="55">
        <f t="shared" ref="E86:P86" si="33">E85-E81</f>
        <v>181198644.50962499</v>
      </c>
      <c r="F86" s="55">
        <f t="shared" si="33"/>
        <v>178153364.17394906</v>
      </c>
      <c r="G86" s="55">
        <f t="shared" si="33"/>
        <v>175100470.63743395</v>
      </c>
      <c r="H86" s="55">
        <f t="shared" si="33"/>
        <v>172039944.86707753</v>
      </c>
      <c r="I86" s="55">
        <f t="shared" si="33"/>
        <v>168911177.85944521</v>
      </c>
      <c r="J86" s="55">
        <f t="shared" si="33"/>
        <v>165774588.93429384</v>
      </c>
      <c r="K86" s="55">
        <f t="shared" si="33"/>
        <v>162630158.53682956</v>
      </c>
      <c r="L86" s="55">
        <f t="shared" si="33"/>
        <v>156776533.06810912</v>
      </c>
      <c r="M86" s="55">
        <f t="shared" si="33"/>
        <v>150908273.53571689</v>
      </c>
      <c r="N86" s="55">
        <f t="shared" si="33"/>
        <v>145025343.35449368</v>
      </c>
      <c r="O86" s="55">
        <f t="shared" si="33"/>
        <v>141240275.47307992</v>
      </c>
      <c r="P86" s="55">
        <f t="shared" si="33"/>
        <v>137445744.92196262</v>
      </c>
      <c r="Q86" s="56"/>
      <c r="R86" s="56">
        <f>P86+'LLC Budget'!P38</f>
        <v>294292838.56906128</v>
      </c>
    </row>
    <row r="87" spans="2:19" x14ac:dyDescent="0.35"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</row>
    <row r="88" spans="2:19" x14ac:dyDescent="0.35">
      <c r="B88" s="5" t="s">
        <v>73</v>
      </c>
      <c r="C88" s="19" t="s">
        <v>163</v>
      </c>
      <c r="E88" s="85">
        <v>1.175</v>
      </c>
      <c r="F88" s="64">
        <v>1.1599999999999999</v>
      </c>
      <c r="G88" s="64">
        <v>1.1599999999999999</v>
      </c>
      <c r="H88" s="64">
        <v>1.1599999999999999</v>
      </c>
      <c r="I88" s="64">
        <v>1.1599999999999999</v>
      </c>
      <c r="J88" s="64">
        <v>1.1599999999999999</v>
      </c>
      <c r="K88" s="64">
        <v>1.1599999999999999</v>
      </c>
      <c r="L88" s="64">
        <v>1.1599999999999999</v>
      </c>
      <c r="M88" s="64">
        <v>1.1599999999999999</v>
      </c>
      <c r="N88" s="64">
        <v>1.1599999999999999</v>
      </c>
      <c r="O88" s="64">
        <v>1.1599999999999999</v>
      </c>
      <c r="P88" s="64">
        <v>1.1599999999999999</v>
      </c>
      <c r="Q88" s="56"/>
      <c r="R88" s="56"/>
    </row>
    <row r="89" spans="2:19" x14ac:dyDescent="0.35">
      <c r="B89" s="5" t="s">
        <v>74</v>
      </c>
      <c r="C89" s="19" t="s">
        <v>163</v>
      </c>
      <c r="E89" s="64">
        <v>1.1599999999999999</v>
      </c>
      <c r="F89" s="64">
        <v>1.1599999999999999</v>
      </c>
      <c r="G89" s="64">
        <v>1.1599999999999999</v>
      </c>
      <c r="H89" s="64">
        <v>1.1599999999999999</v>
      </c>
      <c r="I89" s="64">
        <v>1.1599999999999999</v>
      </c>
      <c r="J89" s="64">
        <v>1.1599999999999999</v>
      </c>
      <c r="K89" s="64">
        <v>1.1599999999999999</v>
      </c>
      <c r="L89" s="64">
        <v>1.1599999999999999</v>
      </c>
      <c r="M89" s="64">
        <v>1.1599999999999999</v>
      </c>
      <c r="N89" s="64">
        <v>1.1599999999999999</v>
      </c>
      <c r="O89" s="64">
        <v>1.1599999999999999</v>
      </c>
      <c r="P89" s="64">
        <v>1.1599999999999999</v>
      </c>
      <c r="Q89" s="56"/>
      <c r="R89" s="56"/>
    </row>
    <row r="90" spans="2:19" x14ac:dyDescent="0.35"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</row>
    <row r="91" spans="2:19" x14ac:dyDescent="0.35">
      <c r="B91" s="5" t="s">
        <v>57</v>
      </c>
      <c r="C91" s="19" t="s">
        <v>163</v>
      </c>
      <c r="E91" s="55">
        <f>E85/E88</f>
        <v>156796877.13191488</v>
      </c>
      <c r="F91" s="55">
        <f t="shared" ref="F91:P91" si="34">F85/F88</f>
        <v>156205728.0255388</v>
      </c>
      <c r="G91" s="55">
        <f t="shared" si="34"/>
        <v>153580486.35685265</v>
      </c>
      <c r="H91" s="55">
        <f t="shared" si="34"/>
        <v>150948681.58399481</v>
      </c>
      <c r="I91" s="55">
        <f t="shared" si="34"/>
        <v>148310297.29920477</v>
      </c>
      <c r="J91" s="55">
        <f t="shared" si="34"/>
        <v>145613084.36159071</v>
      </c>
      <c r="K91" s="55">
        <f t="shared" si="34"/>
        <v>142909128.39163262</v>
      </c>
      <c r="L91" s="55">
        <f t="shared" si="34"/>
        <v>140198412.53174964</v>
      </c>
      <c r="M91" s="55">
        <f t="shared" si="34"/>
        <v>135152183.67940444</v>
      </c>
      <c r="N91" s="55">
        <f t="shared" si="34"/>
        <v>130093339.25492837</v>
      </c>
      <c r="O91" s="55">
        <f t="shared" si="34"/>
        <v>125021847.71939111</v>
      </c>
      <c r="P91" s="55">
        <f t="shared" si="34"/>
        <v>121758858.16644822</v>
      </c>
      <c r="Q91" s="56"/>
      <c r="R91" s="56"/>
    </row>
    <row r="92" spans="2:19" x14ac:dyDescent="0.35">
      <c r="B92" s="5" t="s">
        <v>58</v>
      </c>
      <c r="C92" s="19" t="s">
        <v>163</v>
      </c>
      <c r="E92" s="55">
        <f>E86/E89</f>
        <v>156205728.0255388</v>
      </c>
      <c r="F92" s="55">
        <f t="shared" ref="F92:P92" si="35">F86/F89</f>
        <v>153580486.35685265</v>
      </c>
      <c r="G92" s="55">
        <f t="shared" si="35"/>
        <v>150948681.58399481</v>
      </c>
      <c r="H92" s="55">
        <f t="shared" si="35"/>
        <v>148310297.29920477</v>
      </c>
      <c r="I92" s="55">
        <f t="shared" si="35"/>
        <v>145613084.36159071</v>
      </c>
      <c r="J92" s="55">
        <f t="shared" si="35"/>
        <v>142909128.39163262</v>
      </c>
      <c r="K92" s="55">
        <f t="shared" si="35"/>
        <v>140198412.53174964</v>
      </c>
      <c r="L92" s="55">
        <f t="shared" si="35"/>
        <v>135152183.67940444</v>
      </c>
      <c r="M92" s="55">
        <f t="shared" si="35"/>
        <v>130093339.25492837</v>
      </c>
      <c r="N92" s="55">
        <f t="shared" si="35"/>
        <v>125021847.71939111</v>
      </c>
      <c r="O92" s="55">
        <f t="shared" si="35"/>
        <v>121758858.16644822</v>
      </c>
      <c r="P92" s="55">
        <f t="shared" si="35"/>
        <v>118487711.13962296</v>
      </c>
      <c r="Q92" s="56"/>
      <c r="R92" s="56"/>
    </row>
    <row r="93" spans="2:19" x14ac:dyDescent="0.35"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</row>
    <row r="94" spans="2:19" x14ac:dyDescent="0.35">
      <c r="J94" s="56"/>
      <c r="K94" s="56"/>
      <c r="L94" s="56"/>
      <c r="M94" s="56"/>
      <c r="N94" s="56"/>
      <c r="O94" s="56"/>
      <c r="P94" s="56"/>
      <c r="Q94" s="56"/>
      <c r="R94" s="56"/>
    </row>
    <row r="95" spans="2:19" x14ac:dyDescent="0.35">
      <c r="J95" s="56"/>
      <c r="K95" s="56"/>
      <c r="L95" s="56"/>
      <c r="M95" s="56"/>
      <c r="N95" s="56"/>
      <c r="O95" s="56"/>
      <c r="P95" s="56"/>
      <c r="Q95" s="56"/>
      <c r="R95" s="56"/>
    </row>
    <row r="96" spans="2:19" x14ac:dyDescent="0.35">
      <c r="J96" s="56"/>
      <c r="K96" s="56"/>
      <c r="L96" s="56"/>
      <c r="M96" s="56"/>
      <c r="N96" s="56"/>
      <c r="O96" s="56"/>
      <c r="P96" s="56"/>
      <c r="Q96" s="56"/>
      <c r="R96" s="56"/>
    </row>
    <row r="97" spans="2:18" x14ac:dyDescent="0.35">
      <c r="J97" s="56"/>
      <c r="K97" s="56"/>
      <c r="L97" s="56"/>
      <c r="M97" s="56"/>
      <c r="N97" s="56"/>
      <c r="O97" s="56"/>
      <c r="P97" s="56"/>
      <c r="Q97" s="56"/>
      <c r="R97" s="56"/>
    </row>
    <row r="98" spans="2:18" x14ac:dyDescent="0.35"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</row>
    <row r="99" spans="2:18" x14ac:dyDescent="0.35">
      <c r="B99" s="3" t="s">
        <v>72</v>
      </c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</row>
    <row r="100" spans="2:18" x14ac:dyDescent="0.35"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</row>
    <row r="101" spans="2:18" x14ac:dyDescent="0.35">
      <c r="B101" s="5" t="s">
        <v>57</v>
      </c>
      <c r="C101" s="19" t="s">
        <v>162</v>
      </c>
      <c r="E101" s="55">
        <f t="shared" ref="E101:P101" si="36">E91+E64</f>
        <v>361695333.29242307</v>
      </c>
      <c r="F101" s="55">
        <f t="shared" si="36"/>
        <v>344979373.05202758</v>
      </c>
      <c r="G101" s="55">
        <f t="shared" si="36"/>
        <v>330793524.01334631</v>
      </c>
      <c r="H101" s="55">
        <f t="shared" si="36"/>
        <v>319363580.16071975</v>
      </c>
      <c r="I101" s="55">
        <f t="shared" si="36"/>
        <v>287988996.98168635</v>
      </c>
      <c r="J101" s="55">
        <f t="shared" si="36"/>
        <v>265156004.92381465</v>
      </c>
      <c r="K101" s="55">
        <f t="shared" si="36"/>
        <v>254392600.74328598</v>
      </c>
      <c r="L101" s="55">
        <f t="shared" si="36"/>
        <v>237380066.34107834</v>
      </c>
      <c r="M101" s="55">
        <f t="shared" si="36"/>
        <v>212322251.03157374</v>
      </c>
      <c r="N101" s="55">
        <f t="shared" si="36"/>
        <v>205350375.83057934</v>
      </c>
      <c r="O101" s="55">
        <f t="shared" si="36"/>
        <v>194317066.6999048</v>
      </c>
      <c r="P101" s="55">
        <f t="shared" si="36"/>
        <v>170405906.47973156</v>
      </c>
      <c r="Q101" s="56"/>
      <c r="R101" s="56"/>
    </row>
    <row r="102" spans="2:18" x14ac:dyDescent="0.35">
      <c r="B102" s="5" t="s">
        <v>58</v>
      </c>
      <c r="C102" s="19" t="s">
        <v>162</v>
      </c>
      <c r="E102" s="55">
        <f t="shared" ref="E102:P102" si="37">E92+E65</f>
        <v>344979373.05202758</v>
      </c>
      <c r="F102" s="55">
        <f t="shared" si="37"/>
        <v>330793524.01334631</v>
      </c>
      <c r="G102" s="55">
        <f t="shared" si="37"/>
        <v>319363580.16071975</v>
      </c>
      <c r="H102" s="55">
        <f t="shared" si="37"/>
        <v>287988996.98168635</v>
      </c>
      <c r="I102" s="55">
        <f t="shared" si="37"/>
        <v>265156004.92381465</v>
      </c>
      <c r="J102" s="55">
        <f t="shared" si="37"/>
        <v>254392600.74328598</v>
      </c>
      <c r="K102" s="55">
        <f t="shared" si="37"/>
        <v>237380066.34107834</v>
      </c>
      <c r="L102" s="55">
        <f t="shared" si="37"/>
        <v>212322251.03157374</v>
      </c>
      <c r="M102" s="55">
        <f t="shared" si="37"/>
        <v>205350375.83057934</v>
      </c>
      <c r="N102" s="55">
        <f t="shared" si="37"/>
        <v>194317066.6999048</v>
      </c>
      <c r="O102" s="55">
        <f t="shared" si="37"/>
        <v>170405906.47973156</v>
      </c>
      <c r="P102" s="55">
        <f t="shared" si="37"/>
        <v>169335163.31081685</v>
      </c>
      <c r="Q102" s="56"/>
      <c r="R102" s="56"/>
    </row>
    <row r="109" spans="2:18" ht="7.5" customHeight="1" x14ac:dyDescent="0.35"/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8557F-520F-4B43-93F2-8610661DA174}">
  <sheetPr>
    <tabColor theme="3" tint="0.749992370372631"/>
  </sheetPr>
  <dimension ref="B3:S46"/>
  <sheetViews>
    <sheetView showGridLines="0" workbookViewId="0">
      <selection activeCell="E10" sqref="E10"/>
    </sheetView>
  </sheetViews>
  <sheetFormatPr defaultColWidth="10.54296875" defaultRowHeight="14.5" x14ac:dyDescent="0.35"/>
  <cols>
    <col min="1" max="1" width="6.453125" customWidth="1"/>
    <col min="2" max="2" width="36.54296875" customWidth="1"/>
    <col min="3" max="3" width="2.54296875" bestFit="1" customWidth="1"/>
    <col min="4" max="4" width="8.453125" customWidth="1"/>
  </cols>
  <sheetData>
    <row r="3" spans="2:19" x14ac:dyDescent="0.35">
      <c r="B3" s="3"/>
      <c r="C3" s="10"/>
      <c r="E3" s="3" t="s">
        <v>105</v>
      </c>
    </row>
    <row r="6" spans="2:19" x14ac:dyDescent="0.35">
      <c r="B6" s="3" t="s">
        <v>104</v>
      </c>
      <c r="C6" s="3"/>
    </row>
    <row r="7" spans="2:19" x14ac:dyDescent="0.35">
      <c r="E7" s="57">
        <v>46023</v>
      </c>
      <c r="F7" s="57">
        <f t="shared" ref="F7:P7" si="0">EDATE(E7,1)</f>
        <v>46054</v>
      </c>
      <c r="G7" s="57">
        <f t="shared" si="0"/>
        <v>46082</v>
      </c>
      <c r="H7" s="57">
        <f t="shared" si="0"/>
        <v>46113</v>
      </c>
      <c r="I7" s="57">
        <f t="shared" si="0"/>
        <v>46143</v>
      </c>
      <c r="J7" s="57">
        <f t="shared" si="0"/>
        <v>46174</v>
      </c>
      <c r="K7" s="57">
        <f>EDATE(J7,1)</f>
        <v>46204</v>
      </c>
      <c r="L7" s="57">
        <f t="shared" si="0"/>
        <v>46235</v>
      </c>
      <c r="M7" s="57">
        <f t="shared" si="0"/>
        <v>46266</v>
      </c>
      <c r="N7" s="57">
        <f t="shared" si="0"/>
        <v>46296</v>
      </c>
      <c r="O7" s="57">
        <f>EDATE(N7,1)</f>
        <v>46327</v>
      </c>
      <c r="P7" s="57">
        <f t="shared" si="0"/>
        <v>46357</v>
      </c>
      <c r="R7" s="15">
        <v>2026</v>
      </c>
    </row>
    <row r="8" spans="2:19" x14ac:dyDescent="0.35"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R8" s="1"/>
    </row>
    <row r="9" spans="2:19" x14ac:dyDescent="0.35">
      <c r="B9" s="12" t="s">
        <v>13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R9" s="1"/>
    </row>
    <row r="10" spans="2:19" x14ac:dyDescent="0.35">
      <c r="B10" s="13" t="s">
        <v>177</v>
      </c>
      <c r="C10" s="19" t="s">
        <v>163</v>
      </c>
      <c r="E10" s="53">
        <f>'Data Budget'!E79</f>
        <v>945918.41666666663</v>
      </c>
      <c r="F10" s="53">
        <f>'Data Budget'!F79</f>
        <v>945918.41666666663</v>
      </c>
      <c r="G10" s="53">
        <f>'Data Budget'!G79</f>
        <v>945918.41666666663</v>
      </c>
      <c r="H10" s="53">
        <f>'Data Budget'!H79</f>
        <v>945918.41666666663</v>
      </c>
      <c r="I10" s="53">
        <f>'Data Budget'!I79</f>
        <v>870303.41666666663</v>
      </c>
      <c r="J10" s="53">
        <f>'Data Budget'!J79</f>
        <v>870303.41666666663</v>
      </c>
      <c r="K10" s="53">
        <f>'Data Budget'!K79</f>
        <v>870303.41666666663</v>
      </c>
      <c r="L10" s="53">
        <f>'Data Budget'!L79</f>
        <v>2552403.4166666665</v>
      </c>
      <c r="M10" s="53">
        <f>'Data Budget'!M79</f>
        <v>2552403.4166666665</v>
      </c>
      <c r="N10" s="53">
        <f>'Data Budget'!N79</f>
        <v>2552403.4166666665</v>
      </c>
      <c r="O10" s="53">
        <f>'Data Budget'!O79</f>
        <v>2666531.4166666665</v>
      </c>
      <c r="P10" s="53">
        <f>'Data Budget'!P79</f>
        <v>2666531.4166666665</v>
      </c>
      <c r="Q10" s="56"/>
      <c r="R10" s="53">
        <f t="shared" ref="R10:R26" si="1">SUM(E10:P10)</f>
        <v>19384857</v>
      </c>
      <c r="S10" s="56"/>
    </row>
    <row r="11" spans="2:19" x14ac:dyDescent="0.35">
      <c r="B11" s="13" t="s">
        <v>208</v>
      </c>
      <c r="C11" s="19" t="s">
        <v>163</v>
      </c>
      <c r="E11" s="53">
        <f>'Data Budget'!E46</f>
        <v>112000</v>
      </c>
      <c r="F11" s="53">
        <f>'Data Budget'!F46</f>
        <v>112000</v>
      </c>
      <c r="G11" s="53">
        <f>'Data Budget'!G46</f>
        <v>112000</v>
      </c>
      <c r="H11" s="53">
        <f>'Data Budget'!H46</f>
        <v>112000</v>
      </c>
      <c r="I11" s="53">
        <f>'Data Budget'!I46</f>
        <v>112000</v>
      </c>
      <c r="J11" s="53">
        <f>'Data Budget'!J46</f>
        <v>112000</v>
      </c>
      <c r="K11" s="53">
        <f>'Data Budget'!K46</f>
        <v>112000</v>
      </c>
      <c r="L11" s="53">
        <f>'Data Budget'!L46</f>
        <v>112000</v>
      </c>
      <c r="M11" s="53">
        <f>'Data Budget'!M46</f>
        <v>112000</v>
      </c>
      <c r="N11" s="53">
        <f>'Data Budget'!N46</f>
        <v>112000</v>
      </c>
      <c r="O11" s="53">
        <f>'Data Budget'!O46</f>
        <v>112000</v>
      </c>
      <c r="P11" s="53">
        <f>'Data Budget'!P46</f>
        <v>112000</v>
      </c>
      <c r="Q11" s="56"/>
      <c r="R11" s="53">
        <f t="shared" si="1"/>
        <v>1344000</v>
      </c>
      <c r="S11" s="56"/>
    </row>
    <row r="12" spans="2:19" x14ac:dyDescent="0.35">
      <c r="B12" s="13" t="s">
        <v>80</v>
      </c>
      <c r="C12" s="19" t="s">
        <v>163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6"/>
      <c r="R12" s="53"/>
      <c r="S12" s="56"/>
    </row>
    <row r="13" spans="2:19" x14ac:dyDescent="0.35">
      <c r="B13" s="42" t="s">
        <v>59</v>
      </c>
      <c r="C13" s="19" t="s">
        <v>163</v>
      </c>
      <c r="E13" s="52">
        <f t="shared" ref="E13:P13" si="2">E11+E10</f>
        <v>1057918.4166666665</v>
      </c>
      <c r="F13" s="52">
        <f t="shared" si="2"/>
        <v>1057918.4166666665</v>
      </c>
      <c r="G13" s="52">
        <f t="shared" si="2"/>
        <v>1057918.4166666665</v>
      </c>
      <c r="H13" s="52">
        <f t="shared" si="2"/>
        <v>1057918.4166666665</v>
      </c>
      <c r="I13" s="52">
        <f t="shared" si="2"/>
        <v>982303.41666666663</v>
      </c>
      <c r="J13" s="52">
        <f t="shared" si="2"/>
        <v>982303.41666666663</v>
      </c>
      <c r="K13" s="52">
        <f t="shared" si="2"/>
        <v>982303.41666666663</v>
      </c>
      <c r="L13" s="52">
        <f t="shared" si="2"/>
        <v>2664403.4166666665</v>
      </c>
      <c r="M13" s="52">
        <f t="shared" si="2"/>
        <v>2664403.4166666665</v>
      </c>
      <c r="N13" s="52">
        <f t="shared" si="2"/>
        <v>2664403.4166666665</v>
      </c>
      <c r="O13" s="52">
        <f t="shared" si="2"/>
        <v>2778531.4166666665</v>
      </c>
      <c r="P13" s="52">
        <f t="shared" si="2"/>
        <v>2778531.4166666665</v>
      </c>
      <c r="Q13" s="56"/>
      <c r="R13" s="52">
        <f t="shared" ref="R13" si="3">SUM(E13:P13)</f>
        <v>20728857</v>
      </c>
      <c r="S13" s="56"/>
    </row>
    <row r="14" spans="2:19" x14ac:dyDescent="0.35"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</row>
    <row r="15" spans="2:19" x14ac:dyDescent="0.35">
      <c r="B15" s="75" t="s">
        <v>220</v>
      </c>
      <c r="C15" s="19" t="s">
        <v>163</v>
      </c>
      <c r="E15" s="53">
        <v>893415.13934166671</v>
      </c>
      <c r="F15" s="53">
        <v>893415.13934166671</v>
      </c>
      <c r="G15" s="53">
        <v>893415.13934166671</v>
      </c>
      <c r="H15" s="53">
        <v>1106748.4726750001</v>
      </c>
      <c r="I15" s="53">
        <v>1106748.4726750001</v>
      </c>
      <c r="J15" s="53">
        <v>1106748.4726750001</v>
      </c>
      <c r="K15" s="53">
        <v>1184650.8893416666</v>
      </c>
      <c r="L15" s="53">
        <v>1184650.8893416666</v>
      </c>
      <c r="M15" s="53">
        <v>1184650.8893416666</v>
      </c>
      <c r="N15" s="53">
        <v>1495900.8893416666</v>
      </c>
      <c r="O15" s="53">
        <v>1495900.8893416666</v>
      </c>
      <c r="P15" s="53">
        <v>1495900.8893416666</v>
      </c>
      <c r="Q15" s="56"/>
      <c r="R15" s="53">
        <f t="shared" si="1"/>
        <v>14042146.172100002</v>
      </c>
      <c r="S15" s="56"/>
    </row>
    <row r="16" spans="2:19" x14ac:dyDescent="0.35">
      <c r="B16" s="75" t="s">
        <v>221</v>
      </c>
      <c r="C16" s="19" t="s">
        <v>163</v>
      </c>
      <c r="E16" s="53">
        <v>138479.34659795833</v>
      </c>
      <c r="F16" s="53">
        <v>138479.34659795833</v>
      </c>
      <c r="G16" s="53">
        <v>138479.34659795833</v>
      </c>
      <c r="H16" s="53">
        <v>171546.01326462501</v>
      </c>
      <c r="I16" s="53">
        <v>171546.01326462501</v>
      </c>
      <c r="J16" s="53">
        <v>171546.01326462501</v>
      </c>
      <c r="K16" s="53">
        <v>183620.88784795831</v>
      </c>
      <c r="L16" s="53">
        <v>183620.88784795831</v>
      </c>
      <c r="M16" s="53">
        <v>183620.88784795831</v>
      </c>
      <c r="N16" s="53">
        <v>231864.63784795831</v>
      </c>
      <c r="O16" s="53">
        <v>231864.63784795831</v>
      </c>
      <c r="P16" s="53">
        <v>231864.63784795831</v>
      </c>
      <c r="Q16" s="56"/>
      <c r="R16" s="53">
        <f t="shared" si="1"/>
        <v>2176532.6566754999</v>
      </c>
      <c r="S16" s="56"/>
    </row>
    <row r="17" spans="2:19" x14ac:dyDescent="0.35">
      <c r="B17" s="75" t="s">
        <v>222</v>
      </c>
      <c r="C17" s="19" t="s">
        <v>163</v>
      </c>
      <c r="E17" s="53"/>
      <c r="F17" s="53">
        <v>3740926.1616300014</v>
      </c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6"/>
      <c r="R17" s="53">
        <f t="shared" si="1"/>
        <v>3740926.1616300014</v>
      </c>
      <c r="S17" s="56"/>
    </row>
    <row r="18" spans="2:19" x14ac:dyDescent="0.35">
      <c r="B18" s="75" t="s">
        <v>223</v>
      </c>
      <c r="C18" s="19" t="s">
        <v>163</v>
      </c>
      <c r="E18" s="53"/>
      <c r="F18" s="53">
        <v>579843.55505265016</v>
      </c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6"/>
      <c r="R18" s="53">
        <f t="shared" si="1"/>
        <v>579843.55505265016</v>
      </c>
      <c r="S18" s="56"/>
    </row>
    <row r="19" spans="2:19" x14ac:dyDescent="0.35">
      <c r="B19" s="42" t="s">
        <v>43</v>
      </c>
      <c r="C19" s="19" t="s">
        <v>163</v>
      </c>
      <c r="E19" s="55">
        <f>SUM(E15:E18)</f>
        <v>1031894.4859396251</v>
      </c>
      <c r="F19" s="55">
        <f t="shared" ref="F19:P19" si="4">SUM(F15:F18)</f>
        <v>5352664.2026222767</v>
      </c>
      <c r="G19" s="55">
        <f t="shared" si="4"/>
        <v>1031894.4859396251</v>
      </c>
      <c r="H19" s="55">
        <f t="shared" si="4"/>
        <v>1278294.4859396252</v>
      </c>
      <c r="I19" s="55">
        <f t="shared" si="4"/>
        <v>1278294.4859396252</v>
      </c>
      <c r="J19" s="55">
        <f t="shared" si="4"/>
        <v>1278294.4859396252</v>
      </c>
      <c r="K19" s="55">
        <f t="shared" si="4"/>
        <v>1368271.777189625</v>
      </c>
      <c r="L19" s="55">
        <f t="shared" si="4"/>
        <v>1368271.777189625</v>
      </c>
      <c r="M19" s="55">
        <f t="shared" si="4"/>
        <v>1368271.777189625</v>
      </c>
      <c r="N19" s="55">
        <f t="shared" si="4"/>
        <v>1727765.527189625</v>
      </c>
      <c r="O19" s="55">
        <f t="shared" si="4"/>
        <v>1727765.527189625</v>
      </c>
      <c r="P19" s="55">
        <f t="shared" si="4"/>
        <v>1727765.527189625</v>
      </c>
      <c r="Q19" s="56"/>
      <c r="R19" s="55">
        <f t="shared" si="1"/>
        <v>20539448.545458149</v>
      </c>
      <c r="S19" s="56"/>
    </row>
    <row r="20" spans="2:19" ht="5.25" customHeight="1" x14ac:dyDescent="0.35"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6"/>
      <c r="R20" s="54"/>
      <c r="S20" s="56"/>
    </row>
    <row r="21" spans="2:19" ht="3.75" customHeight="1" x14ac:dyDescent="0.35"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6"/>
      <c r="R21" s="54"/>
      <c r="S21" s="56"/>
    </row>
    <row r="22" spans="2:19" x14ac:dyDescent="0.35">
      <c r="B22" s="5" t="s">
        <v>83</v>
      </c>
      <c r="C22" s="19" t="s">
        <v>163</v>
      </c>
      <c r="E22" s="53">
        <v>0</v>
      </c>
      <c r="F22" s="53">
        <v>2222235</v>
      </c>
      <c r="G22" s="53">
        <v>54480.6</v>
      </c>
      <c r="H22" s="53">
        <v>0</v>
      </c>
      <c r="I22" s="53">
        <v>0</v>
      </c>
      <c r="J22" s="53">
        <v>0</v>
      </c>
      <c r="K22" s="53">
        <v>602154</v>
      </c>
      <c r="L22" s="53">
        <v>0</v>
      </c>
      <c r="M22" s="53">
        <v>2168614.62</v>
      </c>
      <c r="N22" s="53">
        <v>0</v>
      </c>
      <c r="O22" s="53">
        <v>0</v>
      </c>
      <c r="P22" s="53">
        <v>138323.37599999996</v>
      </c>
      <c r="Q22" s="56"/>
      <c r="R22" s="53">
        <f t="shared" si="1"/>
        <v>5185807.5960000008</v>
      </c>
      <c r="S22" s="56"/>
    </row>
    <row r="23" spans="2:19" x14ac:dyDescent="0.35">
      <c r="B23" s="5" t="s">
        <v>179</v>
      </c>
      <c r="C23" s="19" t="s">
        <v>163</v>
      </c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6"/>
      <c r="R23" s="53"/>
      <c r="S23" s="56"/>
    </row>
    <row r="24" spans="2:19" x14ac:dyDescent="0.35">
      <c r="B24" s="42" t="s">
        <v>45</v>
      </c>
      <c r="C24" s="19" t="s">
        <v>163</v>
      </c>
      <c r="D24" s="10"/>
      <c r="E24" s="55">
        <f t="shared" ref="E24:P24" si="5">SUM(E22:E22)</f>
        <v>0</v>
      </c>
      <c r="F24" s="55">
        <f t="shared" si="5"/>
        <v>2222235</v>
      </c>
      <c r="G24" s="55">
        <f t="shared" si="5"/>
        <v>54480.6</v>
      </c>
      <c r="H24" s="55">
        <f t="shared" si="5"/>
        <v>0</v>
      </c>
      <c r="I24" s="55">
        <f t="shared" si="5"/>
        <v>0</v>
      </c>
      <c r="J24" s="55">
        <f t="shared" si="5"/>
        <v>0</v>
      </c>
      <c r="K24" s="55">
        <f t="shared" si="5"/>
        <v>602154</v>
      </c>
      <c r="L24" s="55">
        <f t="shared" si="5"/>
        <v>0</v>
      </c>
      <c r="M24" s="55">
        <f t="shared" si="5"/>
        <v>2168614.62</v>
      </c>
      <c r="N24" s="55">
        <f t="shared" si="5"/>
        <v>0</v>
      </c>
      <c r="O24" s="55">
        <f t="shared" si="5"/>
        <v>0</v>
      </c>
      <c r="P24" s="55">
        <f t="shared" si="5"/>
        <v>138323.37599999996</v>
      </c>
      <c r="Q24" s="56"/>
      <c r="R24" s="55">
        <f t="shared" si="1"/>
        <v>5185807.5960000008</v>
      </c>
      <c r="S24" s="56"/>
    </row>
    <row r="25" spans="2:19" ht="6" customHeight="1" x14ac:dyDescent="0.35"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</row>
    <row r="26" spans="2:19" x14ac:dyDescent="0.35">
      <c r="B26" s="42" t="s">
        <v>46</v>
      </c>
      <c r="C26" s="19" t="s">
        <v>163</v>
      </c>
      <c r="E26" s="55">
        <f>E24+E19</f>
        <v>1031894.4859396251</v>
      </c>
      <c r="F26" s="55">
        <f t="shared" ref="F26:P26" si="6">F24+F19</f>
        <v>7574899.2026222767</v>
      </c>
      <c r="G26" s="55">
        <f t="shared" si="6"/>
        <v>1086375.085939625</v>
      </c>
      <c r="H26" s="55">
        <f t="shared" si="6"/>
        <v>1278294.4859396252</v>
      </c>
      <c r="I26" s="55">
        <f t="shared" si="6"/>
        <v>1278294.4859396252</v>
      </c>
      <c r="J26" s="55">
        <f t="shared" si="6"/>
        <v>1278294.4859396252</v>
      </c>
      <c r="K26" s="55">
        <f t="shared" si="6"/>
        <v>1970425.777189625</v>
      </c>
      <c r="L26" s="55">
        <f t="shared" si="6"/>
        <v>1368271.777189625</v>
      </c>
      <c r="M26" s="55">
        <f t="shared" si="6"/>
        <v>3536886.3971896251</v>
      </c>
      <c r="N26" s="55">
        <f t="shared" si="6"/>
        <v>1727765.527189625</v>
      </c>
      <c r="O26" s="55">
        <f t="shared" si="6"/>
        <v>1727765.527189625</v>
      </c>
      <c r="P26" s="55">
        <f t="shared" si="6"/>
        <v>1866088.9031896249</v>
      </c>
      <c r="Q26" s="56"/>
      <c r="R26" s="55">
        <f t="shared" si="1"/>
        <v>25725256.14145815</v>
      </c>
      <c r="S26" s="56"/>
    </row>
    <row r="27" spans="2:19" ht="6" customHeight="1" x14ac:dyDescent="0.35"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</row>
    <row r="28" spans="2:19" x14ac:dyDescent="0.35">
      <c r="B28" s="5" t="s">
        <v>81</v>
      </c>
      <c r="C28" s="19" t="s">
        <v>163</v>
      </c>
      <c r="E28" s="53">
        <f>-MAX(3%/12*AVERAGE(E37,E37-SUM(E26,E13)),0)</f>
        <v>-492245.62492174224</v>
      </c>
      <c r="F28" s="53">
        <f t="shared" ref="F28:P28" si="7">-MAX(3%/12*AVERAGE(F37,F37-SUM(F26,F13)),0)</f>
        <v>-480072.95083167747</v>
      </c>
      <c r="G28" s="53">
        <f t="shared" si="7"/>
        <v>-467801.74430638761</v>
      </c>
      <c r="H28" s="53">
        <f t="shared" si="7"/>
        <v>-463370.61566063791</v>
      </c>
      <c r="I28" s="53">
        <f t="shared" si="7"/>
        <v>-458783.02869327384</v>
      </c>
      <c r="J28" s="53">
        <f t="shared" si="7"/>
        <v>-454278.49150849122</v>
      </c>
      <c r="K28" s="53">
        <f t="shared" si="7"/>
        <v>-448897.52886668424</v>
      </c>
      <c r="L28" s="53">
        <f t="shared" si="7"/>
        <v>-441288.01720421016</v>
      </c>
      <c r="M28" s="53">
        <f t="shared" si="7"/>
        <v>-429598.78098757996</v>
      </c>
      <c r="N28" s="53">
        <f t="shared" si="7"/>
        <v>-417430.9544929082</v>
      </c>
      <c r="O28" s="53">
        <f t="shared" si="7"/>
        <v>-407351.44951949979</v>
      </c>
      <c r="P28" s="53">
        <f t="shared" si="7"/>
        <v>-396931.18156365782</v>
      </c>
      <c r="Q28" s="56"/>
      <c r="R28" s="53">
        <f t="shared" ref="R28" si="8">SUM(E28:P28)</f>
        <v>-5358050.36855675</v>
      </c>
      <c r="S28" s="56"/>
    </row>
    <row r="29" spans="2:19" x14ac:dyDescent="0.35">
      <c r="B29" s="5" t="s">
        <v>168</v>
      </c>
      <c r="C29" s="19" t="s">
        <v>163</v>
      </c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6"/>
      <c r="R29" s="53">
        <f t="shared" ref="R29" si="9">SUM(E29:P29)</f>
        <v>0</v>
      </c>
      <c r="S29" s="56"/>
    </row>
    <row r="30" spans="2:19" x14ac:dyDescent="0.35">
      <c r="B30" s="5" t="s">
        <v>176</v>
      </c>
      <c r="C30" s="19" t="s">
        <v>163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6"/>
      <c r="R30" s="53">
        <f t="shared" ref="R30" si="10">SUM(E30:P30)</f>
        <v>0</v>
      </c>
      <c r="S30" s="56"/>
    </row>
    <row r="31" spans="2:19" ht="10.5" customHeight="1" x14ac:dyDescent="0.35">
      <c r="E31" s="56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6"/>
      <c r="R31" s="54"/>
      <c r="S31" s="56"/>
    </row>
    <row r="32" spans="2:19" x14ac:dyDescent="0.35">
      <c r="B32" s="43" t="s">
        <v>19</v>
      </c>
      <c r="C32" s="19" t="s">
        <v>163</v>
      </c>
      <c r="E32" s="55">
        <f>SUM(E28:E29,E24,E19,E13)</f>
        <v>1597567.2776845493</v>
      </c>
      <c r="F32" s="55">
        <f t="shared" ref="F32:P32" si="11">SUM(F28:F29,F24,F19,F13)</f>
        <v>8152744.6684572659</v>
      </c>
      <c r="G32" s="55">
        <f t="shared" si="11"/>
        <v>1676491.7582999039</v>
      </c>
      <c r="H32" s="55">
        <f t="shared" si="11"/>
        <v>1872842.2869456538</v>
      </c>
      <c r="I32" s="55">
        <f t="shared" si="11"/>
        <v>1801814.873913018</v>
      </c>
      <c r="J32" s="55">
        <f t="shared" si="11"/>
        <v>1806319.4110978006</v>
      </c>
      <c r="K32" s="55">
        <f t="shared" si="11"/>
        <v>2503831.6649896074</v>
      </c>
      <c r="L32" s="55">
        <f t="shared" si="11"/>
        <v>3591387.1766520813</v>
      </c>
      <c r="M32" s="55">
        <f t="shared" si="11"/>
        <v>5771691.0328687113</v>
      </c>
      <c r="N32" s="55">
        <f t="shared" si="11"/>
        <v>3974737.9893633835</v>
      </c>
      <c r="O32" s="55">
        <f t="shared" si="11"/>
        <v>4098945.4943367918</v>
      </c>
      <c r="P32" s="55">
        <f t="shared" si="11"/>
        <v>4247689.1382926339</v>
      </c>
      <c r="Q32" s="56"/>
      <c r="R32" s="55">
        <f t="shared" ref="R32" si="12">SUM(E32:P32)</f>
        <v>41096062.772901408</v>
      </c>
      <c r="S32" s="56"/>
    </row>
    <row r="33" spans="2:18" x14ac:dyDescent="0.35">
      <c r="R33" s="18">
        <f>R32/12</f>
        <v>3424671.8977417839</v>
      </c>
    </row>
    <row r="34" spans="2:18" x14ac:dyDescent="0.35">
      <c r="R34" s="18"/>
    </row>
    <row r="35" spans="2:18" x14ac:dyDescent="0.35">
      <c r="B35" s="3" t="s">
        <v>127</v>
      </c>
      <c r="R35" s="18"/>
    </row>
    <row r="36" spans="2:18" x14ac:dyDescent="0.35">
      <c r="R36" s="18"/>
    </row>
    <row r="37" spans="2:18" x14ac:dyDescent="0.35">
      <c r="B37" s="5" t="s">
        <v>85</v>
      </c>
      <c r="C37" s="19" t="s">
        <v>163</v>
      </c>
      <c r="E37" s="76">
        <v>197943156.42000002</v>
      </c>
      <c r="F37" s="59">
        <f>E38</f>
        <v>196345589.14231548</v>
      </c>
      <c r="G37" s="59">
        <f t="shared" ref="G37:P37" si="13">F38</f>
        <v>188192844.47385821</v>
      </c>
      <c r="H37" s="59">
        <f t="shared" si="13"/>
        <v>186516352.71555829</v>
      </c>
      <c r="I37" s="59">
        <f t="shared" si="13"/>
        <v>184643510.42861265</v>
      </c>
      <c r="J37" s="59">
        <f t="shared" si="13"/>
        <v>182841695.55469963</v>
      </c>
      <c r="K37" s="59">
        <f t="shared" si="13"/>
        <v>181035376.14360183</v>
      </c>
      <c r="L37" s="59">
        <f t="shared" si="13"/>
        <v>178531544.47861221</v>
      </c>
      <c r="M37" s="59">
        <f t="shared" si="13"/>
        <v>174940157.30196014</v>
      </c>
      <c r="N37" s="59">
        <f t="shared" si="13"/>
        <v>169168466.26909143</v>
      </c>
      <c r="O37" s="59">
        <f t="shared" si="13"/>
        <v>165193728.27972806</v>
      </c>
      <c r="P37" s="59">
        <f t="shared" si="13"/>
        <v>161094782.78539127</v>
      </c>
      <c r="R37" s="18"/>
    </row>
    <row r="38" spans="2:18" x14ac:dyDescent="0.35">
      <c r="B38" s="5" t="s">
        <v>86</v>
      </c>
      <c r="C38" s="19" t="s">
        <v>163</v>
      </c>
      <c r="E38" s="59">
        <f>E37-E32</f>
        <v>196345589.14231548</v>
      </c>
      <c r="F38" s="59">
        <f>F37-F32</f>
        <v>188192844.47385821</v>
      </c>
      <c r="G38" s="59">
        <f t="shared" ref="G38:P38" si="14">G37-G32</f>
        <v>186516352.71555829</v>
      </c>
      <c r="H38" s="59">
        <f t="shared" si="14"/>
        <v>184643510.42861265</v>
      </c>
      <c r="I38" s="59">
        <f t="shared" si="14"/>
        <v>182841695.55469963</v>
      </c>
      <c r="J38" s="59">
        <f t="shared" si="14"/>
        <v>181035376.14360183</v>
      </c>
      <c r="K38" s="59">
        <f t="shared" si="14"/>
        <v>178531544.47861221</v>
      </c>
      <c r="L38" s="59">
        <f t="shared" si="14"/>
        <v>174940157.30196014</v>
      </c>
      <c r="M38" s="59">
        <f t="shared" si="14"/>
        <v>169168466.26909143</v>
      </c>
      <c r="N38" s="59">
        <f t="shared" si="14"/>
        <v>165193728.27972806</v>
      </c>
      <c r="O38" s="59">
        <f t="shared" si="14"/>
        <v>161094782.78539127</v>
      </c>
      <c r="P38" s="59">
        <f t="shared" si="14"/>
        <v>156847093.64709863</v>
      </c>
      <c r="R38" s="18"/>
    </row>
    <row r="39" spans="2:18" x14ac:dyDescent="0.35">
      <c r="R39" s="18"/>
    </row>
    <row r="40" spans="2:18" x14ac:dyDescent="0.35">
      <c r="B40" s="5" t="s">
        <v>73</v>
      </c>
      <c r="C40" s="19" t="s">
        <v>54</v>
      </c>
      <c r="E40" s="33">
        <f>'SA budget'!E88</f>
        <v>1.175</v>
      </c>
      <c r="F40" s="33">
        <f>'SA budget'!F88</f>
        <v>1.1599999999999999</v>
      </c>
      <c r="G40" s="33">
        <f>'SA budget'!G88</f>
        <v>1.1599999999999999</v>
      </c>
      <c r="H40" s="33">
        <f>'SA budget'!H88</f>
        <v>1.1599999999999999</v>
      </c>
      <c r="I40" s="33">
        <f>'SA budget'!I88</f>
        <v>1.1599999999999999</v>
      </c>
      <c r="J40" s="33">
        <f>'SA budget'!J88</f>
        <v>1.1599999999999999</v>
      </c>
      <c r="K40" s="33">
        <f>'SA budget'!K88</f>
        <v>1.1599999999999999</v>
      </c>
      <c r="L40" s="33">
        <f>'SA budget'!L88</f>
        <v>1.1599999999999999</v>
      </c>
      <c r="M40" s="33">
        <f>'SA budget'!M88</f>
        <v>1.1599999999999999</v>
      </c>
      <c r="N40" s="33">
        <f>'SA budget'!N88</f>
        <v>1.1599999999999999</v>
      </c>
      <c r="O40" s="33">
        <f>'SA budget'!O88</f>
        <v>1.1599999999999999</v>
      </c>
      <c r="P40" s="33">
        <f>'SA budget'!P88</f>
        <v>1.1599999999999999</v>
      </c>
      <c r="R40" s="18"/>
    </row>
    <row r="41" spans="2:18" x14ac:dyDescent="0.35">
      <c r="B41" s="5" t="s">
        <v>74</v>
      </c>
      <c r="C41" s="19" t="s">
        <v>54</v>
      </c>
      <c r="E41" s="33">
        <f>'SA budget'!E89</f>
        <v>1.1599999999999999</v>
      </c>
      <c r="F41" s="33">
        <f>'SA budget'!F89</f>
        <v>1.1599999999999999</v>
      </c>
      <c r="G41" s="33">
        <f>'SA budget'!G89</f>
        <v>1.1599999999999999</v>
      </c>
      <c r="H41" s="33">
        <f>'SA budget'!H89</f>
        <v>1.1599999999999999</v>
      </c>
      <c r="I41" s="33">
        <f>'SA budget'!I89</f>
        <v>1.1599999999999999</v>
      </c>
      <c r="J41" s="33">
        <f>'SA budget'!J89</f>
        <v>1.1599999999999999</v>
      </c>
      <c r="K41" s="33">
        <f>'SA budget'!K89</f>
        <v>1.1599999999999999</v>
      </c>
      <c r="L41" s="33">
        <f>'SA budget'!L89</f>
        <v>1.1599999999999999</v>
      </c>
      <c r="M41" s="33">
        <f>'SA budget'!M89</f>
        <v>1.1599999999999999</v>
      </c>
      <c r="N41" s="33">
        <f>'SA budget'!N89</f>
        <v>1.1599999999999999</v>
      </c>
      <c r="O41" s="33">
        <f>'SA budget'!O89</f>
        <v>1.1599999999999999</v>
      </c>
      <c r="P41" s="33">
        <f>'SA budget'!P89</f>
        <v>1.1599999999999999</v>
      </c>
      <c r="R41" s="18"/>
    </row>
    <row r="42" spans="2:18" x14ac:dyDescent="0.35">
      <c r="C42" s="50"/>
      <c r="R42" s="18"/>
    </row>
    <row r="43" spans="2:18" x14ac:dyDescent="0.35">
      <c r="B43" s="3" t="s">
        <v>154</v>
      </c>
      <c r="R43" s="18"/>
    </row>
    <row r="44" spans="2:18" ht="9" customHeight="1" x14ac:dyDescent="0.35">
      <c r="B44" s="3"/>
    </row>
    <row r="45" spans="2:18" x14ac:dyDescent="0.35">
      <c r="B45" s="5" t="s">
        <v>57</v>
      </c>
      <c r="C45" s="19" t="s">
        <v>162</v>
      </c>
      <c r="E45" s="55">
        <f>E37/E40</f>
        <v>168462260.78297874</v>
      </c>
      <c r="F45" s="55">
        <f t="shared" ref="F45:P45" si="15">F37/F40</f>
        <v>169263438.91578922</v>
      </c>
      <c r="G45" s="55">
        <f t="shared" si="15"/>
        <v>162235210.75332606</v>
      </c>
      <c r="H45" s="55">
        <f t="shared" si="15"/>
        <v>160789959.23755026</v>
      </c>
      <c r="I45" s="55">
        <f t="shared" si="15"/>
        <v>159175440.0246661</v>
      </c>
      <c r="J45" s="55">
        <f t="shared" si="15"/>
        <v>157622151.3402583</v>
      </c>
      <c r="K45" s="55">
        <f t="shared" si="15"/>
        <v>156064979.43413952</v>
      </c>
      <c r="L45" s="55">
        <f t="shared" si="15"/>
        <v>153906503.8608726</v>
      </c>
      <c r="M45" s="55">
        <f t="shared" si="15"/>
        <v>150810480.43272427</v>
      </c>
      <c r="N45" s="55">
        <f t="shared" si="15"/>
        <v>145834884.71473399</v>
      </c>
      <c r="O45" s="55">
        <f t="shared" si="15"/>
        <v>142408386.44804144</v>
      </c>
      <c r="P45" s="55">
        <f t="shared" si="15"/>
        <v>138874812.74602696</v>
      </c>
    </row>
    <row r="46" spans="2:18" x14ac:dyDescent="0.35">
      <c r="B46" s="5" t="s">
        <v>58</v>
      </c>
      <c r="C46" s="19" t="s">
        <v>162</v>
      </c>
      <c r="E46" s="55">
        <f>E38/E41</f>
        <v>169263438.91578922</v>
      </c>
      <c r="F46" s="55">
        <f t="shared" ref="F46:P46" si="16">F38/F41</f>
        <v>162235210.75332606</v>
      </c>
      <c r="G46" s="55">
        <f t="shared" si="16"/>
        <v>160789959.23755026</v>
      </c>
      <c r="H46" s="55">
        <f t="shared" si="16"/>
        <v>159175440.0246661</v>
      </c>
      <c r="I46" s="55">
        <f t="shared" si="16"/>
        <v>157622151.3402583</v>
      </c>
      <c r="J46" s="55">
        <f t="shared" si="16"/>
        <v>156064979.43413952</v>
      </c>
      <c r="K46" s="55">
        <f t="shared" si="16"/>
        <v>153906503.8608726</v>
      </c>
      <c r="L46" s="55">
        <f t="shared" si="16"/>
        <v>150810480.43272427</v>
      </c>
      <c r="M46" s="55">
        <f t="shared" si="16"/>
        <v>145834884.71473399</v>
      </c>
      <c r="N46" s="55">
        <f t="shared" si="16"/>
        <v>142408386.44804144</v>
      </c>
      <c r="O46" s="55">
        <f t="shared" si="16"/>
        <v>138874812.74602696</v>
      </c>
      <c r="P46" s="55">
        <f t="shared" si="16"/>
        <v>135213011.7647402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3EA32-F395-4387-8AEB-278F23FACF1E}">
  <sheetPr>
    <tabColor theme="0" tint="-0.249977111117893"/>
  </sheetPr>
  <dimension ref="B1:U109"/>
  <sheetViews>
    <sheetView showGridLines="0" topLeftCell="A91" workbookViewId="0">
      <selection activeCell="A107" sqref="A107:XFD109"/>
    </sheetView>
  </sheetViews>
  <sheetFormatPr defaultColWidth="10.54296875" defaultRowHeight="14.5" x14ac:dyDescent="0.35"/>
  <cols>
    <col min="1" max="1" width="3.453125" customWidth="1"/>
    <col min="2" max="2" width="46.26953125" bestFit="1" customWidth="1"/>
    <col min="3" max="3" width="49.54296875" bestFit="1" customWidth="1"/>
    <col min="4" max="4" width="11.7265625" bestFit="1" customWidth="1"/>
    <col min="5" max="5" width="17.81640625" bestFit="1" customWidth="1"/>
    <col min="6" max="6" width="11.453125" bestFit="1" customWidth="1"/>
    <col min="10" max="10" width="10.453125" bestFit="1" customWidth="1"/>
    <col min="11" max="11" width="43" bestFit="1" customWidth="1"/>
    <col min="12" max="12" width="18.453125" bestFit="1" customWidth="1"/>
    <col min="13" max="13" width="10.81640625" bestFit="1" customWidth="1"/>
    <col min="14" max="14" width="11.453125" bestFit="1" customWidth="1"/>
    <col min="17" max="17" width="1.54296875" customWidth="1"/>
    <col min="21" max="22" width="10.81640625" bestFit="1" customWidth="1"/>
  </cols>
  <sheetData>
    <row r="1" spans="2:15" x14ac:dyDescent="0.35">
      <c r="C1" s="24" t="s">
        <v>92</v>
      </c>
      <c r="D1" s="44">
        <f>1/1.16</f>
        <v>0.86206896551724144</v>
      </c>
    </row>
    <row r="3" spans="2:15" x14ac:dyDescent="0.35">
      <c r="B3" s="78" t="s">
        <v>244</v>
      </c>
    </row>
    <row r="4" spans="2:15" x14ac:dyDescent="0.35">
      <c r="F4" s="29" t="s">
        <v>14</v>
      </c>
    </row>
    <row r="5" spans="2:15" x14ac:dyDescent="0.35">
      <c r="C5" s="24" t="s">
        <v>48</v>
      </c>
      <c r="D5" s="24" t="s">
        <v>237</v>
      </c>
      <c r="E5" s="24" t="s">
        <v>66</v>
      </c>
      <c r="F5" s="30">
        <f>SUM(M39:M41)</f>
        <v>15068882.068965517</v>
      </c>
    </row>
    <row r="6" spans="2:15" x14ac:dyDescent="0.35">
      <c r="C6" s="17" t="s">
        <v>94</v>
      </c>
      <c r="D6" s="17" t="s">
        <v>238</v>
      </c>
      <c r="E6" s="24" t="s">
        <v>66</v>
      </c>
      <c r="F6" s="30">
        <f>J56</f>
        <v>57907732.23999998</v>
      </c>
      <c r="I6" t="s">
        <v>259</v>
      </c>
    </row>
    <row r="7" spans="2:15" x14ac:dyDescent="0.35">
      <c r="C7" s="17" t="s">
        <v>70</v>
      </c>
      <c r="D7" s="17" t="s">
        <v>65</v>
      </c>
      <c r="E7" s="24" t="s">
        <v>66</v>
      </c>
      <c r="F7" s="30">
        <v>67563870.628940701</v>
      </c>
      <c r="G7" s="4">
        <f>'SA budget'!R20</f>
        <v>74115429.670607388</v>
      </c>
      <c r="H7" s="9">
        <f>G7-F7</f>
        <v>6551559.0416666865</v>
      </c>
      <c r="I7" t="s">
        <v>260</v>
      </c>
    </row>
    <row r="8" spans="2:15" x14ac:dyDescent="0.35">
      <c r="C8" s="17" t="s">
        <v>68</v>
      </c>
      <c r="D8" s="17" t="s">
        <v>239</v>
      </c>
      <c r="E8" s="24" t="s">
        <v>66</v>
      </c>
      <c r="F8" s="30">
        <f>J65*D1</f>
        <v>36304410.232758619</v>
      </c>
    </row>
    <row r="9" spans="2:15" x14ac:dyDescent="0.35">
      <c r="C9" s="17" t="s">
        <v>68</v>
      </c>
      <c r="D9" s="17" t="s">
        <v>63</v>
      </c>
      <c r="E9" s="24" t="s">
        <v>66</v>
      </c>
      <c r="F9" s="30">
        <f>J74*D1</f>
        <v>18194370.689655174</v>
      </c>
    </row>
    <row r="10" spans="2:15" x14ac:dyDescent="0.35">
      <c r="C10" s="17" t="s">
        <v>241</v>
      </c>
      <c r="D10" s="17" t="s">
        <v>65</v>
      </c>
      <c r="E10" s="24" t="s">
        <v>66</v>
      </c>
      <c r="F10" s="30">
        <v>770000</v>
      </c>
      <c r="G10" s="4">
        <f>'SA budget'!R40</f>
        <v>937500</v>
      </c>
      <c r="H10" t="s">
        <v>261</v>
      </c>
      <c r="L10" s="32" t="s">
        <v>262</v>
      </c>
      <c r="M10" s="32"/>
      <c r="N10" s="32"/>
      <c r="O10" s="32"/>
    </row>
    <row r="11" spans="2:15" x14ac:dyDescent="0.35">
      <c r="C11" s="17" t="s">
        <v>243</v>
      </c>
      <c r="D11" s="17" t="s">
        <v>65</v>
      </c>
      <c r="E11" s="17" t="s">
        <v>242</v>
      </c>
      <c r="F11" s="30">
        <v>286677.12</v>
      </c>
    </row>
    <row r="12" spans="2:15" x14ac:dyDescent="0.35">
      <c r="C12" s="17" t="s">
        <v>243</v>
      </c>
      <c r="D12" s="17" t="s">
        <v>63</v>
      </c>
      <c r="E12" s="17" t="s">
        <v>242</v>
      </c>
      <c r="F12" s="30">
        <v>34482.758620689659</v>
      </c>
    </row>
    <row r="14" spans="2:15" x14ac:dyDescent="0.35">
      <c r="C14" s="17" t="s">
        <v>240</v>
      </c>
      <c r="D14" s="17" t="s">
        <v>237</v>
      </c>
      <c r="E14" s="24" t="s">
        <v>66</v>
      </c>
      <c r="F14" s="30">
        <f>SUM(F5:F12)</f>
        <v>196130425.73894069</v>
      </c>
    </row>
    <row r="15" spans="2:15" x14ac:dyDescent="0.35">
      <c r="F15" s="4">
        <v>196130425.73894072</v>
      </c>
    </row>
    <row r="16" spans="2:15" x14ac:dyDescent="0.35">
      <c r="F16" s="9">
        <f>F14-F15</f>
        <v>0</v>
      </c>
    </row>
    <row r="17" spans="2:8" x14ac:dyDescent="0.35">
      <c r="C17" s="80" t="s">
        <v>245</v>
      </c>
      <c r="D17" s="80"/>
      <c r="E17" s="80" t="s">
        <v>66</v>
      </c>
      <c r="F17" s="81">
        <v>10529171.408421736</v>
      </c>
      <c r="G17" s="4">
        <f>'SA budget'!R36</f>
        <v>10589023.339919997</v>
      </c>
    </row>
    <row r="18" spans="2:8" x14ac:dyDescent="0.35">
      <c r="C18" s="80" t="s">
        <v>246</v>
      </c>
      <c r="D18" s="80"/>
      <c r="E18" s="80" t="s">
        <v>66</v>
      </c>
      <c r="F18" s="81">
        <v>17706421.159877717</v>
      </c>
      <c r="G18" s="4">
        <f>'LLC Budget'!R19</f>
        <v>20539448.545458149</v>
      </c>
    </row>
    <row r="19" spans="2:8" x14ac:dyDescent="0.35">
      <c r="C19" s="80" t="s">
        <v>247</v>
      </c>
      <c r="D19" s="80" t="s">
        <v>66</v>
      </c>
      <c r="E19" s="80" t="s">
        <v>66</v>
      </c>
      <c r="F19" s="81">
        <v>9373187.5649999995</v>
      </c>
      <c r="G19" s="9">
        <f>'LLC Budget'!R24</f>
        <v>5185807.5960000008</v>
      </c>
    </row>
    <row r="20" spans="2:8" x14ac:dyDescent="0.35">
      <c r="C20" s="80" t="s">
        <v>248</v>
      </c>
      <c r="D20" s="80"/>
      <c r="E20" s="80" t="s">
        <v>66</v>
      </c>
      <c r="F20" s="81">
        <v>30886028.019901894</v>
      </c>
      <c r="G20" s="74">
        <f>'SA budget'!R46</f>
        <v>17055276.978120003</v>
      </c>
    </row>
    <row r="22" spans="2:8" x14ac:dyDescent="0.35">
      <c r="C22" s="5" t="s">
        <v>249</v>
      </c>
      <c r="D22" s="5"/>
      <c r="E22" s="5"/>
      <c r="F22" s="82">
        <f>F14+SUM(F17:F20)</f>
        <v>264625233.89214203</v>
      </c>
      <c r="G22" s="5"/>
      <c r="H22" s="5" t="s">
        <v>250</v>
      </c>
    </row>
    <row r="25" spans="2:8" x14ac:dyDescent="0.35">
      <c r="B25" s="78" t="s">
        <v>24</v>
      </c>
    </row>
    <row r="26" spans="2:8" x14ac:dyDescent="0.35">
      <c r="C26" s="3" t="s">
        <v>70</v>
      </c>
    </row>
    <row r="27" spans="2:8" x14ac:dyDescent="0.35">
      <c r="C27" s="3" t="s">
        <v>23</v>
      </c>
    </row>
    <row r="28" spans="2:8" x14ac:dyDescent="0.35">
      <c r="C28" s="84" t="s">
        <v>233</v>
      </c>
    </row>
    <row r="29" spans="2:8" x14ac:dyDescent="0.35">
      <c r="C29" s="84" t="s">
        <v>253</v>
      </c>
    </row>
    <row r="30" spans="2:8" x14ac:dyDescent="0.35">
      <c r="C30" t="s">
        <v>251</v>
      </c>
    </row>
    <row r="31" spans="2:8" x14ac:dyDescent="0.35">
      <c r="C31" s="3" t="s">
        <v>252</v>
      </c>
    </row>
    <row r="32" spans="2:8" x14ac:dyDescent="0.35">
      <c r="C32" s="3"/>
    </row>
    <row r="33" spans="2:21" x14ac:dyDescent="0.35">
      <c r="B33" s="83" t="s">
        <v>131</v>
      </c>
    </row>
    <row r="34" spans="2:21" x14ac:dyDescent="0.35">
      <c r="B34" s="79" t="s">
        <v>88</v>
      </c>
      <c r="C34" s="2"/>
    </row>
    <row r="35" spans="2:21" x14ac:dyDescent="0.35">
      <c r="O35" s="9"/>
    </row>
    <row r="36" spans="2:21" x14ac:dyDescent="0.35">
      <c r="C36" s="3" t="s">
        <v>48</v>
      </c>
      <c r="O36" s="9"/>
    </row>
    <row r="37" spans="2:21" x14ac:dyDescent="0.35">
      <c r="C37" s="10" t="s">
        <v>234</v>
      </c>
      <c r="J37" s="2"/>
    </row>
    <row r="38" spans="2:21" x14ac:dyDescent="0.35">
      <c r="B38" s="21" t="s">
        <v>61</v>
      </c>
      <c r="C38" s="21" t="s">
        <v>47</v>
      </c>
      <c r="D38" s="21" t="s">
        <v>62</v>
      </c>
      <c r="E38" s="22" t="s">
        <v>189</v>
      </c>
      <c r="F38" s="22" t="s">
        <v>190</v>
      </c>
      <c r="G38" s="22" t="s">
        <v>191</v>
      </c>
      <c r="H38" s="22" t="s">
        <v>192</v>
      </c>
      <c r="J38" s="23">
        <v>2026</v>
      </c>
      <c r="K38" s="29" t="s">
        <v>49</v>
      </c>
      <c r="M38" s="10" t="s">
        <v>91</v>
      </c>
      <c r="P38" s="3" t="s">
        <v>23</v>
      </c>
    </row>
    <row r="39" spans="2:21" x14ac:dyDescent="0.35">
      <c r="B39" s="17" t="s">
        <v>63</v>
      </c>
      <c r="C39" s="24" t="s">
        <v>56</v>
      </c>
      <c r="D39" s="25" t="s">
        <v>64</v>
      </c>
      <c r="E39" s="24">
        <v>336000</v>
      </c>
      <c r="F39" s="24">
        <v>336000</v>
      </c>
      <c r="G39" s="24">
        <v>336000</v>
      </c>
      <c r="H39" s="24">
        <v>336000</v>
      </c>
      <c r="J39" s="26">
        <f>SUM(E39:H39)</f>
        <v>1344000</v>
      </c>
      <c r="K39" s="30">
        <f>J39/12</f>
        <v>112000</v>
      </c>
      <c r="M39" s="30">
        <f>J39*D1</f>
        <v>1158620.6896551724</v>
      </c>
      <c r="O39" s="2"/>
      <c r="P39" s="2" t="s">
        <v>215</v>
      </c>
    </row>
    <row r="40" spans="2:21" x14ac:dyDescent="0.35">
      <c r="B40" s="17" t="s">
        <v>65</v>
      </c>
      <c r="C40" s="24" t="s">
        <v>56</v>
      </c>
      <c r="D40" s="25" t="s">
        <v>64</v>
      </c>
      <c r="E40" s="24">
        <v>2523760</v>
      </c>
      <c r="F40" s="24">
        <v>2584560</v>
      </c>
      <c r="G40" s="24">
        <v>2558160</v>
      </c>
      <c r="H40" s="24">
        <v>2549920</v>
      </c>
      <c r="J40" s="26">
        <f>SUM(E40:H40)</f>
        <v>10216400</v>
      </c>
      <c r="K40" s="30">
        <f>J40/12</f>
        <v>851366.66666666663</v>
      </c>
      <c r="M40" s="30">
        <f>J40*D1</f>
        <v>8807241.3793103453</v>
      </c>
      <c r="O40" s="2"/>
    </row>
    <row r="41" spans="2:21" x14ac:dyDescent="0.35">
      <c r="B41" s="17" t="s">
        <v>65</v>
      </c>
      <c r="C41" s="24" t="s">
        <v>55</v>
      </c>
      <c r="D41" s="25" t="s">
        <v>66</v>
      </c>
      <c r="E41" s="24">
        <v>1249340</v>
      </c>
      <c r="F41" s="24">
        <v>1295540</v>
      </c>
      <c r="G41" s="24">
        <v>1295540</v>
      </c>
      <c r="H41" s="24">
        <v>1262600</v>
      </c>
      <c r="J41" s="26">
        <f>SUM(E41:H41)</f>
        <v>5103020</v>
      </c>
      <c r="K41" s="30">
        <f>J41/12</f>
        <v>425251.66666666669</v>
      </c>
      <c r="M41" s="30">
        <f>J41</f>
        <v>5103020</v>
      </c>
      <c r="N41" s="30">
        <f>SUM(M39:M41)</f>
        <v>15068882.068965517</v>
      </c>
      <c r="O41" s="9"/>
      <c r="P41" s="9"/>
    </row>
    <row r="42" spans="2:21" x14ac:dyDescent="0.35">
      <c r="M42" s="4"/>
      <c r="N42" s="9"/>
    </row>
    <row r="43" spans="2:21" x14ac:dyDescent="0.35">
      <c r="M43" s="4"/>
      <c r="N43" s="9"/>
    </row>
    <row r="45" spans="2:21" x14ac:dyDescent="0.35">
      <c r="C45" s="28" t="s">
        <v>67</v>
      </c>
      <c r="E45" s="6">
        <v>46023</v>
      </c>
      <c r="F45" s="6">
        <f t="shared" ref="F45" si="0">EDATE(E45,1)</f>
        <v>46054</v>
      </c>
      <c r="G45" s="6">
        <f t="shared" ref="G45" si="1">EDATE(F45,1)</f>
        <v>46082</v>
      </c>
      <c r="H45" s="6">
        <f t="shared" ref="H45" si="2">EDATE(G45,1)</f>
        <v>46113</v>
      </c>
      <c r="I45" s="6">
        <f t="shared" ref="I45" si="3">EDATE(H45,1)</f>
        <v>46143</v>
      </c>
      <c r="J45" s="6">
        <f t="shared" ref="J45" si="4">EDATE(I45,1)</f>
        <v>46174</v>
      </c>
      <c r="K45" s="6">
        <f>EDATE(J45,1)</f>
        <v>46204</v>
      </c>
      <c r="L45" s="6">
        <f t="shared" ref="L45" si="5">EDATE(K45,1)</f>
        <v>46235</v>
      </c>
      <c r="M45" s="6">
        <f t="shared" ref="M45" si="6">EDATE(L45,1)</f>
        <v>46266</v>
      </c>
      <c r="N45" s="6">
        <f t="shared" ref="N45" si="7">EDATE(M45,1)</f>
        <v>46296</v>
      </c>
      <c r="O45" s="6">
        <f>EDATE(N45,1)</f>
        <v>46327</v>
      </c>
      <c r="P45" s="6">
        <f t="shared" ref="P45" si="8">EDATE(O45,1)</f>
        <v>46357</v>
      </c>
      <c r="R45" s="7" t="s">
        <v>19</v>
      </c>
      <c r="S45" s="2" t="s">
        <v>130</v>
      </c>
    </row>
    <row r="46" spans="2:21" x14ac:dyDescent="0.35">
      <c r="B46" s="17" t="s">
        <v>63</v>
      </c>
      <c r="C46" s="24" t="s">
        <v>217</v>
      </c>
      <c r="D46" s="25" t="s">
        <v>64</v>
      </c>
      <c r="E46" s="24">
        <f>E39/3</f>
        <v>112000</v>
      </c>
      <c r="F46" s="24">
        <f t="shared" ref="F46:H46" si="9">E46</f>
        <v>112000</v>
      </c>
      <c r="G46" s="24">
        <f t="shared" si="9"/>
        <v>112000</v>
      </c>
      <c r="H46" s="24">
        <f t="shared" si="9"/>
        <v>112000</v>
      </c>
      <c r="I46" s="24">
        <f>F39/3</f>
        <v>112000</v>
      </c>
      <c r="J46" s="24">
        <f>I46</f>
        <v>112000</v>
      </c>
      <c r="K46" s="24">
        <f>J46</f>
        <v>112000</v>
      </c>
      <c r="L46" s="24">
        <f>G39/3</f>
        <v>112000</v>
      </c>
      <c r="M46" s="24">
        <f>L46</f>
        <v>112000</v>
      </c>
      <c r="N46" s="24">
        <f>M46</f>
        <v>112000</v>
      </c>
      <c r="O46" s="24">
        <f>H39/3</f>
        <v>112000</v>
      </c>
      <c r="P46" s="24">
        <f>O46</f>
        <v>112000</v>
      </c>
      <c r="R46" s="24">
        <f>SUM(E46:P46)</f>
        <v>1344000</v>
      </c>
      <c r="S46" s="38">
        <f>R46-J39</f>
        <v>0</v>
      </c>
      <c r="T46" s="9"/>
      <c r="U46" s="9"/>
    </row>
    <row r="47" spans="2:21" x14ac:dyDescent="0.35">
      <c r="B47" s="17" t="s">
        <v>65</v>
      </c>
      <c r="C47" s="24" t="s">
        <v>218</v>
      </c>
      <c r="D47" s="25" t="s">
        <v>64</v>
      </c>
      <c r="E47" s="24">
        <f t="shared" ref="E47:E48" si="10">E40/3</f>
        <v>841253.33333333337</v>
      </c>
      <c r="F47" s="24">
        <f t="shared" ref="F47:F48" si="11">E47</f>
        <v>841253.33333333337</v>
      </c>
      <c r="G47" s="24">
        <f t="shared" ref="G47:G48" si="12">F47</f>
        <v>841253.33333333337</v>
      </c>
      <c r="H47" s="24">
        <f t="shared" ref="H47:H48" si="13">G47</f>
        <v>841253.33333333337</v>
      </c>
      <c r="I47" s="24">
        <f t="shared" ref="I47:I48" si="14">F40/3</f>
        <v>861520</v>
      </c>
      <c r="J47" s="24">
        <f t="shared" ref="J47:K47" si="15">I47</f>
        <v>861520</v>
      </c>
      <c r="K47" s="24">
        <f t="shared" si="15"/>
        <v>861520</v>
      </c>
      <c r="L47" s="24">
        <f t="shared" ref="L47:L48" si="16">G40/3</f>
        <v>852720</v>
      </c>
      <c r="M47" s="24">
        <f t="shared" ref="M47:N47" si="17">L47</f>
        <v>852720</v>
      </c>
      <c r="N47" s="24">
        <f t="shared" si="17"/>
        <v>852720</v>
      </c>
      <c r="O47" s="24">
        <f t="shared" ref="O47:O48" si="18">H40/3</f>
        <v>849973.33333333337</v>
      </c>
      <c r="P47" s="24">
        <f t="shared" ref="P47:P48" si="19">O47</f>
        <v>849973.33333333337</v>
      </c>
      <c r="R47" s="24">
        <f t="shared" ref="R47:R48" si="20">SUM(E47:P47)</f>
        <v>10207680.000000002</v>
      </c>
      <c r="S47" s="38">
        <f t="shared" ref="S47:S48" si="21">R47-J40</f>
        <v>-8719.9999999981374</v>
      </c>
      <c r="T47" s="9"/>
      <c r="U47" s="9"/>
    </row>
    <row r="48" spans="2:21" x14ac:dyDescent="0.35">
      <c r="B48" s="17" t="s">
        <v>65</v>
      </c>
      <c r="C48" s="24" t="s">
        <v>219</v>
      </c>
      <c r="D48" s="25" t="s">
        <v>66</v>
      </c>
      <c r="E48" s="24">
        <f t="shared" si="10"/>
        <v>416446.66666666669</v>
      </c>
      <c r="F48" s="24">
        <f t="shared" si="11"/>
        <v>416446.66666666669</v>
      </c>
      <c r="G48" s="24">
        <f t="shared" si="12"/>
        <v>416446.66666666669</v>
      </c>
      <c r="H48" s="24">
        <f t="shared" si="13"/>
        <v>416446.66666666669</v>
      </c>
      <c r="I48" s="24">
        <f t="shared" si="14"/>
        <v>431846.66666666669</v>
      </c>
      <c r="J48" s="24">
        <f t="shared" ref="J48:K48" si="22">I48</f>
        <v>431846.66666666669</v>
      </c>
      <c r="K48" s="24">
        <f t="shared" si="22"/>
        <v>431846.66666666669</v>
      </c>
      <c r="L48" s="24">
        <f t="shared" si="16"/>
        <v>431846.66666666669</v>
      </c>
      <c r="M48" s="24">
        <f t="shared" ref="M48:N48" si="23">L48</f>
        <v>431846.66666666669</v>
      </c>
      <c r="N48" s="24">
        <f t="shared" si="23"/>
        <v>431846.66666666669</v>
      </c>
      <c r="O48" s="24">
        <f t="shared" si="18"/>
        <v>420866.66666666669</v>
      </c>
      <c r="P48" s="24">
        <f t="shared" si="19"/>
        <v>420866.66666666669</v>
      </c>
      <c r="R48" s="24">
        <f t="shared" si="20"/>
        <v>5098600</v>
      </c>
      <c r="S48" s="38">
        <f t="shared" si="21"/>
        <v>-4420</v>
      </c>
      <c r="T48" s="9"/>
      <c r="U48" s="9"/>
    </row>
    <row r="51" spans="2:19" x14ac:dyDescent="0.35">
      <c r="B51" s="79" t="s">
        <v>24</v>
      </c>
    </row>
    <row r="53" spans="2:19" x14ac:dyDescent="0.35">
      <c r="B53" s="31"/>
      <c r="C53" s="3" t="s">
        <v>93</v>
      </c>
    </row>
    <row r="54" spans="2:19" x14ac:dyDescent="0.35">
      <c r="C54" s="3"/>
    </row>
    <row r="55" spans="2:19" x14ac:dyDescent="0.35">
      <c r="C55" s="10"/>
      <c r="E55" s="16" t="s">
        <v>189</v>
      </c>
      <c r="F55" s="16" t="s">
        <v>190</v>
      </c>
      <c r="G55" s="16" t="s">
        <v>191</v>
      </c>
      <c r="H55" s="16" t="s">
        <v>192</v>
      </c>
      <c r="I55" s="4"/>
      <c r="J55" s="16" t="s">
        <v>19</v>
      </c>
    </row>
    <row r="56" spans="2:19" x14ac:dyDescent="0.35">
      <c r="C56" s="17" t="s">
        <v>94</v>
      </c>
      <c r="D56" s="25" t="s">
        <v>53</v>
      </c>
      <c r="E56" s="17">
        <v>14155070.643333331</v>
      </c>
      <c r="F56" s="17">
        <v>13790285.643333331</v>
      </c>
      <c r="G56" s="17">
        <v>14575851.309999995</v>
      </c>
      <c r="H56" s="17">
        <v>15386524.643333327</v>
      </c>
      <c r="I56" s="4"/>
      <c r="J56" s="17">
        <f>SUM(E56:H56)</f>
        <v>57907732.23999998</v>
      </c>
    </row>
    <row r="57" spans="2:19" x14ac:dyDescent="0.35">
      <c r="C57" s="27" t="s">
        <v>67</v>
      </c>
      <c r="D57" s="73" t="s">
        <v>53</v>
      </c>
      <c r="E57" s="27">
        <v>4718356.8811111106</v>
      </c>
      <c r="F57" s="27">
        <v>4596761.8811111106</v>
      </c>
      <c r="G57" s="27">
        <v>4858617.1033333316</v>
      </c>
      <c r="H57" s="27">
        <v>5128841.5477777757</v>
      </c>
      <c r="I57" s="74"/>
      <c r="J57" s="27">
        <f>SUM(E57:H57)</f>
        <v>19302577.413333327</v>
      </c>
    </row>
    <row r="58" spans="2:19" ht="6" customHeight="1" x14ac:dyDescent="0.35"/>
    <row r="59" spans="2:19" ht="21" customHeight="1" x14ac:dyDescent="0.35"/>
    <row r="60" spans="2:19" x14ac:dyDescent="0.35">
      <c r="E60" s="6">
        <v>46023</v>
      </c>
      <c r="F60" s="6">
        <f t="shared" ref="F60" si="24">EDATE(E60,1)</f>
        <v>46054</v>
      </c>
      <c r="G60" s="6">
        <f t="shared" ref="G60" si="25">EDATE(F60,1)</f>
        <v>46082</v>
      </c>
      <c r="H60" s="6">
        <f t="shared" ref="H60" si="26">EDATE(G60,1)</f>
        <v>46113</v>
      </c>
      <c r="I60" s="6">
        <f t="shared" ref="I60" si="27">EDATE(H60,1)</f>
        <v>46143</v>
      </c>
      <c r="J60" s="6">
        <f t="shared" ref="J60" si="28">EDATE(I60,1)</f>
        <v>46174</v>
      </c>
      <c r="K60" s="6">
        <f>EDATE(J60,1)</f>
        <v>46204</v>
      </c>
      <c r="L60" s="6">
        <f t="shared" ref="L60" si="29">EDATE(K60,1)</f>
        <v>46235</v>
      </c>
      <c r="M60" s="6">
        <f t="shared" ref="M60" si="30">EDATE(L60,1)</f>
        <v>46266</v>
      </c>
      <c r="N60" s="6">
        <f t="shared" ref="N60" si="31">EDATE(M60,1)</f>
        <v>46296</v>
      </c>
      <c r="O60" s="6">
        <f>EDATE(N60,1)</f>
        <v>46327</v>
      </c>
      <c r="P60" s="6">
        <f t="shared" ref="P60" si="32">EDATE(O60,1)</f>
        <v>46357</v>
      </c>
      <c r="R60" s="7" t="s">
        <v>19</v>
      </c>
      <c r="S60" t="s">
        <v>115</v>
      </c>
    </row>
    <row r="61" spans="2:19" x14ac:dyDescent="0.35">
      <c r="C61" s="17" t="s">
        <v>69</v>
      </c>
      <c r="D61" s="25" t="s">
        <v>53</v>
      </c>
      <c r="E61" s="24">
        <f>E57</f>
        <v>4718356.8811111106</v>
      </c>
      <c r="F61" s="24">
        <f>E61</f>
        <v>4718356.8811111106</v>
      </c>
      <c r="G61" s="24">
        <f>F61</f>
        <v>4718356.8811111106</v>
      </c>
      <c r="H61" s="24">
        <f>G61</f>
        <v>4718356.8811111106</v>
      </c>
      <c r="I61" s="24">
        <f>F57</f>
        <v>4596761.8811111106</v>
      </c>
      <c r="J61" s="24">
        <f>I61</f>
        <v>4596761.8811111106</v>
      </c>
      <c r="K61" s="24">
        <f>J61</f>
        <v>4596761.8811111106</v>
      </c>
      <c r="L61" s="24">
        <f>G57</f>
        <v>4858617.1033333316</v>
      </c>
      <c r="M61" s="24">
        <f>L61</f>
        <v>4858617.1033333316</v>
      </c>
      <c r="N61" s="24">
        <f>M61</f>
        <v>4858617.1033333316</v>
      </c>
      <c r="O61" s="24">
        <f>H57</f>
        <v>5128841.5477777757</v>
      </c>
      <c r="P61" s="24">
        <f>O61</f>
        <v>5128841.5477777757</v>
      </c>
      <c r="R61" s="24">
        <f>SUM(E61:P61)</f>
        <v>57497247.573333323</v>
      </c>
      <c r="S61" s="9">
        <f>R61-J56</f>
        <v>-410484.66666665673</v>
      </c>
    </row>
    <row r="63" spans="2:19" x14ac:dyDescent="0.35">
      <c r="B63" s="79" t="s">
        <v>24</v>
      </c>
      <c r="C63" s="3" t="s">
        <v>71</v>
      </c>
    </row>
    <row r="64" spans="2:19" x14ac:dyDescent="0.35">
      <c r="E64" s="16" t="s">
        <v>189</v>
      </c>
      <c r="F64" s="16" t="s">
        <v>190</v>
      </c>
      <c r="G64" s="16" t="s">
        <v>191</v>
      </c>
      <c r="H64" s="16" t="s">
        <v>192</v>
      </c>
      <c r="I64" s="4"/>
      <c r="J64" s="16" t="s">
        <v>19</v>
      </c>
    </row>
    <row r="65" spans="2:19" x14ac:dyDescent="0.35">
      <c r="C65" s="17" t="s">
        <v>68</v>
      </c>
      <c r="D65" s="25" t="s">
        <v>54</v>
      </c>
      <c r="E65" s="17">
        <v>7957968.6799999997</v>
      </c>
      <c r="F65" s="17">
        <v>8078711.5199999996</v>
      </c>
      <c r="G65" s="17">
        <v>16198996.149999999</v>
      </c>
      <c r="H65" s="17">
        <v>9877439.5199999996</v>
      </c>
      <c r="I65" s="4"/>
      <c r="J65" s="17">
        <f>SUM(E65:H65)</f>
        <v>42113115.869999997</v>
      </c>
    </row>
    <row r="66" spans="2:19" x14ac:dyDescent="0.35">
      <c r="C66" s="27" t="s">
        <v>67</v>
      </c>
      <c r="D66" s="73" t="s">
        <v>54</v>
      </c>
      <c r="E66" s="27">
        <v>2652656.2266666666</v>
      </c>
      <c r="F66" s="27">
        <v>2692903.84</v>
      </c>
      <c r="G66" s="27">
        <v>5399665.3833333328</v>
      </c>
      <c r="H66" s="27">
        <v>3292479.84</v>
      </c>
      <c r="I66" s="74"/>
      <c r="J66" s="27">
        <f t="shared" ref="J66" si="33">SUM(E66:H66)</f>
        <v>14037705.289999999</v>
      </c>
    </row>
    <row r="68" spans="2:19" x14ac:dyDescent="0.35">
      <c r="E68" s="6">
        <v>46023</v>
      </c>
      <c r="F68" s="6">
        <f t="shared" ref="F68" si="34">EDATE(E68,1)</f>
        <v>46054</v>
      </c>
      <c r="G68" s="6">
        <f t="shared" ref="G68" si="35">EDATE(F68,1)</f>
        <v>46082</v>
      </c>
      <c r="H68" s="6">
        <f t="shared" ref="H68" si="36">EDATE(G68,1)</f>
        <v>46113</v>
      </c>
      <c r="I68" s="6">
        <f t="shared" ref="I68" si="37">EDATE(H68,1)</f>
        <v>46143</v>
      </c>
      <c r="J68" s="6">
        <f t="shared" ref="J68" si="38">EDATE(I68,1)</f>
        <v>46174</v>
      </c>
      <c r="K68" s="6">
        <f>EDATE(J68,1)</f>
        <v>46204</v>
      </c>
      <c r="L68" s="6">
        <f t="shared" ref="L68" si="39">EDATE(K68,1)</f>
        <v>46235</v>
      </c>
      <c r="M68" s="6">
        <f t="shared" ref="M68" si="40">EDATE(L68,1)</f>
        <v>46266</v>
      </c>
      <c r="N68" s="6">
        <f t="shared" ref="N68" si="41">EDATE(M68,1)</f>
        <v>46296</v>
      </c>
      <c r="O68" s="6">
        <f>EDATE(N68,1)</f>
        <v>46327</v>
      </c>
      <c r="P68" s="6">
        <f t="shared" ref="P68" si="42">EDATE(O68,1)</f>
        <v>46357</v>
      </c>
      <c r="R68" s="7" t="s">
        <v>19</v>
      </c>
      <c r="S68" t="s">
        <v>115</v>
      </c>
    </row>
    <row r="69" spans="2:19" x14ac:dyDescent="0.35">
      <c r="C69" s="17" t="s">
        <v>60</v>
      </c>
      <c r="D69" s="25" t="s">
        <v>54</v>
      </c>
      <c r="E69" s="24">
        <f>E66</f>
        <v>2652656.2266666666</v>
      </c>
      <c r="F69" s="24">
        <f>E69</f>
        <v>2652656.2266666666</v>
      </c>
      <c r="G69" s="24">
        <f>F69</f>
        <v>2652656.2266666666</v>
      </c>
      <c r="H69" s="24">
        <f>G69</f>
        <v>2652656.2266666666</v>
      </c>
      <c r="I69" s="24">
        <f>F66</f>
        <v>2692903.84</v>
      </c>
      <c r="J69" s="24">
        <f>I69</f>
        <v>2692903.84</v>
      </c>
      <c r="K69" s="24">
        <f>J69</f>
        <v>2692903.84</v>
      </c>
      <c r="L69" s="24">
        <f>G66</f>
        <v>5399665.3833333328</v>
      </c>
      <c r="M69" s="24">
        <f>L69</f>
        <v>5399665.3833333328</v>
      </c>
      <c r="N69" s="24">
        <f>M69</f>
        <v>5399665.3833333328</v>
      </c>
      <c r="O69" s="24">
        <f>H66</f>
        <v>3292479.84</v>
      </c>
      <c r="P69" s="24">
        <f>O69</f>
        <v>3292479.84</v>
      </c>
      <c r="R69" s="24">
        <f>SUM(E69:P69)</f>
        <v>41473292.256666675</v>
      </c>
      <c r="S69" s="9">
        <f>R69-J65</f>
        <v>-639823.61333332211</v>
      </c>
    </row>
    <row r="72" spans="2:19" x14ac:dyDescent="0.35">
      <c r="B72" s="79" t="s">
        <v>25</v>
      </c>
      <c r="C72" s="3" t="s">
        <v>87</v>
      </c>
    </row>
    <row r="73" spans="2:19" x14ac:dyDescent="0.35">
      <c r="E73" s="16" t="s">
        <v>189</v>
      </c>
      <c r="F73" s="16" t="s">
        <v>190</v>
      </c>
      <c r="G73" s="16" t="s">
        <v>191</v>
      </c>
      <c r="H73" s="16" t="s">
        <v>192</v>
      </c>
      <c r="I73" s="4"/>
      <c r="J73" s="16" t="s">
        <v>19</v>
      </c>
    </row>
    <row r="74" spans="2:19" x14ac:dyDescent="0.35">
      <c r="C74" s="17" t="s">
        <v>68</v>
      </c>
      <c r="D74" s="25" t="s">
        <v>54</v>
      </c>
      <c r="E74" s="17">
        <v>2837755.25</v>
      </c>
      <c r="F74" s="17">
        <v>2610910.25</v>
      </c>
      <c r="G74" s="17">
        <v>7657210.25</v>
      </c>
      <c r="H74" s="17">
        <v>7999594.25</v>
      </c>
      <c r="I74" s="4"/>
      <c r="J74" s="17">
        <f>SUM(E74:H74)</f>
        <v>21105470</v>
      </c>
    </row>
    <row r="75" spans="2:19" x14ac:dyDescent="0.35">
      <c r="C75" s="27" t="s">
        <v>67</v>
      </c>
      <c r="D75" s="73" t="s">
        <v>54</v>
      </c>
      <c r="E75" s="27">
        <v>945918.41666666663</v>
      </c>
      <c r="F75" s="27">
        <v>870303.41666666663</v>
      </c>
      <c r="G75" s="27">
        <v>2552403.4166666665</v>
      </c>
      <c r="H75" s="27">
        <v>2666531.4166666665</v>
      </c>
      <c r="I75" s="74"/>
      <c r="J75" s="27">
        <f t="shared" ref="J75" si="43">SUM(E75:H75)</f>
        <v>7035156.666666666</v>
      </c>
    </row>
    <row r="78" spans="2:19" x14ac:dyDescent="0.35">
      <c r="E78" s="6">
        <v>46023</v>
      </c>
      <c r="F78" s="6">
        <f t="shared" ref="F78" si="44">EDATE(E78,1)</f>
        <v>46054</v>
      </c>
      <c r="G78" s="6">
        <f t="shared" ref="G78" si="45">EDATE(F78,1)</f>
        <v>46082</v>
      </c>
      <c r="H78" s="6">
        <f t="shared" ref="H78" si="46">EDATE(G78,1)</f>
        <v>46113</v>
      </c>
      <c r="I78" s="6">
        <f t="shared" ref="I78" si="47">EDATE(H78,1)</f>
        <v>46143</v>
      </c>
      <c r="J78" s="6">
        <f t="shared" ref="J78" si="48">EDATE(I78,1)</f>
        <v>46174</v>
      </c>
      <c r="K78" s="6">
        <f>EDATE(J78,1)</f>
        <v>46204</v>
      </c>
      <c r="L78" s="6">
        <f t="shared" ref="L78" si="49">EDATE(K78,1)</f>
        <v>46235</v>
      </c>
      <c r="M78" s="6">
        <f t="shared" ref="M78" si="50">EDATE(L78,1)</f>
        <v>46266</v>
      </c>
      <c r="N78" s="6">
        <f t="shared" ref="N78" si="51">EDATE(M78,1)</f>
        <v>46296</v>
      </c>
      <c r="O78" s="6">
        <f>EDATE(N78,1)</f>
        <v>46327</v>
      </c>
      <c r="P78" s="6">
        <f t="shared" ref="P78" si="52">EDATE(O78,1)</f>
        <v>46357</v>
      </c>
      <c r="R78" s="7" t="s">
        <v>19</v>
      </c>
    </row>
    <row r="79" spans="2:19" x14ac:dyDescent="0.35">
      <c r="C79" s="17" t="s">
        <v>60</v>
      </c>
      <c r="D79" s="25" t="s">
        <v>54</v>
      </c>
      <c r="E79" s="24">
        <f>E75</f>
        <v>945918.41666666663</v>
      </c>
      <c r="F79" s="24">
        <f>E79</f>
        <v>945918.41666666663</v>
      </c>
      <c r="G79" s="24">
        <f>F79</f>
        <v>945918.41666666663</v>
      </c>
      <c r="H79" s="24">
        <f>G79</f>
        <v>945918.41666666663</v>
      </c>
      <c r="I79" s="24">
        <f>F75</f>
        <v>870303.41666666663</v>
      </c>
      <c r="J79" s="24">
        <f>I79</f>
        <v>870303.41666666663</v>
      </c>
      <c r="K79" s="24">
        <f>J79</f>
        <v>870303.41666666663</v>
      </c>
      <c r="L79" s="24">
        <f>G75</f>
        <v>2552403.4166666665</v>
      </c>
      <c r="M79" s="24">
        <f>L79</f>
        <v>2552403.4166666665</v>
      </c>
      <c r="N79" s="24">
        <f>M79</f>
        <v>2552403.4166666665</v>
      </c>
      <c r="O79" s="24">
        <f>H75</f>
        <v>2666531.4166666665</v>
      </c>
      <c r="P79" s="24">
        <f>O79</f>
        <v>2666531.4166666665</v>
      </c>
      <c r="R79" s="24">
        <f>SUM(E79:P79)</f>
        <v>19384857</v>
      </c>
    </row>
    <row r="83" spans="2:9" x14ac:dyDescent="0.35">
      <c r="B83" s="36" t="s">
        <v>213</v>
      </c>
      <c r="C83" s="2" t="s">
        <v>289</v>
      </c>
    </row>
    <row r="84" spans="2:9" x14ac:dyDescent="0.35">
      <c r="C84" s="2" t="s">
        <v>215</v>
      </c>
    </row>
    <row r="85" spans="2:9" x14ac:dyDescent="0.35">
      <c r="C85" s="2" t="s">
        <v>293</v>
      </c>
    </row>
    <row r="87" spans="2:9" x14ac:dyDescent="0.35">
      <c r="C87" s="99" t="s">
        <v>298</v>
      </c>
    </row>
    <row r="88" spans="2:9" x14ac:dyDescent="0.35">
      <c r="C88" t="s">
        <v>294</v>
      </c>
    </row>
    <row r="89" spans="2:9" x14ac:dyDescent="0.35">
      <c r="C89" t="s">
        <v>295</v>
      </c>
    </row>
    <row r="90" spans="2:9" x14ac:dyDescent="0.35">
      <c r="C90" s="2" t="s">
        <v>296</v>
      </c>
    </row>
    <row r="91" spans="2:9" x14ac:dyDescent="0.35">
      <c r="C91" t="s">
        <v>297</v>
      </c>
    </row>
    <row r="93" spans="2:9" x14ac:dyDescent="0.35">
      <c r="C93" s="2" t="s">
        <v>299</v>
      </c>
    </row>
    <row r="96" spans="2:9" ht="16" x14ac:dyDescent="0.4">
      <c r="B96" s="87" t="s">
        <v>264</v>
      </c>
      <c r="D96" s="88"/>
      <c r="E96" s="88"/>
      <c r="F96" s="88"/>
      <c r="G96" s="88"/>
      <c r="H96" s="88"/>
      <c r="I96" s="88"/>
    </row>
    <row r="97" spans="2:9" ht="16" x14ac:dyDescent="0.4">
      <c r="C97" s="88"/>
      <c r="D97" s="88"/>
      <c r="E97" s="88"/>
      <c r="F97" s="88"/>
      <c r="G97" s="88"/>
      <c r="H97" s="88"/>
      <c r="I97" s="88"/>
    </row>
    <row r="98" spans="2:9" ht="16" x14ac:dyDescent="0.4">
      <c r="C98" s="89"/>
      <c r="D98" s="90"/>
      <c r="E98" s="89" t="s">
        <v>265</v>
      </c>
      <c r="F98" s="88"/>
      <c r="G98" s="89" t="s">
        <v>96</v>
      </c>
      <c r="H98" s="89" t="s">
        <v>266</v>
      </c>
      <c r="I98" s="88"/>
    </row>
    <row r="99" spans="2:9" ht="16" x14ac:dyDescent="0.4">
      <c r="C99" s="91" t="s">
        <v>267</v>
      </c>
      <c r="D99" s="92">
        <v>380000</v>
      </c>
      <c r="E99" s="93">
        <v>46327</v>
      </c>
      <c r="F99" s="88" t="s">
        <v>268</v>
      </c>
      <c r="G99" s="93" t="s">
        <v>269</v>
      </c>
      <c r="H99" s="94"/>
      <c r="I99" s="88"/>
    </row>
    <row r="100" spans="2:9" ht="16" x14ac:dyDescent="0.4">
      <c r="C100" s="91" t="s">
        <v>270</v>
      </c>
      <c r="D100" s="92">
        <v>3594680.82</v>
      </c>
      <c r="E100" s="95">
        <v>46082</v>
      </c>
      <c r="F100" s="88" t="s">
        <v>271</v>
      </c>
      <c r="G100" s="95" t="s">
        <v>192</v>
      </c>
      <c r="H100" s="94">
        <f>D100*10^-6</f>
        <v>3.5946808199999998</v>
      </c>
      <c r="I100" s="88"/>
    </row>
    <row r="101" spans="2:9" ht="16" x14ac:dyDescent="0.4">
      <c r="C101" s="91" t="s">
        <v>272</v>
      </c>
      <c r="D101" s="92">
        <v>4144364.39</v>
      </c>
      <c r="E101" s="95">
        <v>46082</v>
      </c>
      <c r="F101" s="88" t="s">
        <v>271</v>
      </c>
      <c r="G101" s="95" t="s">
        <v>192</v>
      </c>
      <c r="H101" s="94">
        <f>D101*10^-6</f>
        <v>4.1443643899999998</v>
      </c>
      <c r="I101" s="96">
        <f>H101+H100</f>
        <v>7.7390452099999996</v>
      </c>
    </row>
    <row r="102" spans="2:9" ht="16" x14ac:dyDescent="0.4">
      <c r="C102" s="91" t="s">
        <v>273</v>
      </c>
      <c r="D102" s="92">
        <v>5538475.8099999996</v>
      </c>
      <c r="E102" s="95">
        <v>47818</v>
      </c>
      <c r="F102" s="88" t="s">
        <v>271</v>
      </c>
      <c r="G102" s="95" t="s">
        <v>274</v>
      </c>
      <c r="H102" s="94">
        <f>D102*10^-6</f>
        <v>5.5384758099999996</v>
      </c>
      <c r="I102" s="88"/>
    </row>
    <row r="103" spans="2:9" ht="16" x14ac:dyDescent="0.4">
      <c r="C103" s="91" t="s">
        <v>275</v>
      </c>
      <c r="D103" s="92">
        <v>129037.5</v>
      </c>
      <c r="E103" s="93">
        <v>46327</v>
      </c>
      <c r="F103" s="88" t="s">
        <v>268</v>
      </c>
      <c r="G103" s="93" t="s">
        <v>269</v>
      </c>
      <c r="H103" s="94"/>
      <c r="I103" s="88"/>
    </row>
    <row r="107" spans="2:9" x14ac:dyDescent="0.35">
      <c r="B107" s="10" t="s">
        <v>300</v>
      </c>
    </row>
    <row r="108" spans="2:9" x14ac:dyDescent="0.35">
      <c r="C108" t="s">
        <v>301</v>
      </c>
      <c r="D108" s="4">
        <v>1832000</v>
      </c>
      <c r="E108" t="s">
        <v>66</v>
      </c>
    </row>
    <row r="109" spans="2:9" x14ac:dyDescent="0.35">
      <c r="C109" t="s">
        <v>302</v>
      </c>
      <c r="D109" s="4">
        <v>22000</v>
      </c>
      <c r="E109" t="s">
        <v>64</v>
      </c>
      <c r="F109" t="s">
        <v>314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C9EAE-2400-4880-A92D-9651BC311F88}">
  <sheetPr>
    <tabColor theme="1"/>
  </sheetPr>
  <dimension ref="A1"/>
  <sheetViews>
    <sheetView showGridLines="0" workbookViewId="0">
      <selection activeCell="K39" sqref="K39"/>
    </sheetView>
  </sheetViews>
  <sheetFormatPr defaultColWidth="10.54296875" defaultRowHeight="14.5" x14ac:dyDescent="0.3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1820E-D824-4A1E-B63C-70C82A10AD8E}">
  <sheetPr>
    <tabColor theme="3" tint="0.749992370372631"/>
  </sheetPr>
  <dimension ref="B3:S46"/>
  <sheetViews>
    <sheetView showGridLines="0" workbookViewId="0">
      <selection activeCell="Q32" sqref="Q32"/>
    </sheetView>
  </sheetViews>
  <sheetFormatPr defaultColWidth="10.54296875" defaultRowHeight="14.5" x14ac:dyDescent="0.35"/>
  <cols>
    <col min="1" max="1" width="6.453125" customWidth="1"/>
    <col min="2" max="2" width="36.54296875" customWidth="1"/>
    <col min="3" max="3" width="2.54296875" bestFit="1" customWidth="1"/>
    <col min="4" max="4" width="8.453125" customWidth="1"/>
    <col min="19" max="19" width="28" customWidth="1"/>
  </cols>
  <sheetData>
    <row r="3" spans="2:19" x14ac:dyDescent="0.35">
      <c r="B3" s="3"/>
      <c r="C3" s="10"/>
      <c r="E3" s="3" t="s">
        <v>105</v>
      </c>
    </row>
    <row r="6" spans="2:19" x14ac:dyDescent="0.35">
      <c r="B6" s="3" t="s">
        <v>104</v>
      </c>
      <c r="C6" s="3"/>
    </row>
    <row r="7" spans="2:19" x14ac:dyDescent="0.35">
      <c r="E7" s="11">
        <v>45658</v>
      </c>
      <c r="F7" s="11">
        <f t="shared" ref="F7:P7" si="0">EDATE(E7,1)</f>
        <v>45689</v>
      </c>
      <c r="G7" s="11">
        <f t="shared" si="0"/>
        <v>45717</v>
      </c>
      <c r="H7" s="11">
        <f t="shared" si="0"/>
        <v>45748</v>
      </c>
      <c r="I7" s="11">
        <f t="shared" si="0"/>
        <v>45778</v>
      </c>
      <c r="J7" s="11">
        <f t="shared" si="0"/>
        <v>45809</v>
      </c>
      <c r="K7" s="11">
        <f>EDATE(J7,1)</f>
        <v>45839</v>
      </c>
      <c r="L7" s="11">
        <f t="shared" si="0"/>
        <v>45870</v>
      </c>
      <c r="M7" s="11">
        <f t="shared" si="0"/>
        <v>45901</v>
      </c>
      <c r="N7" s="11">
        <f t="shared" si="0"/>
        <v>45931</v>
      </c>
      <c r="O7" s="11">
        <f>EDATE(N7,1)</f>
        <v>45962</v>
      </c>
      <c r="P7" s="11">
        <f t="shared" si="0"/>
        <v>45992</v>
      </c>
      <c r="R7" s="15">
        <v>2025</v>
      </c>
    </row>
    <row r="8" spans="2:19" x14ac:dyDescent="0.35"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R8" s="1"/>
    </row>
    <row r="9" spans="2:19" x14ac:dyDescent="0.35">
      <c r="B9" s="12" t="s">
        <v>13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R9" s="1"/>
    </row>
    <row r="10" spans="2:19" x14ac:dyDescent="0.35">
      <c r="B10" s="13" t="s">
        <v>76</v>
      </c>
      <c r="C10" s="19" t="s">
        <v>54</v>
      </c>
      <c r="E10" s="8" t="e">
        <f>#REF!</f>
        <v>#REF!</v>
      </c>
      <c r="F10" s="8" t="e">
        <f>#REF!</f>
        <v>#REF!</v>
      </c>
      <c r="G10" s="8" t="e">
        <f>#REF!</f>
        <v>#REF!</v>
      </c>
      <c r="H10" s="8" t="e">
        <f>#REF!</f>
        <v>#REF!</v>
      </c>
      <c r="I10" s="8" t="e">
        <f>#REF!</f>
        <v>#REF!</v>
      </c>
      <c r="J10" s="8" t="e">
        <f>#REF!</f>
        <v>#REF!</v>
      </c>
      <c r="K10" s="8" t="e">
        <f>#REF!</f>
        <v>#REF!</v>
      </c>
      <c r="L10" s="8" t="e">
        <f>#REF!</f>
        <v>#REF!</v>
      </c>
      <c r="M10" s="8" t="e">
        <f>#REF!</f>
        <v>#REF!</v>
      </c>
      <c r="N10" s="8" t="e">
        <f>#REF!</f>
        <v>#REF!</v>
      </c>
      <c r="O10" s="8" t="e">
        <f>#REF!</f>
        <v>#REF!</v>
      </c>
      <c r="P10" s="8" t="e">
        <f>#REF!</f>
        <v>#REF!</v>
      </c>
      <c r="R10" s="8" t="e">
        <f t="shared" ref="R10:R22" si="1">SUM(E10:P10)</f>
        <v>#REF!</v>
      </c>
    </row>
    <row r="11" spans="2:19" x14ac:dyDescent="0.35">
      <c r="B11" s="13" t="s">
        <v>77</v>
      </c>
      <c r="C11" s="19" t="s">
        <v>54</v>
      </c>
      <c r="E11" s="8" t="e">
        <f>#REF!</f>
        <v>#REF!</v>
      </c>
      <c r="F11" s="8" t="e">
        <f>#REF!</f>
        <v>#REF!</v>
      </c>
      <c r="G11" s="8" t="e">
        <f>#REF!</f>
        <v>#REF!</v>
      </c>
      <c r="H11" s="8" t="e">
        <f>#REF!</f>
        <v>#REF!</v>
      </c>
      <c r="I11" s="8" t="e">
        <f>#REF!</f>
        <v>#REF!</v>
      </c>
      <c r="J11" s="8" t="e">
        <f>#REF!</f>
        <v>#REF!</v>
      </c>
      <c r="K11" s="8" t="e">
        <f>#REF!</f>
        <v>#REF!</v>
      </c>
      <c r="L11" s="8" t="e">
        <f>#REF!</f>
        <v>#REF!</v>
      </c>
      <c r="M11" s="8" t="e">
        <f>#REF!</f>
        <v>#REF!</v>
      </c>
      <c r="N11" s="8" t="e">
        <f>#REF!</f>
        <v>#REF!</v>
      </c>
      <c r="O11" s="8" t="e">
        <f>#REF!</f>
        <v>#REF!</v>
      </c>
      <c r="P11" s="8" t="e">
        <f>#REF!</f>
        <v>#REF!</v>
      </c>
      <c r="R11" s="8" t="e">
        <f t="shared" si="1"/>
        <v>#REF!</v>
      </c>
    </row>
    <row r="12" spans="2:19" x14ac:dyDescent="0.35">
      <c r="B12" s="13" t="s">
        <v>80</v>
      </c>
      <c r="C12" s="19" t="s">
        <v>54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R12" s="8"/>
    </row>
    <row r="13" spans="2:19" x14ac:dyDescent="0.35">
      <c r="B13" s="42" t="s">
        <v>59</v>
      </c>
      <c r="C13" s="19" t="s">
        <v>54</v>
      </c>
      <c r="E13" s="20" t="e">
        <f>SUM(E10:E12)</f>
        <v>#REF!</v>
      </c>
      <c r="F13" s="20" t="e">
        <f t="shared" ref="F13:P13" si="2">SUM(F10:F12)</f>
        <v>#REF!</v>
      </c>
      <c r="G13" s="20" t="e">
        <f t="shared" si="2"/>
        <v>#REF!</v>
      </c>
      <c r="H13" s="20" t="e">
        <f t="shared" si="2"/>
        <v>#REF!</v>
      </c>
      <c r="I13" s="20" t="e">
        <f t="shared" si="2"/>
        <v>#REF!</v>
      </c>
      <c r="J13" s="20" t="e">
        <f t="shared" si="2"/>
        <v>#REF!</v>
      </c>
      <c r="K13" s="20" t="e">
        <f t="shared" si="2"/>
        <v>#REF!</v>
      </c>
      <c r="L13" s="20" t="e">
        <f t="shared" si="2"/>
        <v>#REF!</v>
      </c>
      <c r="M13" s="20" t="e">
        <f t="shared" si="2"/>
        <v>#REF!</v>
      </c>
      <c r="N13" s="20" t="e">
        <f t="shared" si="2"/>
        <v>#REF!</v>
      </c>
      <c r="O13" s="20" t="e">
        <f t="shared" si="2"/>
        <v>#REF!</v>
      </c>
      <c r="P13" s="20" t="e">
        <f t="shared" si="2"/>
        <v>#REF!</v>
      </c>
      <c r="R13" s="20" t="e">
        <f t="shared" ref="R13" si="3">SUM(E13:P13)</f>
        <v>#REF!</v>
      </c>
      <c r="S13" t="s">
        <v>148</v>
      </c>
    </row>
    <row r="15" spans="2:19" x14ac:dyDescent="0.35">
      <c r="B15" s="5" t="s">
        <v>84</v>
      </c>
      <c r="C15" s="19" t="s">
        <v>54</v>
      </c>
      <c r="E15" s="8" t="e">
        <f>#REF!</f>
        <v>#REF!</v>
      </c>
      <c r="F15" s="8" t="e">
        <f>#REF!</f>
        <v>#REF!</v>
      </c>
      <c r="G15" s="8" t="e">
        <f>#REF!</f>
        <v>#REF!</v>
      </c>
      <c r="H15" s="8" t="e">
        <f>#REF!</f>
        <v>#REF!</v>
      </c>
      <c r="I15" s="8" t="e">
        <f>#REF!</f>
        <v>#REF!</v>
      </c>
      <c r="J15" s="8" t="e">
        <f>#REF!</f>
        <v>#REF!</v>
      </c>
      <c r="K15" s="8" t="e">
        <f>#REF!</f>
        <v>#REF!</v>
      </c>
      <c r="L15" s="8" t="e">
        <f>#REF!</f>
        <v>#REF!</v>
      </c>
      <c r="M15" s="8" t="e">
        <f>#REF!</f>
        <v>#REF!</v>
      </c>
      <c r="N15" s="8" t="e">
        <f>#REF!</f>
        <v>#REF!</v>
      </c>
      <c r="O15" s="8" t="e">
        <f>#REF!</f>
        <v>#REF!</v>
      </c>
      <c r="P15" s="8" t="e">
        <f>#REF!</f>
        <v>#REF!</v>
      </c>
      <c r="R15" s="8" t="e">
        <f t="shared" si="1"/>
        <v>#REF!</v>
      </c>
    </row>
    <row r="16" spans="2:19" x14ac:dyDescent="0.35">
      <c r="B16" s="42" t="s">
        <v>43</v>
      </c>
      <c r="C16" s="19" t="s">
        <v>54</v>
      </c>
      <c r="E16" s="14" t="e">
        <f t="shared" ref="E16:P16" si="4">SUM(E15:E15)</f>
        <v>#REF!</v>
      </c>
      <c r="F16" s="14" t="e">
        <f t="shared" si="4"/>
        <v>#REF!</v>
      </c>
      <c r="G16" s="14" t="e">
        <f t="shared" si="4"/>
        <v>#REF!</v>
      </c>
      <c r="H16" s="14" t="e">
        <f t="shared" si="4"/>
        <v>#REF!</v>
      </c>
      <c r="I16" s="14" t="e">
        <f t="shared" si="4"/>
        <v>#REF!</v>
      </c>
      <c r="J16" s="14" t="e">
        <f t="shared" si="4"/>
        <v>#REF!</v>
      </c>
      <c r="K16" s="14" t="e">
        <f t="shared" si="4"/>
        <v>#REF!</v>
      </c>
      <c r="L16" s="14" t="e">
        <f t="shared" si="4"/>
        <v>#REF!</v>
      </c>
      <c r="M16" s="14" t="e">
        <f t="shared" si="4"/>
        <v>#REF!</v>
      </c>
      <c r="N16" s="14" t="e">
        <f t="shared" si="4"/>
        <v>#REF!</v>
      </c>
      <c r="O16" s="14" t="e">
        <f t="shared" si="4"/>
        <v>#REF!</v>
      </c>
      <c r="P16" s="14" t="e">
        <f t="shared" si="4"/>
        <v>#REF!</v>
      </c>
      <c r="R16" s="14" t="e">
        <f t="shared" si="1"/>
        <v>#REF!</v>
      </c>
      <c r="S16" t="s">
        <v>149</v>
      </c>
    </row>
    <row r="17" spans="2:19" ht="5.25" customHeight="1" x14ac:dyDescent="0.35"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R17" s="4"/>
    </row>
    <row r="18" spans="2:19" ht="3.75" customHeight="1" x14ac:dyDescent="0.35"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R18" s="4"/>
    </row>
    <row r="19" spans="2:19" x14ac:dyDescent="0.35">
      <c r="B19" s="5" t="s">
        <v>83</v>
      </c>
      <c r="C19" s="19" t="s">
        <v>54</v>
      </c>
      <c r="E19" s="8"/>
      <c r="F19" s="8"/>
      <c r="G19" s="8"/>
      <c r="H19" s="8"/>
      <c r="I19" s="8"/>
      <c r="J19" s="8"/>
      <c r="K19" s="8"/>
      <c r="L19" s="8"/>
      <c r="M19" s="8"/>
      <c r="N19" s="8">
        <v>235657.8382759607</v>
      </c>
      <c r="O19" s="8"/>
      <c r="P19" s="8"/>
      <c r="R19" s="8">
        <f t="shared" si="1"/>
        <v>235657.8382759607</v>
      </c>
    </row>
    <row r="20" spans="2:19" x14ac:dyDescent="0.35">
      <c r="B20" s="42" t="s">
        <v>45</v>
      </c>
      <c r="C20" s="19" t="s">
        <v>54</v>
      </c>
      <c r="D20" s="10"/>
      <c r="E20" s="14">
        <f t="shared" ref="E20:P20" si="5">SUM(E19:E19)</f>
        <v>0</v>
      </c>
      <c r="F20" s="14">
        <f t="shared" si="5"/>
        <v>0</v>
      </c>
      <c r="G20" s="14">
        <f t="shared" si="5"/>
        <v>0</v>
      </c>
      <c r="H20" s="14">
        <f t="shared" si="5"/>
        <v>0</v>
      </c>
      <c r="I20" s="14">
        <f t="shared" si="5"/>
        <v>0</v>
      </c>
      <c r="J20" s="14">
        <f t="shared" si="5"/>
        <v>0</v>
      </c>
      <c r="K20" s="14">
        <f t="shared" si="5"/>
        <v>0</v>
      </c>
      <c r="L20" s="14">
        <f t="shared" si="5"/>
        <v>0</v>
      </c>
      <c r="M20" s="14">
        <f t="shared" si="5"/>
        <v>0</v>
      </c>
      <c r="N20" s="14">
        <f t="shared" si="5"/>
        <v>235657.8382759607</v>
      </c>
      <c r="O20" s="14">
        <f t="shared" si="5"/>
        <v>0</v>
      </c>
      <c r="P20" s="14">
        <f t="shared" si="5"/>
        <v>0</v>
      </c>
      <c r="R20" s="14">
        <f t="shared" si="1"/>
        <v>235657.8382759607</v>
      </c>
      <c r="S20" t="s">
        <v>151</v>
      </c>
    </row>
    <row r="21" spans="2:19" ht="6" customHeight="1" x14ac:dyDescent="0.35"/>
    <row r="22" spans="2:19" x14ac:dyDescent="0.35">
      <c r="B22" s="42" t="s">
        <v>46</v>
      </c>
      <c r="C22" s="19" t="s">
        <v>54</v>
      </c>
      <c r="E22" s="14" t="e">
        <f>E20+E16</f>
        <v>#REF!</v>
      </c>
      <c r="F22" s="14" t="e">
        <f t="shared" ref="F22:P22" si="6">F20+F16</f>
        <v>#REF!</v>
      </c>
      <c r="G22" s="14" t="e">
        <f t="shared" si="6"/>
        <v>#REF!</v>
      </c>
      <c r="H22" s="14" t="e">
        <f t="shared" si="6"/>
        <v>#REF!</v>
      </c>
      <c r="I22" s="14" t="e">
        <f t="shared" si="6"/>
        <v>#REF!</v>
      </c>
      <c r="J22" s="14" t="e">
        <f t="shared" si="6"/>
        <v>#REF!</v>
      </c>
      <c r="K22" s="14" t="e">
        <f t="shared" si="6"/>
        <v>#REF!</v>
      </c>
      <c r="L22" s="14" t="e">
        <f t="shared" si="6"/>
        <v>#REF!</v>
      </c>
      <c r="M22" s="14" t="e">
        <f t="shared" si="6"/>
        <v>#REF!</v>
      </c>
      <c r="N22" s="14" t="e">
        <f t="shared" si="6"/>
        <v>#REF!</v>
      </c>
      <c r="O22" s="14" t="e">
        <f t="shared" si="6"/>
        <v>#REF!</v>
      </c>
      <c r="P22" s="14" t="e">
        <f t="shared" si="6"/>
        <v>#REF!</v>
      </c>
      <c r="R22" s="14" t="e">
        <f t="shared" si="1"/>
        <v>#REF!</v>
      </c>
    </row>
    <row r="23" spans="2:19" ht="6" customHeight="1" x14ac:dyDescent="0.35"/>
    <row r="24" spans="2:19" x14ac:dyDescent="0.35">
      <c r="B24" s="5" t="s">
        <v>81</v>
      </c>
      <c r="C24" s="19" t="s">
        <v>54</v>
      </c>
      <c r="E24" s="8" t="e">
        <f>-MAX(3%/4*AVERAGE(E33,E33-SUM(E13,E16,E20)),0)</f>
        <v>#REF!</v>
      </c>
      <c r="F24" s="8" t="e">
        <f t="shared" ref="F24:P24" si="7">-MAX(3%/4*AVERAGE(F33,F33-SUM(F13,F16,F20)),0)</f>
        <v>#REF!</v>
      </c>
      <c r="G24" s="8" t="e">
        <f t="shared" si="7"/>
        <v>#REF!</v>
      </c>
      <c r="H24" s="8" t="e">
        <f t="shared" si="7"/>
        <v>#REF!</v>
      </c>
      <c r="I24" s="8" t="e">
        <f t="shared" si="7"/>
        <v>#REF!</v>
      </c>
      <c r="J24" s="8" t="e">
        <f t="shared" si="7"/>
        <v>#REF!</v>
      </c>
      <c r="K24" s="8" t="e">
        <f t="shared" si="7"/>
        <v>#REF!</v>
      </c>
      <c r="L24" s="8" t="e">
        <f t="shared" si="7"/>
        <v>#REF!</v>
      </c>
      <c r="M24" s="8" t="e">
        <f t="shared" si="7"/>
        <v>#REF!</v>
      </c>
      <c r="N24" s="8" t="e">
        <f t="shared" si="7"/>
        <v>#REF!</v>
      </c>
      <c r="O24" s="8" t="e">
        <f t="shared" si="7"/>
        <v>#REF!</v>
      </c>
      <c r="P24" s="8" t="e">
        <f t="shared" si="7"/>
        <v>#REF!</v>
      </c>
      <c r="R24" s="8" t="e">
        <f t="shared" ref="R24" si="8">SUM(E24:P24)</f>
        <v>#REF!</v>
      </c>
    </row>
    <row r="25" spans="2:19" ht="10.5" customHeight="1" x14ac:dyDescent="0.35"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R25" s="4"/>
    </row>
    <row r="26" spans="2:19" x14ac:dyDescent="0.35">
      <c r="B26" s="32" t="s">
        <v>2</v>
      </c>
      <c r="C26" s="19" t="s">
        <v>54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R26" s="8">
        <f t="shared" ref="R26:R27" si="9">SUM(E26:P26)</f>
        <v>0</v>
      </c>
    </row>
    <row r="27" spans="2:19" x14ac:dyDescent="0.35">
      <c r="B27" s="32" t="s">
        <v>3</v>
      </c>
      <c r="C27" s="19" t="s">
        <v>54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R27" s="8">
        <f t="shared" si="9"/>
        <v>0</v>
      </c>
    </row>
    <row r="28" spans="2:19" ht="6" customHeight="1" x14ac:dyDescent="0.35"/>
    <row r="29" spans="2:19" x14ac:dyDescent="0.35">
      <c r="B29" s="43" t="s">
        <v>19</v>
      </c>
      <c r="C29" s="19" t="s">
        <v>54</v>
      </c>
      <c r="E29" s="14" t="e">
        <f>SUM(E26:E27,E24,E20,E16,E13)</f>
        <v>#REF!</v>
      </c>
      <c r="F29" s="14" t="e">
        <f t="shared" ref="F29:P29" si="10">SUM(F26:F27,F24,F20,F16,F13)</f>
        <v>#REF!</v>
      </c>
      <c r="G29" s="14" t="e">
        <f t="shared" si="10"/>
        <v>#REF!</v>
      </c>
      <c r="H29" s="14" t="e">
        <f t="shared" si="10"/>
        <v>#REF!</v>
      </c>
      <c r="I29" s="14" t="e">
        <f t="shared" si="10"/>
        <v>#REF!</v>
      </c>
      <c r="J29" s="14" t="e">
        <f t="shared" si="10"/>
        <v>#REF!</v>
      </c>
      <c r="K29" s="14" t="e">
        <f t="shared" si="10"/>
        <v>#REF!</v>
      </c>
      <c r="L29" s="14" t="e">
        <f t="shared" si="10"/>
        <v>#REF!</v>
      </c>
      <c r="M29" s="14" t="e">
        <f t="shared" si="10"/>
        <v>#REF!</v>
      </c>
      <c r="N29" s="14" t="e">
        <f t="shared" si="10"/>
        <v>#REF!</v>
      </c>
      <c r="O29" s="14" t="e">
        <f t="shared" si="10"/>
        <v>#REF!</v>
      </c>
      <c r="P29" s="14" t="e">
        <f t="shared" si="10"/>
        <v>#REF!</v>
      </c>
      <c r="R29" s="14" t="e">
        <f t="shared" ref="R29" si="11">SUM(E29:P29)</f>
        <v>#REF!</v>
      </c>
    </row>
    <row r="30" spans="2:19" x14ac:dyDescent="0.35">
      <c r="R30" s="18" t="e">
        <f>R29/12</f>
        <v>#REF!</v>
      </c>
    </row>
    <row r="31" spans="2:19" x14ac:dyDescent="0.35">
      <c r="B31" s="3" t="s">
        <v>127</v>
      </c>
      <c r="R31" s="18"/>
    </row>
    <row r="32" spans="2:19" x14ac:dyDescent="0.35">
      <c r="R32" s="18"/>
    </row>
    <row r="33" spans="2:17" x14ac:dyDescent="0.35">
      <c r="B33" s="5" t="s">
        <v>85</v>
      </c>
      <c r="C33" s="19" t="s">
        <v>54</v>
      </c>
      <c r="E33" s="14">
        <v>12656162.73</v>
      </c>
      <c r="F33" s="14" t="e">
        <f>E34</f>
        <v>#REF!</v>
      </c>
      <c r="G33" s="14" t="e">
        <f t="shared" ref="G33:P33" si="12">F34</f>
        <v>#REF!</v>
      </c>
      <c r="H33" s="14" t="e">
        <f t="shared" si="12"/>
        <v>#REF!</v>
      </c>
      <c r="I33" s="14" t="e">
        <f t="shared" si="12"/>
        <v>#REF!</v>
      </c>
      <c r="J33" s="14" t="e">
        <f t="shared" si="12"/>
        <v>#REF!</v>
      </c>
      <c r="K33" s="14" t="e">
        <f t="shared" si="12"/>
        <v>#REF!</v>
      </c>
      <c r="L33" s="14" t="e">
        <f t="shared" si="12"/>
        <v>#REF!</v>
      </c>
      <c r="M33" s="14" t="e">
        <f t="shared" si="12"/>
        <v>#REF!</v>
      </c>
      <c r="N33" s="14" t="e">
        <f t="shared" si="12"/>
        <v>#REF!</v>
      </c>
      <c r="O33" s="14" t="e">
        <f t="shared" si="12"/>
        <v>#REF!</v>
      </c>
      <c r="P33" s="14" t="e">
        <f t="shared" si="12"/>
        <v>#REF!</v>
      </c>
    </row>
    <row r="34" spans="2:17" x14ac:dyDescent="0.35">
      <c r="B34" s="5" t="s">
        <v>86</v>
      </c>
      <c r="C34" s="19" t="s">
        <v>54</v>
      </c>
      <c r="E34" s="14" t="e">
        <f>E33-E29</f>
        <v>#REF!</v>
      </c>
      <c r="F34" s="14" t="e">
        <f>F33-F29</f>
        <v>#REF!</v>
      </c>
      <c r="G34" s="14" t="e">
        <f t="shared" ref="G34:P34" si="13">G33-G29</f>
        <v>#REF!</v>
      </c>
      <c r="H34" s="14" t="e">
        <f t="shared" si="13"/>
        <v>#REF!</v>
      </c>
      <c r="I34" s="14" t="e">
        <f t="shared" si="13"/>
        <v>#REF!</v>
      </c>
      <c r="J34" s="14" t="e">
        <f t="shared" si="13"/>
        <v>#REF!</v>
      </c>
      <c r="K34" s="14" t="e">
        <f t="shared" si="13"/>
        <v>#REF!</v>
      </c>
      <c r="L34" s="14" t="e">
        <f t="shared" si="13"/>
        <v>#REF!</v>
      </c>
      <c r="M34" s="14" t="e">
        <f t="shared" si="13"/>
        <v>#REF!</v>
      </c>
      <c r="N34" s="14" t="e">
        <f t="shared" si="13"/>
        <v>#REF!</v>
      </c>
      <c r="O34" s="14" t="e">
        <f t="shared" si="13"/>
        <v>#REF!</v>
      </c>
      <c r="P34" s="14" t="e">
        <f t="shared" si="13"/>
        <v>#REF!</v>
      </c>
    </row>
    <row r="36" spans="2:17" x14ac:dyDescent="0.35">
      <c r="B36" s="5" t="s">
        <v>73</v>
      </c>
      <c r="C36" s="19" t="s">
        <v>54</v>
      </c>
      <c r="E36" s="33" t="e">
        <f>#REF!</f>
        <v>#REF!</v>
      </c>
      <c r="F36" s="33" t="e">
        <f>#REF!</f>
        <v>#REF!</v>
      </c>
      <c r="G36" s="33" t="e">
        <f>#REF!</f>
        <v>#REF!</v>
      </c>
      <c r="H36" s="33" t="e">
        <f>#REF!</f>
        <v>#REF!</v>
      </c>
      <c r="I36" s="33" t="e">
        <f>#REF!</f>
        <v>#REF!</v>
      </c>
      <c r="J36" s="33" t="e">
        <f>#REF!</f>
        <v>#REF!</v>
      </c>
      <c r="K36" s="33" t="e">
        <f>#REF!</f>
        <v>#REF!</v>
      </c>
      <c r="L36" s="33" t="e">
        <f>#REF!</f>
        <v>#REF!</v>
      </c>
      <c r="M36" s="33" t="e">
        <f>#REF!</f>
        <v>#REF!</v>
      </c>
      <c r="N36" s="33" t="e">
        <f>#REF!</f>
        <v>#REF!</v>
      </c>
      <c r="O36" s="33" t="e">
        <f>#REF!</f>
        <v>#REF!</v>
      </c>
      <c r="P36" s="33" t="e">
        <f>#REF!</f>
        <v>#REF!</v>
      </c>
      <c r="Q36" s="34"/>
    </row>
    <row r="37" spans="2:17" x14ac:dyDescent="0.35">
      <c r="B37" s="5" t="s">
        <v>74</v>
      </c>
      <c r="C37" s="19" t="s">
        <v>54</v>
      </c>
      <c r="E37" s="33" t="e">
        <f>#REF!</f>
        <v>#REF!</v>
      </c>
      <c r="F37" s="33" t="e">
        <f>#REF!</f>
        <v>#REF!</v>
      </c>
      <c r="G37" s="33" t="e">
        <f>#REF!</f>
        <v>#REF!</v>
      </c>
      <c r="H37" s="33" t="e">
        <f>#REF!</f>
        <v>#REF!</v>
      </c>
      <c r="I37" s="33" t="e">
        <f>#REF!</f>
        <v>#REF!</v>
      </c>
      <c r="J37" s="33" t="e">
        <f>#REF!</f>
        <v>#REF!</v>
      </c>
      <c r="K37" s="33" t="e">
        <f>#REF!</f>
        <v>#REF!</v>
      </c>
      <c r="L37" s="33" t="e">
        <f>#REF!</f>
        <v>#REF!</v>
      </c>
      <c r="M37" s="33" t="e">
        <f>#REF!</f>
        <v>#REF!</v>
      </c>
      <c r="N37" s="33" t="e">
        <f>#REF!</f>
        <v>#REF!</v>
      </c>
      <c r="O37" s="33" t="e">
        <f>#REF!</f>
        <v>#REF!</v>
      </c>
      <c r="P37" s="33" t="e">
        <f>#REF!</f>
        <v>#REF!</v>
      </c>
    </row>
    <row r="39" spans="2:17" x14ac:dyDescent="0.35">
      <c r="B39" s="5" t="s">
        <v>57</v>
      </c>
      <c r="C39" s="19" t="s">
        <v>53</v>
      </c>
      <c r="E39" s="14" t="e">
        <f>E33/E36</f>
        <v>#REF!</v>
      </c>
      <c r="F39" s="14" t="e">
        <f t="shared" ref="F39:P40" si="14">F33/F36</f>
        <v>#REF!</v>
      </c>
      <c r="G39" s="14" t="e">
        <f t="shared" si="14"/>
        <v>#REF!</v>
      </c>
      <c r="H39" s="14" t="e">
        <f t="shared" si="14"/>
        <v>#REF!</v>
      </c>
      <c r="I39" s="14" t="e">
        <f t="shared" si="14"/>
        <v>#REF!</v>
      </c>
      <c r="J39" s="14" t="e">
        <f t="shared" si="14"/>
        <v>#REF!</v>
      </c>
      <c r="K39" s="14" t="e">
        <f t="shared" si="14"/>
        <v>#REF!</v>
      </c>
      <c r="L39" s="14" t="e">
        <f t="shared" si="14"/>
        <v>#REF!</v>
      </c>
      <c r="M39" s="14" t="e">
        <f t="shared" si="14"/>
        <v>#REF!</v>
      </c>
      <c r="N39" s="14" t="e">
        <f t="shared" si="14"/>
        <v>#REF!</v>
      </c>
      <c r="O39" s="14" t="e">
        <f t="shared" si="14"/>
        <v>#REF!</v>
      </c>
      <c r="P39" s="14" t="e">
        <f t="shared" si="14"/>
        <v>#REF!</v>
      </c>
    </row>
    <row r="40" spans="2:17" x14ac:dyDescent="0.35">
      <c r="B40" s="5" t="s">
        <v>58</v>
      </c>
      <c r="C40" s="19" t="s">
        <v>53</v>
      </c>
      <c r="E40" s="14" t="e">
        <f>E34/E37</f>
        <v>#REF!</v>
      </c>
      <c r="F40" s="14" t="e">
        <f t="shared" si="14"/>
        <v>#REF!</v>
      </c>
      <c r="G40" s="14" t="e">
        <f t="shared" si="14"/>
        <v>#REF!</v>
      </c>
      <c r="H40" s="14" t="e">
        <f t="shared" si="14"/>
        <v>#REF!</v>
      </c>
      <c r="I40" s="14" t="e">
        <f t="shared" si="14"/>
        <v>#REF!</v>
      </c>
      <c r="J40" s="14" t="e">
        <f t="shared" si="14"/>
        <v>#REF!</v>
      </c>
      <c r="K40" s="14" t="e">
        <f t="shared" si="14"/>
        <v>#REF!</v>
      </c>
      <c r="L40" s="14" t="e">
        <f t="shared" si="14"/>
        <v>#REF!</v>
      </c>
      <c r="M40" s="14" t="e">
        <f t="shared" si="14"/>
        <v>#REF!</v>
      </c>
      <c r="N40" s="14" t="e">
        <f t="shared" si="14"/>
        <v>#REF!</v>
      </c>
      <c r="O40" s="14" t="e">
        <f t="shared" si="14"/>
        <v>#REF!</v>
      </c>
      <c r="P40" s="14" t="e">
        <f t="shared" si="14"/>
        <v>#REF!</v>
      </c>
    </row>
    <row r="42" spans="2:17" x14ac:dyDescent="0.35">
      <c r="B42" s="5" t="s">
        <v>57</v>
      </c>
      <c r="C42" s="19" t="s">
        <v>53</v>
      </c>
      <c r="E42" s="14" t="e">
        <f>E33/E37</f>
        <v>#REF!</v>
      </c>
    </row>
    <row r="43" spans="2:17" x14ac:dyDescent="0.35">
      <c r="B43" s="5" t="s">
        <v>103</v>
      </c>
      <c r="E43" s="14" t="e">
        <f>E42-E39</f>
        <v>#REF!</v>
      </c>
    </row>
    <row r="45" spans="2:17" x14ac:dyDescent="0.35">
      <c r="F45" s="9"/>
    </row>
    <row r="46" spans="2:17" x14ac:dyDescent="0.35">
      <c r="F46" s="9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2A007-45E6-4DA9-9063-F8430FF47D0E}">
  <sheetPr>
    <tabColor theme="3" tint="0.749992370372631"/>
  </sheetPr>
  <dimension ref="A3:AO116"/>
  <sheetViews>
    <sheetView showGridLines="0" topLeftCell="A2" workbookViewId="0">
      <pane xSplit="4" ySplit="6" topLeftCell="E20" activePane="bottomRight" state="frozen"/>
      <selection activeCell="Q32" sqref="Q32"/>
      <selection pane="topRight" activeCell="Q32" sqref="Q32"/>
      <selection pane="bottomLeft" activeCell="Q32" sqref="Q32"/>
      <selection pane="bottomRight" activeCell="Q32" sqref="Q32"/>
    </sheetView>
  </sheetViews>
  <sheetFormatPr defaultColWidth="10.54296875" defaultRowHeight="14.5" x14ac:dyDescent="0.35"/>
  <cols>
    <col min="1" max="1" width="6.453125" customWidth="1"/>
    <col min="2" max="2" width="36.54296875" customWidth="1"/>
    <col min="3" max="3" width="2.54296875" bestFit="1" customWidth="1"/>
    <col min="4" max="4" width="2" customWidth="1"/>
    <col min="21" max="21" width="28.54296875" customWidth="1"/>
  </cols>
  <sheetData>
    <row r="3" spans="1:41" x14ac:dyDescent="0.35">
      <c r="B3" s="3" t="s">
        <v>24</v>
      </c>
      <c r="C3" s="10"/>
      <c r="E3" s="3" t="s">
        <v>105</v>
      </c>
      <c r="AB3" s="3" t="s">
        <v>135</v>
      </c>
    </row>
    <row r="6" spans="1:41" x14ac:dyDescent="0.35">
      <c r="B6" s="3" t="s">
        <v>1</v>
      </c>
      <c r="C6" s="3"/>
      <c r="E6" s="2" t="s">
        <v>123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AB6" s="2" t="s">
        <v>123</v>
      </c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 spans="1:41" x14ac:dyDescent="0.35">
      <c r="E7" s="11">
        <v>45658</v>
      </c>
      <c r="F7" s="11">
        <f t="shared" ref="F7:P7" si="0">EDATE(E7,1)</f>
        <v>45689</v>
      </c>
      <c r="G7" s="11">
        <f t="shared" si="0"/>
        <v>45717</v>
      </c>
      <c r="H7" s="11">
        <f t="shared" si="0"/>
        <v>45748</v>
      </c>
      <c r="I7" s="11">
        <f t="shared" si="0"/>
        <v>45778</v>
      </c>
      <c r="J7" s="11">
        <f t="shared" si="0"/>
        <v>45809</v>
      </c>
      <c r="K7" s="11">
        <f>EDATE(J7,1)</f>
        <v>45839</v>
      </c>
      <c r="L7" s="11">
        <f t="shared" si="0"/>
        <v>45870</v>
      </c>
      <c r="M7" s="11">
        <f t="shared" si="0"/>
        <v>45901</v>
      </c>
      <c r="N7" s="11">
        <f t="shared" si="0"/>
        <v>45931</v>
      </c>
      <c r="O7" s="11">
        <f>EDATE(N7,1)</f>
        <v>45962</v>
      </c>
      <c r="P7" s="11">
        <f t="shared" si="0"/>
        <v>45992</v>
      </c>
      <c r="R7" s="15">
        <v>2025</v>
      </c>
      <c r="AB7" s="11">
        <v>45658</v>
      </c>
      <c r="AC7" s="11">
        <f t="shared" ref="AC7:AG7" si="1">EDATE(AB7,1)</f>
        <v>45689</v>
      </c>
      <c r="AD7" s="11">
        <f t="shared" si="1"/>
        <v>45717</v>
      </c>
      <c r="AE7" s="11">
        <f t="shared" si="1"/>
        <v>45748</v>
      </c>
      <c r="AF7" s="11">
        <f t="shared" si="1"/>
        <v>45778</v>
      </c>
      <c r="AG7" s="11">
        <f t="shared" si="1"/>
        <v>45809</v>
      </c>
      <c r="AH7" s="11">
        <f>EDATE(AG7,1)</f>
        <v>45839</v>
      </c>
      <c r="AI7" s="11">
        <f t="shared" ref="AI7:AK7" si="2">EDATE(AH7,1)</f>
        <v>45870</v>
      </c>
      <c r="AJ7" s="11">
        <f t="shared" si="2"/>
        <v>45901</v>
      </c>
      <c r="AK7" s="11">
        <f t="shared" si="2"/>
        <v>45931</v>
      </c>
      <c r="AL7" s="11">
        <f>EDATE(AK7,1)</f>
        <v>45962</v>
      </c>
      <c r="AM7" s="11">
        <f t="shared" ref="AM7" si="3">EDATE(AL7,1)</f>
        <v>45992</v>
      </c>
      <c r="AO7" s="15">
        <v>2025</v>
      </c>
    </row>
    <row r="8" spans="1:41" x14ac:dyDescent="0.35"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R8" s="1"/>
      <c r="V8" t="s">
        <v>23</v>
      </c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O8" s="1"/>
    </row>
    <row r="9" spans="1:41" x14ac:dyDescent="0.35">
      <c r="B9" s="12" t="s">
        <v>13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R9" s="1"/>
      <c r="V9" s="2" t="s">
        <v>122</v>
      </c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O9" s="1"/>
    </row>
    <row r="10" spans="1:41" x14ac:dyDescent="0.35">
      <c r="B10" s="5" t="s">
        <v>16</v>
      </c>
      <c r="C10" s="19" t="s">
        <v>53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R10" s="8">
        <f>SUM(E10:P10)</f>
        <v>0</v>
      </c>
      <c r="V10" s="2" t="s">
        <v>116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O10" s="8">
        <f>SUM(AB10:AM10)</f>
        <v>0</v>
      </c>
    </row>
    <row r="11" spans="1:41" x14ac:dyDescent="0.35">
      <c r="A11" s="2"/>
      <c r="B11" s="5" t="s">
        <v>15</v>
      </c>
      <c r="C11" s="19" t="s">
        <v>53</v>
      </c>
      <c r="E11" s="8">
        <v>9730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R11" s="8">
        <f t="shared" ref="R11:R60" si="4">SUM(E11:P11)</f>
        <v>9730</v>
      </c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O11" s="8">
        <f t="shared" ref="AO11:AO22" si="5">SUM(AB11:AM11)</f>
        <v>0</v>
      </c>
    </row>
    <row r="12" spans="1:41" x14ac:dyDescent="0.35">
      <c r="B12" s="5" t="s">
        <v>11</v>
      </c>
      <c r="C12" s="19" t="s">
        <v>53</v>
      </c>
      <c r="E12" s="8">
        <v>2017976.0000000002</v>
      </c>
      <c r="F12" s="8">
        <v>0</v>
      </c>
      <c r="G12" s="8">
        <v>0</v>
      </c>
      <c r="H12" s="8">
        <v>2017975.9999999998</v>
      </c>
      <c r="I12" s="8">
        <v>0</v>
      </c>
      <c r="J12" s="8">
        <v>3531459</v>
      </c>
      <c r="K12" s="8">
        <v>0</v>
      </c>
      <c r="L12" s="8">
        <v>0</v>
      </c>
      <c r="M12" s="8">
        <v>3531459</v>
      </c>
      <c r="N12" s="8">
        <v>0</v>
      </c>
      <c r="O12" s="8">
        <v>0</v>
      </c>
      <c r="P12" s="8">
        <v>0</v>
      </c>
      <c r="R12" s="8">
        <f t="shared" si="4"/>
        <v>11098870</v>
      </c>
      <c r="V12" s="17">
        <f>SUM(R10:R19)</f>
        <v>94124873.511666656</v>
      </c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O12" s="8">
        <f t="shared" si="5"/>
        <v>0</v>
      </c>
    </row>
    <row r="13" spans="1:41" x14ac:dyDescent="0.35">
      <c r="B13" s="5" t="s">
        <v>12</v>
      </c>
      <c r="C13" s="19" t="s">
        <v>53</v>
      </c>
      <c r="E13" s="8">
        <v>2296110.15</v>
      </c>
      <c r="F13" s="8">
        <v>0</v>
      </c>
      <c r="G13" s="8">
        <v>0</v>
      </c>
      <c r="H13" s="8">
        <v>3348209.8800000004</v>
      </c>
      <c r="I13" s="8">
        <v>1080000</v>
      </c>
      <c r="J13" s="8">
        <v>1162081</v>
      </c>
      <c r="K13" s="8">
        <v>780000</v>
      </c>
      <c r="L13" s="8">
        <v>780000</v>
      </c>
      <c r="M13" s="8">
        <v>650000</v>
      </c>
      <c r="N13" s="8">
        <v>650000</v>
      </c>
      <c r="O13" s="8">
        <v>483562.00000000006</v>
      </c>
      <c r="P13" s="8">
        <v>350000</v>
      </c>
      <c r="R13" s="8">
        <f t="shared" si="4"/>
        <v>11579963.030000001</v>
      </c>
      <c r="V13" s="17">
        <f>R20</f>
        <v>-3344444.444444445</v>
      </c>
      <c r="W13" t="s">
        <v>14</v>
      </c>
      <c r="X13" t="s">
        <v>97</v>
      </c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O13" s="8">
        <f t="shared" si="5"/>
        <v>0</v>
      </c>
    </row>
    <row r="14" spans="1:41" x14ac:dyDescent="0.35">
      <c r="B14" s="5" t="s">
        <v>6</v>
      </c>
      <c r="C14" s="19" t="s">
        <v>53</v>
      </c>
      <c r="E14" s="8">
        <v>2450977</v>
      </c>
      <c r="F14" s="8">
        <v>0</v>
      </c>
      <c r="G14" s="8">
        <v>0</v>
      </c>
      <c r="H14" s="8">
        <v>2450977</v>
      </c>
      <c r="I14" s="8">
        <v>0</v>
      </c>
      <c r="J14" s="8">
        <v>2941173</v>
      </c>
      <c r="K14" s="8">
        <v>0</v>
      </c>
      <c r="L14" s="8">
        <v>0</v>
      </c>
      <c r="M14" s="8">
        <v>3921564</v>
      </c>
      <c r="N14" s="8">
        <v>0</v>
      </c>
      <c r="O14" s="8">
        <v>0</v>
      </c>
      <c r="P14" s="8">
        <v>0</v>
      </c>
      <c r="R14" s="8">
        <f t="shared" si="4"/>
        <v>11764691</v>
      </c>
      <c r="V14" s="17">
        <f>V12+V13</f>
        <v>90780429.067222208</v>
      </c>
      <c r="W14" s="17">
        <v>75689579.430000007</v>
      </c>
      <c r="X14" s="35">
        <f>V14-W14</f>
        <v>15090849.637222201</v>
      </c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O14" s="8">
        <f t="shared" si="5"/>
        <v>0</v>
      </c>
    </row>
    <row r="15" spans="1:41" x14ac:dyDescent="0.35">
      <c r="B15" s="5" t="s">
        <v>7</v>
      </c>
      <c r="C15" s="19" t="s">
        <v>53</v>
      </c>
      <c r="E15" s="8">
        <v>2246164.7833333332</v>
      </c>
      <c r="F15" s="8">
        <v>0</v>
      </c>
      <c r="G15" s="8">
        <v>0</v>
      </c>
      <c r="H15" s="8">
        <v>3394710.33</v>
      </c>
      <c r="I15" s="8">
        <v>1230000</v>
      </c>
      <c r="J15" s="8">
        <v>1230000</v>
      </c>
      <c r="K15" s="8">
        <v>1230000</v>
      </c>
      <c r="L15" s="8">
        <v>730000</v>
      </c>
      <c r="M15" s="8">
        <v>730000</v>
      </c>
      <c r="N15" s="8">
        <v>730000</v>
      </c>
      <c r="O15" s="8">
        <v>683049</v>
      </c>
      <c r="P15" s="8">
        <v>0</v>
      </c>
      <c r="R15" s="8">
        <f t="shared" si="4"/>
        <v>12203924.113333333</v>
      </c>
      <c r="V15" t="s">
        <v>117</v>
      </c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O15" s="8">
        <f t="shared" si="5"/>
        <v>0</v>
      </c>
    </row>
    <row r="16" spans="1:41" x14ac:dyDescent="0.35">
      <c r="B16" s="5" t="s">
        <v>5</v>
      </c>
      <c r="C16" s="19" t="s">
        <v>53</v>
      </c>
      <c r="E16" s="8">
        <v>0</v>
      </c>
      <c r="F16" s="8">
        <v>0</v>
      </c>
      <c r="G16" s="8">
        <v>0</v>
      </c>
      <c r="H16" s="8">
        <v>4652021</v>
      </c>
      <c r="I16" s="8">
        <v>0</v>
      </c>
      <c r="J16" s="8">
        <v>9304042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6978032</v>
      </c>
      <c r="R16" s="8">
        <f t="shared" si="4"/>
        <v>20934095</v>
      </c>
      <c r="V16" t="s">
        <v>120</v>
      </c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O16" s="8">
        <f t="shared" si="5"/>
        <v>0</v>
      </c>
    </row>
    <row r="17" spans="2:41" x14ac:dyDescent="0.35">
      <c r="B17" s="5" t="s">
        <v>4</v>
      </c>
      <c r="C17" s="19" t="s">
        <v>53</v>
      </c>
      <c r="E17" s="8">
        <v>1875058.2083333335</v>
      </c>
      <c r="F17" s="8">
        <v>0</v>
      </c>
      <c r="G17" s="8">
        <v>0</v>
      </c>
      <c r="H17" s="8">
        <v>3155209.9299999997</v>
      </c>
      <c r="I17" s="8">
        <v>1100000</v>
      </c>
      <c r="J17" s="8">
        <v>1100000</v>
      </c>
      <c r="K17" s="8">
        <v>1100000</v>
      </c>
      <c r="L17" s="8">
        <v>1100000</v>
      </c>
      <c r="M17" s="8">
        <v>950000</v>
      </c>
      <c r="N17" s="8">
        <v>950000</v>
      </c>
      <c r="O17" s="8">
        <v>950000</v>
      </c>
      <c r="P17" s="8">
        <v>950000</v>
      </c>
      <c r="R17" s="8">
        <f t="shared" si="4"/>
        <v>13230268.138333334</v>
      </c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O17" s="8">
        <f t="shared" si="5"/>
        <v>0</v>
      </c>
    </row>
    <row r="18" spans="2:41" x14ac:dyDescent="0.35">
      <c r="B18" s="5" t="s">
        <v>17</v>
      </c>
      <c r="C18" s="19" t="s">
        <v>53</v>
      </c>
      <c r="E18" s="8">
        <v>0</v>
      </c>
      <c r="F18" s="8">
        <v>0</v>
      </c>
      <c r="G18" s="8">
        <v>0</v>
      </c>
      <c r="H18" s="8">
        <v>1831734.73</v>
      </c>
      <c r="I18" s="8">
        <v>1308381.95</v>
      </c>
      <c r="J18" s="8">
        <v>0</v>
      </c>
      <c r="K18" s="8">
        <v>2616763.9</v>
      </c>
      <c r="L18" s="8">
        <v>1308381.95</v>
      </c>
      <c r="M18" s="8">
        <v>1308381.95</v>
      </c>
      <c r="N18" s="8">
        <v>1308381.95</v>
      </c>
      <c r="O18" s="8">
        <v>1308381.95</v>
      </c>
      <c r="P18" s="8">
        <v>0</v>
      </c>
      <c r="R18" s="8">
        <f t="shared" si="4"/>
        <v>10990408.379999999</v>
      </c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O18" s="8">
        <f t="shared" si="5"/>
        <v>0</v>
      </c>
    </row>
    <row r="19" spans="2:41" x14ac:dyDescent="0.35">
      <c r="B19" s="5" t="s">
        <v>18</v>
      </c>
      <c r="C19" s="19" t="s">
        <v>53</v>
      </c>
      <c r="E19" s="8">
        <v>241072.55000000002</v>
      </c>
      <c r="F19" s="8">
        <v>0</v>
      </c>
      <c r="G19" s="8">
        <v>0</v>
      </c>
      <c r="H19" s="8">
        <v>407851.29999999993</v>
      </c>
      <c r="I19" s="8">
        <v>208000</v>
      </c>
      <c r="J19" s="8">
        <v>208000</v>
      </c>
      <c r="K19" s="8">
        <v>208000</v>
      </c>
      <c r="L19" s="8">
        <v>208000</v>
      </c>
      <c r="M19" s="8">
        <v>208000</v>
      </c>
      <c r="N19" s="8">
        <v>208000</v>
      </c>
      <c r="O19" s="8">
        <v>208000</v>
      </c>
      <c r="P19" s="8">
        <v>208000</v>
      </c>
      <c r="R19" s="8">
        <f t="shared" si="4"/>
        <v>2312923.85</v>
      </c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O19" s="8">
        <f t="shared" si="5"/>
        <v>0</v>
      </c>
    </row>
    <row r="20" spans="2:41" x14ac:dyDescent="0.35">
      <c r="B20" s="5" t="s">
        <v>21</v>
      </c>
      <c r="C20" s="19" t="s">
        <v>53</v>
      </c>
      <c r="E20" s="8">
        <v>0</v>
      </c>
      <c r="F20" s="8">
        <v>0</v>
      </c>
      <c r="G20" s="8">
        <v>0</v>
      </c>
      <c r="H20" s="8">
        <v>0</v>
      </c>
      <c r="I20" s="8">
        <v>-477777.77777777775</v>
      </c>
      <c r="J20" s="8">
        <v>-477777.77777777775</v>
      </c>
      <c r="K20" s="8">
        <v>-477777.77777777775</v>
      </c>
      <c r="L20" s="8">
        <v>-477777.77777777775</v>
      </c>
      <c r="M20" s="8">
        <v>-477777.77777777775</v>
      </c>
      <c r="N20" s="8">
        <v>-477777.77777777775</v>
      </c>
      <c r="O20" s="8">
        <v>-477777.77777777775</v>
      </c>
      <c r="P20" s="8">
        <v>0</v>
      </c>
      <c r="R20" s="8">
        <f t="shared" si="4"/>
        <v>-3344444.444444445</v>
      </c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O20" s="8">
        <f t="shared" si="5"/>
        <v>0</v>
      </c>
    </row>
    <row r="21" spans="2:41" x14ac:dyDescent="0.35">
      <c r="B21" s="5" t="s">
        <v>22</v>
      </c>
      <c r="C21" s="19" t="s">
        <v>53</v>
      </c>
      <c r="E21" s="8">
        <v>0</v>
      </c>
      <c r="F21" s="8">
        <v>0</v>
      </c>
      <c r="G21" s="8">
        <v>0</v>
      </c>
      <c r="H21" s="8">
        <v>0</v>
      </c>
      <c r="I21" s="8">
        <v>-103860.41722222223</v>
      </c>
      <c r="J21" s="8">
        <v>26977.777777777777</v>
      </c>
      <c r="K21" s="8">
        <v>-234698.61222222226</v>
      </c>
      <c r="L21" s="8">
        <v>-103860.41722222223</v>
      </c>
      <c r="M21" s="8">
        <v>-103860.41722222223</v>
      </c>
      <c r="N21" s="8">
        <v>-103860.41722222223</v>
      </c>
      <c r="O21" s="8">
        <v>-103860.41722222223</v>
      </c>
      <c r="P21" s="8">
        <v>-20800</v>
      </c>
      <c r="R21" s="8">
        <f t="shared" si="4"/>
        <v>-747822.92055555549</v>
      </c>
      <c r="V21" t="s">
        <v>23</v>
      </c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O21" s="8">
        <f t="shared" si="5"/>
        <v>0</v>
      </c>
    </row>
    <row r="22" spans="2:41" x14ac:dyDescent="0.35">
      <c r="B22" s="42" t="s">
        <v>50</v>
      </c>
      <c r="C22" s="19" t="s">
        <v>53</v>
      </c>
      <c r="E22" s="14">
        <f>SUM(E10:E21)</f>
        <v>11137088.691666668</v>
      </c>
      <c r="F22" s="14">
        <f t="shared" ref="F22:P22" si="6">SUM(F10:F21)</f>
        <v>0</v>
      </c>
      <c r="G22" s="14">
        <f t="shared" si="6"/>
        <v>0</v>
      </c>
      <c r="H22" s="14">
        <f t="shared" si="6"/>
        <v>21258690.170000002</v>
      </c>
      <c r="I22" s="14">
        <f t="shared" si="6"/>
        <v>4344743.7549999999</v>
      </c>
      <c r="J22" s="14">
        <f t="shared" si="6"/>
        <v>19025955</v>
      </c>
      <c r="K22" s="14">
        <f t="shared" si="6"/>
        <v>5222287.51</v>
      </c>
      <c r="L22" s="14">
        <f t="shared" si="6"/>
        <v>3544743.7549999999</v>
      </c>
      <c r="M22" s="14">
        <f t="shared" si="6"/>
        <v>10717766.754999999</v>
      </c>
      <c r="N22" s="14">
        <f t="shared" si="6"/>
        <v>3264743.7549999999</v>
      </c>
      <c r="O22" s="14">
        <f t="shared" si="6"/>
        <v>3051354.7549999999</v>
      </c>
      <c r="P22" s="14">
        <f t="shared" si="6"/>
        <v>8465232</v>
      </c>
      <c r="R22" s="14">
        <f t="shared" si="4"/>
        <v>90032606.146666661</v>
      </c>
      <c r="S22" t="s">
        <v>136</v>
      </c>
      <c r="V22" s="2" t="s">
        <v>99</v>
      </c>
      <c r="AB22" s="14">
        <f>SUM(AB10:AB21)</f>
        <v>0</v>
      </c>
      <c r="AC22" s="14">
        <f t="shared" ref="AC22:AM22" si="7">SUM(AC10:AC21)</f>
        <v>0</v>
      </c>
      <c r="AD22" s="14">
        <f t="shared" si="7"/>
        <v>0</v>
      </c>
      <c r="AE22" s="14">
        <f t="shared" si="7"/>
        <v>0</v>
      </c>
      <c r="AF22" s="14">
        <f t="shared" si="7"/>
        <v>0</v>
      </c>
      <c r="AG22" s="14">
        <f t="shared" si="7"/>
        <v>0</v>
      </c>
      <c r="AH22" s="14">
        <f t="shared" si="7"/>
        <v>0</v>
      </c>
      <c r="AI22" s="14">
        <f t="shared" si="7"/>
        <v>0</v>
      </c>
      <c r="AJ22" s="14">
        <f t="shared" si="7"/>
        <v>0</v>
      </c>
      <c r="AK22" s="14">
        <f t="shared" si="7"/>
        <v>0</v>
      </c>
      <c r="AL22" s="14">
        <f t="shared" si="7"/>
        <v>0</v>
      </c>
      <c r="AM22" s="14">
        <f t="shared" si="7"/>
        <v>0</v>
      </c>
      <c r="AO22" s="14">
        <f t="shared" si="5"/>
        <v>0</v>
      </c>
    </row>
    <row r="24" spans="2:41" x14ac:dyDescent="0.35">
      <c r="B24" s="5" t="s">
        <v>76</v>
      </c>
      <c r="C24" s="19" t="s">
        <v>53</v>
      </c>
      <c r="E24" s="8" t="e">
        <f>#REF!</f>
        <v>#REF!</v>
      </c>
      <c r="F24" s="8" t="e">
        <f>#REF!</f>
        <v>#REF!</v>
      </c>
      <c r="G24" s="8" t="e">
        <f>#REF!</f>
        <v>#REF!</v>
      </c>
      <c r="H24" s="8" t="e">
        <f>#REF!</f>
        <v>#REF!</v>
      </c>
      <c r="I24" s="8" t="e">
        <f>#REF!</f>
        <v>#REF!</v>
      </c>
      <c r="J24" s="8" t="e">
        <f>#REF!</f>
        <v>#REF!</v>
      </c>
      <c r="K24" s="8" t="e">
        <f>#REF!</f>
        <v>#REF!</v>
      </c>
      <c r="L24" s="8" t="e">
        <f>#REF!</f>
        <v>#REF!</v>
      </c>
      <c r="M24" s="8" t="e">
        <f>#REF!</f>
        <v>#REF!</v>
      </c>
      <c r="N24" s="8" t="e">
        <f>#REF!</f>
        <v>#REF!</v>
      </c>
      <c r="O24" s="8" t="e">
        <f>#REF!</f>
        <v>#REF!</v>
      </c>
      <c r="P24" s="8" t="e">
        <f>#REF!</f>
        <v>#REF!</v>
      </c>
      <c r="R24" s="8" t="e">
        <f t="shared" si="4"/>
        <v>#REF!</v>
      </c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O24" s="8">
        <f t="shared" ref="AO24:AO25" si="8">SUM(AB24:AM24)</f>
        <v>0</v>
      </c>
    </row>
    <row r="25" spans="2:41" x14ac:dyDescent="0.35">
      <c r="B25" s="5" t="s">
        <v>77</v>
      </c>
      <c r="C25" s="19" t="s">
        <v>53</v>
      </c>
      <c r="E25" s="8" t="e">
        <f>#REF!</f>
        <v>#REF!</v>
      </c>
      <c r="F25" s="8" t="e">
        <f>#REF!</f>
        <v>#REF!</v>
      </c>
      <c r="G25" s="8" t="e">
        <f>#REF!</f>
        <v>#REF!</v>
      </c>
      <c r="H25" s="8" t="e">
        <f>#REF!</f>
        <v>#REF!</v>
      </c>
      <c r="I25" s="8" t="e">
        <f>#REF!</f>
        <v>#REF!</v>
      </c>
      <c r="J25" s="8" t="e">
        <f>#REF!</f>
        <v>#REF!</v>
      </c>
      <c r="K25" s="8" t="e">
        <f>#REF!</f>
        <v>#REF!</v>
      </c>
      <c r="L25" s="8" t="e">
        <f>#REF!</f>
        <v>#REF!</v>
      </c>
      <c r="M25" s="8" t="e">
        <f>#REF!</f>
        <v>#REF!</v>
      </c>
      <c r="N25" s="8" t="e">
        <f>#REF!</f>
        <v>#REF!</v>
      </c>
      <c r="O25" s="8" t="e">
        <f>#REF!</f>
        <v>#REF!</v>
      </c>
      <c r="P25" s="8" t="e">
        <f>#REF!</f>
        <v>#REF!</v>
      </c>
      <c r="R25" s="8" t="e">
        <f t="shared" si="4"/>
        <v>#REF!</v>
      </c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O25" s="8">
        <f t="shared" si="8"/>
        <v>0</v>
      </c>
    </row>
    <row r="26" spans="2:41" x14ac:dyDescent="0.35">
      <c r="B26" s="5" t="s">
        <v>80</v>
      </c>
      <c r="C26" s="19" t="s">
        <v>53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R26" s="8"/>
      <c r="V26" t="s">
        <v>96</v>
      </c>
      <c r="W26" t="s">
        <v>14</v>
      </c>
      <c r="X26" t="s">
        <v>97</v>
      </c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O26" s="8"/>
    </row>
    <row r="27" spans="2:41" x14ac:dyDescent="0.35">
      <c r="B27" s="42" t="s">
        <v>59</v>
      </c>
      <c r="C27" s="19" t="s">
        <v>53</v>
      </c>
      <c r="E27" s="20" t="e">
        <f>SUM(E24:E26)</f>
        <v>#REF!</v>
      </c>
      <c r="F27" s="20" t="e">
        <f t="shared" ref="F27:P27" si="9">SUM(F24:F26)</f>
        <v>#REF!</v>
      </c>
      <c r="G27" s="20" t="e">
        <f t="shared" si="9"/>
        <v>#REF!</v>
      </c>
      <c r="H27" s="20" t="e">
        <f t="shared" si="9"/>
        <v>#REF!</v>
      </c>
      <c r="I27" s="20" t="e">
        <f t="shared" si="9"/>
        <v>#REF!</v>
      </c>
      <c r="J27" s="20" t="e">
        <f t="shared" si="9"/>
        <v>#REF!</v>
      </c>
      <c r="K27" s="20" t="e">
        <f t="shared" si="9"/>
        <v>#REF!</v>
      </c>
      <c r="L27" s="20" t="e">
        <f t="shared" si="9"/>
        <v>#REF!</v>
      </c>
      <c r="M27" s="20" t="e">
        <f t="shared" si="9"/>
        <v>#REF!</v>
      </c>
      <c r="N27" s="20" t="e">
        <f t="shared" si="9"/>
        <v>#REF!</v>
      </c>
      <c r="O27" s="20" t="e">
        <f t="shared" si="9"/>
        <v>#REF!</v>
      </c>
      <c r="P27" s="20" t="e">
        <f t="shared" si="9"/>
        <v>#REF!</v>
      </c>
      <c r="R27" s="20" t="e">
        <f t="shared" ref="R27" si="10">SUM(E27:P27)</f>
        <v>#REF!</v>
      </c>
      <c r="S27" t="s">
        <v>137</v>
      </c>
      <c r="V27" s="17" t="e">
        <f>R27+R38+R21</f>
        <v>#REF!</v>
      </c>
      <c r="W27" s="17">
        <f>(120367048.146484-75689579.43)*0.9+R21</f>
        <v>39461898.92428004</v>
      </c>
      <c r="X27" s="35" t="e">
        <f>V27-W27</f>
        <v>#REF!</v>
      </c>
      <c r="AB27" s="20">
        <f>SUM(AB24:AB26)</f>
        <v>0</v>
      </c>
      <c r="AC27" s="20">
        <f t="shared" ref="AC27:AM27" si="11">SUM(AC24:AC26)</f>
        <v>0</v>
      </c>
      <c r="AD27" s="20">
        <f t="shared" si="11"/>
        <v>0</v>
      </c>
      <c r="AE27" s="20">
        <f t="shared" si="11"/>
        <v>0</v>
      </c>
      <c r="AF27" s="20">
        <f t="shared" si="11"/>
        <v>0</v>
      </c>
      <c r="AG27" s="20">
        <f t="shared" si="11"/>
        <v>0</v>
      </c>
      <c r="AH27" s="20">
        <f t="shared" si="11"/>
        <v>0</v>
      </c>
      <c r="AI27" s="20">
        <f t="shared" si="11"/>
        <v>0</v>
      </c>
      <c r="AJ27" s="20">
        <f t="shared" si="11"/>
        <v>0</v>
      </c>
      <c r="AK27" s="20">
        <f t="shared" si="11"/>
        <v>0</v>
      </c>
      <c r="AL27" s="20">
        <f t="shared" si="11"/>
        <v>0</v>
      </c>
      <c r="AM27" s="20">
        <f t="shared" si="11"/>
        <v>0</v>
      </c>
      <c r="AO27" s="20">
        <f t="shared" ref="AO27" si="12">SUM(AB27:AM27)</f>
        <v>0</v>
      </c>
    </row>
    <row r="28" spans="2:41" x14ac:dyDescent="0.35">
      <c r="X28" s="39" t="s">
        <v>100</v>
      </c>
    </row>
    <row r="29" spans="2:41" x14ac:dyDescent="0.35">
      <c r="B29" s="5" t="s">
        <v>26</v>
      </c>
      <c r="C29" s="19" t="s">
        <v>53</v>
      </c>
      <c r="E29" s="8">
        <v>291635.40000000002</v>
      </c>
      <c r="F29" s="8">
        <v>291635.40000000002</v>
      </c>
      <c r="G29" s="8">
        <v>291635.40000000002</v>
      </c>
      <c r="H29" s="8">
        <v>291635.40000000002</v>
      </c>
      <c r="I29" s="8">
        <v>291635.40000000002</v>
      </c>
      <c r="J29" s="8">
        <v>291635.40000000002</v>
      </c>
      <c r="K29" s="8">
        <v>291635.40000000002</v>
      </c>
      <c r="L29" s="8">
        <v>291635.40000000002</v>
      </c>
      <c r="M29" s="8">
        <v>291635.40000000002</v>
      </c>
      <c r="N29" s="8">
        <v>291635.40000000002</v>
      </c>
      <c r="O29" s="8">
        <v>291635.40000000002</v>
      </c>
      <c r="P29" s="8">
        <v>291635.40000000002</v>
      </c>
      <c r="R29" s="8">
        <f t="shared" si="4"/>
        <v>3499624.7999999993</v>
      </c>
      <c r="X29" t="s">
        <v>102</v>
      </c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O29" s="8">
        <f t="shared" ref="AO29:AO36" si="13">SUM(AB29:AM29)</f>
        <v>0</v>
      </c>
    </row>
    <row r="30" spans="2:41" x14ac:dyDescent="0.35">
      <c r="B30" s="5" t="s">
        <v>27</v>
      </c>
      <c r="C30" s="19" t="s">
        <v>53</v>
      </c>
      <c r="E30" s="8"/>
      <c r="F30" s="8"/>
      <c r="G30" s="8">
        <v>543314.84823</v>
      </c>
      <c r="H30" s="8"/>
      <c r="I30" s="8"/>
      <c r="J30" s="8">
        <v>0</v>
      </c>
      <c r="K30" s="8"/>
      <c r="L30" s="8"/>
      <c r="M30" s="8"/>
      <c r="N30" s="8"/>
      <c r="O30" s="8"/>
      <c r="P30" s="8"/>
      <c r="R30" s="8">
        <f t="shared" si="4"/>
        <v>543314.84823</v>
      </c>
      <c r="X30" s="41" t="s">
        <v>134</v>
      </c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O30" s="8">
        <f t="shared" si="13"/>
        <v>0</v>
      </c>
    </row>
    <row r="31" spans="2:41" x14ac:dyDescent="0.35">
      <c r="B31" s="5" t="s">
        <v>28</v>
      </c>
      <c r="C31" s="19" t="s">
        <v>53</v>
      </c>
      <c r="E31" s="8">
        <v>211432.5</v>
      </c>
      <c r="F31" s="8">
        <v>216131</v>
      </c>
      <c r="G31" s="8">
        <v>216131</v>
      </c>
      <c r="H31" s="8">
        <v>618781.64344999997</v>
      </c>
      <c r="I31" s="8">
        <v>216131</v>
      </c>
      <c r="J31" s="8">
        <v>216131</v>
      </c>
      <c r="K31" s="8">
        <v>216131</v>
      </c>
      <c r="L31" s="8">
        <v>216131</v>
      </c>
      <c r="M31" s="8">
        <v>216131</v>
      </c>
      <c r="N31" s="8">
        <v>216131</v>
      </c>
      <c r="O31" s="8">
        <v>216131</v>
      </c>
      <c r="P31" s="8">
        <v>216131</v>
      </c>
      <c r="R31" s="8">
        <f t="shared" si="4"/>
        <v>2991524.1434499999</v>
      </c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O31" s="8">
        <f t="shared" si="13"/>
        <v>0</v>
      </c>
    </row>
    <row r="32" spans="2:41" x14ac:dyDescent="0.35">
      <c r="B32" s="5" t="s">
        <v>29</v>
      </c>
      <c r="C32" s="19" t="s">
        <v>53</v>
      </c>
      <c r="E32" s="8">
        <v>86130</v>
      </c>
      <c r="F32" s="8">
        <v>88044</v>
      </c>
      <c r="G32" s="8">
        <v>88044</v>
      </c>
      <c r="H32" s="8">
        <v>252069.39780000001</v>
      </c>
      <c r="I32" s="8">
        <v>88044</v>
      </c>
      <c r="J32" s="8">
        <v>88044</v>
      </c>
      <c r="K32" s="8">
        <v>88044</v>
      </c>
      <c r="L32" s="8">
        <v>88044</v>
      </c>
      <c r="M32" s="8">
        <v>88044</v>
      </c>
      <c r="N32" s="8">
        <v>88044</v>
      </c>
      <c r="O32" s="8">
        <v>88044</v>
      </c>
      <c r="P32" s="8">
        <v>88044</v>
      </c>
      <c r="R32" s="8">
        <f t="shared" si="4"/>
        <v>1218639.3977999999</v>
      </c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O32" s="8">
        <f t="shared" si="13"/>
        <v>0</v>
      </c>
    </row>
    <row r="33" spans="2:41" x14ac:dyDescent="0.35">
      <c r="B33" s="5" t="s">
        <v>30</v>
      </c>
      <c r="C33" s="19" t="s">
        <v>53</v>
      </c>
      <c r="E33" s="8">
        <v>23625.000000000004</v>
      </c>
      <c r="F33" s="8"/>
      <c r="G33" s="8"/>
      <c r="H33" s="8">
        <v>39147.097500000003</v>
      </c>
      <c r="I33" s="8"/>
      <c r="J33" s="8"/>
      <c r="K33" s="8">
        <v>24150.000000000004</v>
      </c>
      <c r="L33" s="8"/>
      <c r="M33" s="8"/>
      <c r="N33" s="8">
        <v>24150.000000000004</v>
      </c>
      <c r="O33" s="8"/>
      <c r="P33" s="8"/>
      <c r="R33" s="8">
        <f t="shared" si="4"/>
        <v>111072.0975</v>
      </c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O33" s="8">
        <f t="shared" si="13"/>
        <v>0</v>
      </c>
    </row>
    <row r="34" spans="2:41" x14ac:dyDescent="0.35">
      <c r="B34" s="5" t="s">
        <v>31</v>
      </c>
      <c r="C34" s="19" t="s">
        <v>53</v>
      </c>
      <c r="E34" s="8">
        <v>23840.999999999996</v>
      </c>
      <c r="F34" s="8"/>
      <c r="G34" s="8"/>
      <c r="H34" s="8">
        <v>39505.01382</v>
      </c>
      <c r="I34" s="8"/>
      <c r="J34" s="8"/>
      <c r="K34" s="8">
        <v>24370.799999999999</v>
      </c>
      <c r="L34" s="8"/>
      <c r="M34" s="8"/>
      <c r="N34" s="8">
        <v>24370.799999999999</v>
      </c>
      <c r="O34" s="8"/>
      <c r="P34" s="8"/>
      <c r="R34" s="8">
        <f t="shared" si="4"/>
        <v>112087.61382</v>
      </c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O34" s="8">
        <f t="shared" si="13"/>
        <v>0</v>
      </c>
    </row>
    <row r="35" spans="2:41" x14ac:dyDescent="0.35">
      <c r="B35" s="5" t="s">
        <v>32</v>
      </c>
      <c r="C35" s="19" t="s">
        <v>53</v>
      </c>
      <c r="E35" s="8">
        <v>67207.5</v>
      </c>
      <c r="F35" s="8">
        <v>68701</v>
      </c>
      <c r="G35" s="8">
        <v>68701</v>
      </c>
      <c r="H35" s="8">
        <v>196690.51495000001</v>
      </c>
      <c r="I35" s="8">
        <v>68701</v>
      </c>
      <c r="J35" s="8">
        <v>68701</v>
      </c>
      <c r="K35" s="8">
        <v>68701</v>
      </c>
      <c r="L35" s="8">
        <v>68701</v>
      </c>
      <c r="M35" s="8">
        <v>68701</v>
      </c>
      <c r="N35" s="8">
        <v>68701</v>
      </c>
      <c r="O35" s="8">
        <v>68701</v>
      </c>
      <c r="P35" s="8">
        <v>68701</v>
      </c>
      <c r="R35" s="8">
        <f t="shared" si="4"/>
        <v>950908.01494999998</v>
      </c>
      <c r="V35" t="s">
        <v>96</v>
      </c>
      <c r="W35" t="s">
        <v>14</v>
      </c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O35" s="8">
        <f t="shared" si="13"/>
        <v>0</v>
      </c>
    </row>
    <row r="36" spans="2:41" x14ac:dyDescent="0.35">
      <c r="B36" s="42" t="s">
        <v>43</v>
      </c>
      <c r="C36" s="19" t="s">
        <v>53</v>
      </c>
      <c r="E36" s="14">
        <f>SUM(E29:E35)</f>
        <v>703871.4</v>
      </c>
      <c r="F36" s="14">
        <f t="shared" ref="F36:P36" si="14">SUM(F29:F35)</f>
        <v>664511.4</v>
      </c>
      <c r="G36" s="14">
        <f t="shared" si="14"/>
        <v>1207826.24823</v>
      </c>
      <c r="H36" s="14">
        <f t="shared" si="14"/>
        <v>1437829.0675199998</v>
      </c>
      <c r="I36" s="14">
        <f t="shared" si="14"/>
        <v>664511.4</v>
      </c>
      <c r="J36" s="14">
        <f t="shared" si="14"/>
        <v>664511.4</v>
      </c>
      <c r="K36" s="14">
        <f t="shared" si="14"/>
        <v>713032.20000000007</v>
      </c>
      <c r="L36" s="14">
        <f t="shared" si="14"/>
        <v>664511.4</v>
      </c>
      <c r="M36" s="14">
        <f t="shared" si="14"/>
        <v>664511.4</v>
      </c>
      <c r="N36" s="14">
        <f t="shared" si="14"/>
        <v>713032.20000000007</v>
      </c>
      <c r="O36" s="14">
        <f t="shared" si="14"/>
        <v>664511.4</v>
      </c>
      <c r="P36" s="14">
        <f t="shared" si="14"/>
        <v>664511.4</v>
      </c>
      <c r="R36" s="14">
        <f t="shared" si="4"/>
        <v>9427170.9157500025</v>
      </c>
      <c r="S36" t="s">
        <v>138</v>
      </c>
      <c r="V36" s="17">
        <f>R36+R39</f>
        <v>9539541.6487500034</v>
      </c>
      <c r="W36" s="17">
        <f>10045099.705716*0.9</f>
        <v>9040589.735144401</v>
      </c>
      <c r="X36" s="35">
        <f>V36-W36</f>
        <v>498951.91360560246</v>
      </c>
      <c r="AB36" s="14">
        <f>SUM(AB29:AB35)</f>
        <v>0</v>
      </c>
      <c r="AC36" s="14">
        <f t="shared" ref="AC36:AM36" si="15">SUM(AC29:AC35)</f>
        <v>0</v>
      </c>
      <c r="AD36" s="14">
        <f t="shared" si="15"/>
        <v>0</v>
      </c>
      <c r="AE36" s="14">
        <f t="shared" si="15"/>
        <v>0</v>
      </c>
      <c r="AF36" s="14">
        <f t="shared" si="15"/>
        <v>0</v>
      </c>
      <c r="AG36" s="14">
        <f t="shared" si="15"/>
        <v>0</v>
      </c>
      <c r="AH36" s="14">
        <f t="shared" si="15"/>
        <v>0</v>
      </c>
      <c r="AI36" s="14">
        <f t="shared" si="15"/>
        <v>0</v>
      </c>
      <c r="AJ36" s="14">
        <f t="shared" si="15"/>
        <v>0</v>
      </c>
      <c r="AK36" s="14">
        <f t="shared" si="15"/>
        <v>0</v>
      </c>
      <c r="AL36" s="14">
        <f t="shared" si="15"/>
        <v>0</v>
      </c>
      <c r="AM36" s="14">
        <f t="shared" si="15"/>
        <v>0</v>
      </c>
      <c r="AO36" s="14">
        <f t="shared" si="13"/>
        <v>0</v>
      </c>
    </row>
    <row r="37" spans="2:41" ht="5.25" customHeight="1" x14ac:dyDescent="0.35"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R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O37" s="4"/>
    </row>
    <row r="38" spans="2:41" x14ac:dyDescent="0.35">
      <c r="B38" s="5" t="s">
        <v>36</v>
      </c>
      <c r="C38" s="19" t="s">
        <v>53</v>
      </c>
      <c r="E38" s="8"/>
      <c r="F38" s="8"/>
      <c r="G38" s="8"/>
      <c r="H38" s="8"/>
      <c r="I38" s="8"/>
      <c r="J38" s="8">
        <v>326666.66499999998</v>
      </c>
      <c r="K38" s="8"/>
      <c r="L38" s="8"/>
      <c r="M38" s="8"/>
      <c r="N38" s="8"/>
      <c r="O38" s="8"/>
      <c r="P38" s="8">
        <v>326666.66499999998</v>
      </c>
      <c r="R38" s="8">
        <f t="shared" si="4"/>
        <v>653333.32999999996</v>
      </c>
      <c r="Y38" s="9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>
        <v>293999.99849999999</v>
      </c>
      <c r="AO38" s="8">
        <f t="shared" ref="AO38:AO40" si="16">SUM(AB38:AM38)</f>
        <v>293999.99849999999</v>
      </c>
    </row>
    <row r="39" spans="2:41" x14ac:dyDescent="0.35">
      <c r="B39" s="5" t="s">
        <v>33</v>
      </c>
      <c r="C39" s="19" t="s">
        <v>53</v>
      </c>
      <c r="E39" s="8">
        <v>47037.4</v>
      </c>
      <c r="F39" s="8"/>
      <c r="G39" s="8"/>
      <c r="H39" s="8"/>
      <c r="I39" s="8"/>
      <c r="J39" s="8"/>
      <c r="K39" s="8">
        <v>65333.332999999999</v>
      </c>
      <c r="L39" s="8"/>
      <c r="M39" s="8"/>
      <c r="N39" s="8"/>
      <c r="O39" s="8"/>
      <c r="P39" s="8"/>
      <c r="R39" s="8">
        <f t="shared" si="4"/>
        <v>112370.73300000001</v>
      </c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>
        <v>0</v>
      </c>
      <c r="AO39" s="8">
        <f t="shared" si="16"/>
        <v>0</v>
      </c>
    </row>
    <row r="40" spans="2:41" x14ac:dyDescent="0.35">
      <c r="B40" s="42" t="s">
        <v>44</v>
      </c>
      <c r="C40" s="19" t="s">
        <v>53</v>
      </c>
      <c r="D40" s="10"/>
      <c r="E40" s="14">
        <f>SUM(E38:E39)</f>
        <v>47037.4</v>
      </c>
      <c r="F40" s="14">
        <f t="shared" ref="F40:P40" si="17">SUM(F38:F39)</f>
        <v>0</v>
      </c>
      <c r="G40" s="14">
        <f t="shared" si="17"/>
        <v>0</v>
      </c>
      <c r="H40" s="14">
        <f t="shared" si="17"/>
        <v>0</v>
      </c>
      <c r="I40" s="14">
        <f t="shared" si="17"/>
        <v>0</v>
      </c>
      <c r="J40" s="14">
        <f t="shared" si="17"/>
        <v>326666.66499999998</v>
      </c>
      <c r="K40" s="14">
        <f t="shared" si="17"/>
        <v>65333.332999999999</v>
      </c>
      <c r="L40" s="14">
        <f t="shared" si="17"/>
        <v>0</v>
      </c>
      <c r="M40" s="14">
        <f t="shared" si="17"/>
        <v>0</v>
      </c>
      <c r="N40" s="14">
        <f t="shared" si="17"/>
        <v>0</v>
      </c>
      <c r="O40" s="14">
        <f t="shared" si="17"/>
        <v>0</v>
      </c>
      <c r="P40" s="14">
        <f t="shared" si="17"/>
        <v>326666.66499999998</v>
      </c>
      <c r="R40" s="14">
        <f t="shared" si="4"/>
        <v>765704.06299999997</v>
      </c>
      <c r="S40" t="s">
        <v>139</v>
      </c>
      <c r="X40" s="9"/>
      <c r="AB40" s="14">
        <f>SUM(AB38:AB39)</f>
        <v>0</v>
      </c>
      <c r="AC40" s="14">
        <f t="shared" ref="AC40:AM40" si="18">SUM(AC38:AC39)</f>
        <v>0</v>
      </c>
      <c r="AD40" s="14">
        <f t="shared" si="18"/>
        <v>0</v>
      </c>
      <c r="AE40" s="14">
        <f t="shared" si="18"/>
        <v>0</v>
      </c>
      <c r="AF40" s="14">
        <f t="shared" si="18"/>
        <v>0</v>
      </c>
      <c r="AG40" s="14">
        <f t="shared" si="18"/>
        <v>0</v>
      </c>
      <c r="AH40" s="14">
        <f t="shared" si="18"/>
        <v>0</v>
      </c>
      <c r="AI40" s="14">
        <f t="shared" si="18"/>
        <v>0</v>
      </c>
      <c r="AJ40" s="14">
        <f t="shared" si="18"/>
        <v>0</v>
      </c>
      <c r="AK40" s="14">
        <f t="shared" si="18"/>
        <v>0</v>
      </c>
      <c r="AL40" s="14">
        <f t="shared" si="18"/>
        <v>0</v>
      </c>
      <c r="AM40" s="14">
        <f t="shared" si="18"/>
        <v>293999.99849999999</v>
      </c>
      <c r="AO40" s="14">
        <f t="shared" si="16"/>
        <v>293999.99849999999</v>
      </c>
    </row>
    <row r="41" spans="2:41" ht="12" customHeight="1" x14ac:dyDescent="0.35"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R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O41" s="4"/>
    </row>
    <row r="42" spans="2:41" x14ac:dyDescent="0.35">
      <c r="B42" s="5" t="s">
        <v>34</v>
      </c>
      <c r="C42" s="19" t="s">
        <v>53</v>
      </c>
      <c r="E42" s="8">
        <v>0</v>
      </c>
      <c r="F42" s="8">
        <v>0</v>
      </c>
      <c r="G42" s="8">
        <v>620596.255</v>
      </c>
      <c r="H42" s="8">
        <v>37228.800000000003</v>
      </c>
      <c r="I42" s="8">
        <v>0</v>
      </c>
      <c r="J42" s="8">
        <v>0</v>
      </c>
      <c r="K42" s="8">
        <v>37228.800000000003</v>
      </c>
      <c r="L42" s="8">
        <v>0</v>
      </c>
      <c r="M42" s="8">
        <v>0</v>
      </c>
      <c r="N42" s="8">
        <v>96794.880000000005</v>
      </c>
      <c r="O42" s="8">
        <v>0</v>
      </c>
      <c r="P42" s="8">
        <v>0</v>
      </c>
      <c r="R42" s="8">
        <f t="shared" si="4"/>
        <v>791848.7350000001</v>
      </c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O42" s="8">
        <f t="shared" ref="AO42:AO45" si="19">SUM(AB42:AM42)</f>
        <v>0</v>
      </c>
    </row>
    <row r="43" spans="2:41" x14ac:dyDescent="0.35">
      <c r="B43" s="5" t="s">
        <v>35</v>
      </c>
      <c r="C43" s="19" t="s">
        <v>53</v>
      </c>
      <c r="E43" s="8">
        <v>0</v>
      </c>
      <c r="F43" s="8">
        <v>0</v>
      </c>
      <c r="G43" s="8">
        <v>0</v>
      </c>
      <c r="H43" s="8">
        <v>62699.999999999993</v>
      </c>
      <c r="I43" s="8">
        <v>0</v>
      </c>
      <c r="J43" s="8">
        <v>0</v>
      </c>
      <c r="K43" s="8">
        <v>0</v>
      </c>
      <c r="L43" s="8">
        <v>407550</v>
      </c>
      <c r="M43" s="8">
        <v>0</v>
      </c>
      <c r="N43" s="8">
        <v>714455.99313435669</v>
      </c>
      <c r="O43" s="8">
        <v>0</v>
      </c>
      <c r="P43" s="8">
        <v>0</v>
      </c>
      <c r="R43" s="8">
        <f t="shared" si="4"/>
        <v>1184705.9931343566</v>
      </c>
      <c r="AB43" s="8">
        <f>64194.53125*0.9</f>
        <v>57775.078125</v>
      </c>
      <c r="AC43" s="8">
        <f t="shared" ref="AC43:AM43" si="20">64194.53125*0.9</f>
        <v>57775.078125</v>
      </c>
      <c r="AD43" s="8">
        <f t="shared" si="20"/>
        <v>57775.078125</v>
      </c>
      <c r="AE43" s="8">
        <f t="shared" si="20"/>
        <v>57775.078125</v>
      </c>
      <c r="AF43" s="8">
        <f t="shared" si="20"/>
        <v>57775.078125</v>
      </c>
      <c r="AG43" s="8">
        <f t="shared" si="20"/>
        <v>57775.078125</v>
      </c>
      <c r="AH43" s="8">
        <f t="shared" si="20"/>
        <v>57775.078125</v>
      </c>
      <c r="AI43" s="8">
        <f t="shared" si="20"/>
        <v>57775.078125</v>
      </c>
      <c r="AJ43" s="8">
        <f t="shared" si="20"/>
        <v>57775.078125</v>
      </c>
      <c r="AK43" s="8">
        <f t="shared" si="20"/>
        <v>57775.078125</v>
      </c>
      <c r="AL43" s="8">
        <f t="shared" si="20"/>
        <v>57775.078125</v>
      </c>
      <c r="AM43" s="8">
        <f t="shared" si="20"/>
        <v>57775.078125</v>
      </c>
      <c r="AO43" s="8">
        <f t="shared" si="19"/>
        <v>693300.9375</v>
      </c>
    </row>
    <row r="44" spans="2:41" x14ac:dyDescent="0.35">
      <c r="B44" s="5" t="s">
        <v>83</v>
      </c>
      <c r="C44" s="19" t="s">
        <v>53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R44" s="8">
        <f t="shared" si="4"/>
        <v>0</v>
      </c>
      <c r="V44" t="s">
        <v>96</v>
      </c>
      <c r="W44" t="s">
        <v>14</v>
      </c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O44" s="8">
        <f t="shared" si="19"/>
        <v>0</v>
      </c>
    </row>
    <row r="45" spans="2:41" x14ac:dyDescent="0.35">
      <c r="B45" s="42" t="s">
        <v>45</v>
      </c>
      <c r="C45" s="19" t="s">
        <v>53</v>
      </c>
      <c r="D45" s="10"/>
      <c r="E45" s="14">
        <f>SUM(E42:E44)</f>
        <v>0</v>
      </c>
      <c r="F45" s="14">
        <f t="shared" ref="F45:P45" si="21">SUM(F42:F44)</f>
        <v>0</v>
      </c>
      <c r="G45" s="14">
        <f t="shared" si="21"/>
        <v>620596.255</v>
      </c>
      <c r="H45" s="14">
        <f t="shared" si="21"/>
        <v>99928.799999999988</v>
      </c>
      <c r="I45" s="14">
        <f t="shared" si="21"/>
        <v>0</v>
      </c>
      <c r="J45" s="14">
        <f t="shared" si="21"/>
        <v>0</v>
      </c>
      <c r="K45" s="14">
        <f t="shared" si="21"/>
        <v>37228.800000000003</v>
      </c>
      <c r="L45" s="14">
        <f t="shared" si="21"/>
        <v>407550</v>
      </c>
      <c r="M45" s="14">
        <f t="shared" si="21"/>
        <v>0</v>
      </c>
      <c r="N45" s="14">
        <f t="shared" si="21"/>
        <v>811250.87313435669</v>
      </c>
      <c r="O45" s="14">
        <f t="shared" si="21"/>
        <v>0</v>
      </c>
      <c r="P45" s="14">
        <f t="shared" si="21"/>
        <v>0</v>
      </c>
      <c r="R45" s="14">
        <f t="shared" si="4"/>
        <v>1976554.7281343567</v>
      </c>
      <c r="S45" t="s">
        <v>144</v>
      </c>
      <c r="V45" s="17">
        <f>R45</f>
        <v>1976554.7281343567</v>
      </c>
      <c r="W45" s="17">
        <f>770334.375*0.9</f>
        <v>693300.9375</v>
      </c>
      <c r="X45" s="35">
        <f>V45-W45</f>
        <v>1283253.7906343567</v>
      </c>
      <c r="AB45" s="14">
        <f>SUM(AB42:AB44)</f>
        <v>57775.078125</v>
      </c>
      <c r="AC45" s="14">
        <f t="shared" ref="AC45:AM45" si="22">SUM(AC42:AC44)</f>
        <v>57775.078125</v>
      </c>
      <c r="AD45" s="14">
        <f t="shared" si="22"/>
        <v>57775.078125</v>
      </c>
      <c r="AE45" s="14">
        <f t="shared" si="22"/>
        <v>57775.078125</v>
      </c>
      <c r="AF45" s="14">
        <f t="shared" si="22"/>
        <v>57775.078125</v>
      </c>
      <c r="AG45" s="14">
        <f t="shared" si="22"/>
        <v>57775.078125</v>
      </c>
      <c r="AH45" s="14">
        <f t="shared" si="22"/>
        <v>57775.078125</v>
      </c>
      <c r="AI45" s="14">
        <f t="shared" si="22"/>
        <v>57775.078125</v>
      </c>
      <c r="AJ45" s="14">
        <f t="shared" si="22"/>
        <v>57775.078125</v>
      </c>
      <c r="AK45" s="14">
        <f t="shared" si="22"/>
        <v>57775.078125</v>
      </c>
      <c r="AL45" s="14">
        <f t="shared" si="22"/>
        <v>57775.078125</v>
      </c>
      <c r="AM45" s="14">
        <f t="shared" si="22"/>
        <v>57775.078125</v>
      </c>
      <c r="AO45" s="14">
        <f t="shared" si="19"/>
        <v>693300.9375</v>
      </c>
    </row>
    <row r="46" spans="2:41" ht="6" customHeight="1" x14ac:dyDescent="0.35"/>
    <row r="47" spans="2:41" x14ac:dyDescent="0.35">
      <c r="B47" s="42" t="s">
        <v>46</v>
      </c>
      <c r="C47" s="19" t="s">
        <v>53</v>
      </c>
      <c r="E47" s="14">
        <f>E45+E40+E36</f>
        <v>750908.8</v>
      </c>
      <c r="F47" s="14">
        <f t="shared" ref="F47:P47" si="23">F45+F40+F36</f>
        <v>664511.4</v>
      </c>
      <c r="G47" s="14">
        <f t="shared" si="23"/>
        <v>1828422.5032299999</v>
      </c>
      <c r="H47" s="14">
        <f t="shared" si="23"/>
        <v>1537757.8675199999</v>
      </c>
      <c r="I47" s="14">
        <f t="shared" si="23"/>
        <v>664511.4</v>
      </c>
      <c r="J47" s="14">
        <f t="shared" si="23"/>
        <v>991178.06499999994</v>
      </c>
      <c r="K47" s="14">
        <f t="shared" si="23"/>
        <v>815594.3330000001</v>
      </c>
      <c r="L47" s="14">
        <f t="shared" si="23"/>
        <v>1072061.3999999999</v>
      </c>
      <c r="M47" s="14">
        <f t="shared" si="23"/>
        <v>664511.4</v>
      </c>
      <c r="N47" s="14">
        <f t="shared" si="23"/>
        <v>1524283.0731343566</v>
      </c>
      <c r="O47" s="14">
        <f t="shared" si="23"/>
        <v>664511.4</v>
      </c>
      <c r="P47" s="14">
        <f t="shared" si="23"/>
        <v>991178.06499999994</v>
      </c>
      <c r="R47" s="14">
        <f t="shared" si="4"/>
        <v>12169429.706884358</v>
      </c>
      <c r="AB47" s="14">
        <f>AB45+AB40+AB36</f>
        <v>57775.078125</v>
      </c>
      <c r="AC47" s="14">
        <f t="shared" ref="AC47:AM47" si="24">AC45+AC40+AC36</f>
        <v>57775.078125</v>
      </c>
      <c r="AD47" s="14">
        <f t="shared" si="24"/>
        <v>57775.078125</v>
      </c>
      <c r="AE47" s="14">
        <f t="shared" si="24"/>
        <v>57775.078125</v>
      </c>
      <c r="AF47" s="14">
        <f t="shared" si="24"/>
        <v>57775.078125</v>
      </c>
      <c r="AG47" s="14">
        <f t="shared" si="24"/>
        <v>57775.078125</v>
      </c>
      <c r="AH47" s="14">
        <f t="shared" si="24"/>
        <v>57775.078125</v>
      </c>
      <c r="AI47" s="14">
        <f t="shared" si="24"/>
        <v>57775.078125</v>
      </c>
      <c r="AJ47" s="14">
        <f t="shared" si="24"/>
        <v>57775.078125</v>
      </c>
      <c r="AK47" s="14">
        <f t="shared" si="24"/>
        <v>57775.078125</v>
      </c>
      <c r="AL47" s="14">
        <f t="shared" si="24"/>
        <v>57775.078125</v>
      </c>
      <c r="AM47" s="14">
        <f t="shared" si="24"/>
        <v>351775.07662499999</v>
      </c>
      <c r="AO47" s="14">
        <f t="shared" ref="AO47" si="25">SUM(AB47:AM47)</f>
        <v>987300.93599999999</v>
      </c>
    </row>
    <row r="48" spans="2:41" ht="6" customHeight="1" x14ac:dyDescent="0.35"/>
    <row r="49" spans="2:41" x14ac:dyDescent="0.35">
      <c r="B49" s="10" t="s">
        <v>0</v>
      </c>
      <c r="C49" s="10"/>
    </row>
    <row r="50" spans="2:41" x14ac:dyDescent="0.35">
      <c r="B50" s="5" t="s">
        <v>37</v>
      </c>
      <c r="C50" s="19" t="s">
        <v>53</v>
      </c>
      <c r="E50" s="8">
        <v>375000</v>
      </c>
      <c r="F50" s="8"/>
      <c r="G50" s="8"/>
      <c r="H50" s="8">
        <v>375000</v>
      </c>
      <c r="I50" s="8"/>
      <c r="J50" s="8"/>
      <c r="K50" s="8">
        <v>375000</v>
      </c>
      <c r="L50" s="8"/>
      <c r="M50" s="8"/>
      <c r="N50" s="8">
        <v>375000</v>
      </c>
      <c r="O50" s="8"/>
      <c r="P50" s="8"/>
      <c r="R50" s="8">
        <f t="shared" si="4"/>
        <v>1500000</v>
      </c>
      <c r="AB50" s="8">
        <v>375000</v>
      </c>
      <c r="AC50" s="8"/>
      <c r="AD50" s="8"/>
      <c r="AE50" s="8">
        <v>375000</v>
      </c>
      <c r="AF50" s="8"/>
      <c r="AG50" s="8"/>
      <c r="AH50" s="8">
        <v>375000</v>
      </c>
      <c r="AI50" s="8"/>
      <c r="AJ50" s="8"/>
      <c r="AK50" s="8">
        <v>375000</v>
      </c>
      <c r="AL50" s="8"/>
      <c r="AM50" s="8"/>
      <c r="AO50" s="8">
        <f t="shared" ref="AO50:AO58" si="26">SUM(AB50:AM50)</f>
        <v>1500000</v>
      </c>
    </row>
    <row r="51" spans="2:41" x14ac:dyDescent="0.35">
      <c r="B51" s="5" t="s">
        <v>38</v>
      </c>
      <c r="C51" s="19" t="s">
        <v>53</v>
      </c>
      <c r="E51" s="20">
        <v>147916.66666666666</v>
      </c>
      <c r="F51" s="8">
        <v>714314.07823920285</v>
      </c>
      <c r="G51" s="8">
        <v>712465.62939333171</v>
      </c>
      <c r="H51" s="8">
        <v>710688.30537344306</v>
      </c>
      <c r="I51" s="8">
        <v>710688.30537344317</v>
      </c>
      <c r="J51" s="8">
        <v>710688.30537344317</v>
      </c>
      <c r="K51" s="8">
        <v>710688.30537344329</v>
      </c>
      <c r="L51" s="8">
        <v>710688.30537344317</v>
      </c>
      <c r="M51" s="8">
        <v>710688.30537344329</v>
      </c>
      <c r="N51" s="8">
        <v>710688.30537344329</v>
      </c>
      <c r="O51" s="8">
        <v>710688.30537344317</v>
      </c>
      <c r="P51" s="8">
        <v>710688.30537344306</v>
      </c>
      <c r="R51" s="8">
        <f t="shared" si="4"/>
        <v>7970891.1226601908</v>
      </c>
      <c r="AB51" s="8">
        <v>151388.88888888888</v>
      </c>
      <c r="AC51" s="8">
        <v>716085.81521488307</v>
      </c>
      <c r="AD51" s="8">
        <v>716085.81521488307</v>
      </c>
      <c r="AE51" s="8">
        <v>716085.81521488307</v>
      </c>
      <c r="AF51" s="8">
        <v>716085.81521488307</v>
      </c>
      <c r="AG51" s="8">
        <v>716085.81521488307</v>
      </c>
      <c r="AH51" s="8">
        <v>716085.81521488307</v>
      </c>
      <c r="AI51" s="8">
        <v>716085.81521488307</v>
      </c>
      <c r="AJ51" s="8">
        <v>716085.81521488307</v>
      </c>
      <c r="AK51" s="8">
        <v>716085.81521488307</v>
      </c>
      <c r="AL51" s="8">
        <v>716085.81521488307</v>
      </c>
      <c r="AM51" s="8">
        <v>716085.81521488307</v>
      </c>
      <c r="AO51" s="8">
        <f t="shared" si="26"/>
        <v>8028332.8562526051</v>
      </c>
    </row>
    <row r="52" spans="2:41" x14ac:dyDescent="0.35">
      <c r="B52" s="5" t="s">
        <v>39</v>
      </c>
      <c r="C52" s="19" t="s">
        <v>53</v>
      </c>
      <c r="E52" s="20">
        <v>147916.66666666666</v>
      </c>
      <c r="F52" s="8">
        <v>714314.07823920285</v>
      </c>
      <c r="G52" s="8">
        <v>712465.62939333171</v>
      </c>
      <c r="H52" s="8">
        <v>710688.30537344306</v>
      </c>
      <c r="I52" s="8">
        <v>710688.30537344317</v>
      </c>
      <c r="J52" s="8">
        <v>710688.30537344317</v>
      </c>
      <c r="K52" s="8">
        <v>710688.30537344329</v>
      </c>
      <c r="L52" s="8">
        <v>710688.30537344317</v>
      </c>
      <c r="M52" s="8">
        <v>710688.30537344329</v>
      </c>
      <c r="N52" s="8">
        <v>710688.30537344329</v>
      </c>
      <c r="O52" s="8">
        <v>710688.30537344317</v>
      </c>
      <c r="P52" s="8">
        <v>710688.30537344306</v>
      </c>
      <c r="R52" s="8">
        <f t="shared" si="4"/>
        <v>7970891.1226601908</v>
      </c>
      <c r="AB52" s="8">
        <v>151388.88888888888</v>
      </c>
      <c r="AC52" s="8">
        <v>716085.81521488307</v>
      </c>
      <c r="AD52" s="8">
        <v>716085.81521488307</v>
      </c>
      <c r="AE52" s="8">
        <v>716085.81521488307</v>
      </c>
      <c r="AF52" s="8">
        <v>716085.81521488307</v>
      </c>
      <c r="AG52" s="8">
        <v>716085.81521488307</v>
      </c>
      <c r="AH52" s="8">
        <v>716085.81521488307</v>
      </c>
      <c r="AI52" s="8">
        <v>716085.81521488307</v>
      </c>
      <c r="AJ52" s="8">
        <v>716085.81521488307</v>
      </c>
      <c r="AK52" s="8">
        <v>716085.81521488307</v>
      </c>
      <c r="AL52" s="8">
        <v>716085.81521488307</v>
      </c>
      <c r="AM52" s="8">
        <v>716085.81521488307</v>
      </c>
      <c r="AO52" s="8">
        <f t="shared" si="26"/>
        <v>8028332.8562526051</v>
      </c>
    </row>
    <row r="53" spans="2:41" x14ac:dyDescent="0.35">
      <c r="B53" s="5" t="s">
        <v>40</v>
      </c>
      <c r="C53" s="19" t="s">
        <v>53</v>
      </c>
      <c r="E53" s="8">
        <v>187499.99257999999</v>
      </c>
      <c r="F53" s="8"/>
      <c r="G53" s="8"/>
      <c r="H53" s="8">
        <v>187499.99257999999</v>
      </c>
      <c r="I53" s="8"/>
      <c r="J53" s="8"/>
      <c r="K53" s="8">
        <v>187499.99257999999</v>
      </c>
      <c r="L53" s="8"/>
      <c r="M53" s="8"/>
      <c r="N53" s="8">
        <v>187499.99257999999</v>
      </c>
      <c r="O53" s="8"/>
      <c r="P53" s="8"/>
      <c r="R53" s="8">
        <f t="shared" si="4"/>
        <v>749999.97031999996</v>
      </c>
      <c r="AB53" s="8">
        <v>187499.99257999999</v>
      </c>
      <c r="AC53" s="8"/>
      <c r="AD53" s="8"/>
      <c r="AE53" s="8">
        <v>187499.99257999999</v>
      </c>
      <c r="AF53" s="8"/>
      <c r="AG53" s="8"/>
      <c r="AH53" s="8">
        <v>187499.99257999999</v>
      </c>
      <c r="AI53" s="8"/>
      <c r="AJ53" s="8"/>
      <c r="AK53" s="8">
        <v>187499.99257999999</v>
      </c>
      <c r="AL53" s="8"/>
      <c r="AM53" s="8"/>
      <c r="AO53" s="8">
        <f t="shared" si="26"/>
        <v>749999.97031999996</v>
      </c>
    </row>
    <row r="54" spans="2:41" x14ac:dyDescent="0.35">
      <c r="B54" s="5" t="s">
        <v>41</v>
      </c>
      <c r="C54" s="19" t="s">
        <v>53</v>
      </c>
      <c r="E54" s="8">
        <v>73958.330404583321</v>
      </c>
      <c r="F54" s="8">
        <v>357157.02497618267</v>
      </c>
      <c r="G54" s="8">
        <v>356232.80058984633</v>
      </c>
      <c r="H54" s="8">
        <v>355344.13861509314</v>
      </c>
      <c r="I54" s="8">
        <v>355344.13861509314</v>
      </c>
      <c r="J54" s="8">
        <v>355344.13861509314</v>
      </c>
      <c r="K54" s="8">
        <v>355344.13861509314</v>
      </c>
      <c r="L54" s="8">
        <v>355344.13861509314</v>
      </c>
      <c r="M54" s="8">
        <v>355344.13861509314</v>
      </c>
      <c r="N54" s="8">
        <v>355344.13861509308</v>
      </c>
      <c r="O54" s="8">
        <v>355344.13861509314</v>
      </c>
      <c r="P54" s="8">
        <v>355344.13861509314</v>
      </c>
      <c r="R54" s="8">
        <f t="shared" si="4"/>
        <v>3985445.4035064508</v>
      </c>
      <c r="AB54" s="8">
        <v>75694.441446944431</v>
      </c>
      <c r="AC54" s="8">
        <v>358042.89342894242</v>
      </c>
      <c r="AD54" s="8">
        <v>358042.89342894242</v>
      </c>
      <c r="AE54" s="8">
        <v>358042.89342894242</v>
      </c>
      <c r="AF54" s="8">
        <v>358042.89342894242</v>
      </c>
      <c r="AG54" s="8">
        <v>358042.89342894242</v>
      </c>
      <c r="AH54" s="8">
        <v>358042.89342894242</v>
      </c>
      <c r="AI54" s="8">
        <v>358042.89342894242</v>
      </c>
      <c r="AJ54" s="8">
        <v>358042.89342894242</v>
      </c>
      <c r="AK54" s="8">
        <v>358042.89342894242</v>
      </c>
      <c r="AL54" s="8">
        <v>358042.89342894242</v>
      </c>
      <c r="AM54" s="8">
        <v>358042.89342894242</v>
      </c>
      <c r="AO54" s="8">
        <f t="shared" si="26"/>
        <v>4014166.2691653101</v>
      </c>
    </row>
    <row r="55" spans="2:41" x14ac:dyDescent="0.35">
      <c r="B55" s="5" t="s">
        <v>42</v>
      </c>
      <c r="C55" s="19" t="s">
        <v>53</v>
      </c>
      <c r="E55" s="8">
        <v>73958.330404583321</v>
      </c>
      <c r="F55" s="8">
        <v>357157.02497618267</v>
      </c>
      <c r="G55" s="8">
        <v>356232.80058984633</v>
      </c>
      <c r="H55" s="8">
        <v>355344.13861509314</v>
      </c>
      <c r="I55" s="8">
        <v>355344.13861509314</v>
      </c>
      <c r="J55" s="8">
        <v>355344.13861509314</v>
      </c>
      <c r="K55" s="8">
        <v>355344.13861509314</v>
      </c>
      <c r="L55" s="8">
        <v>355344.13861509314</v>
      </c>
      <c r="M55" s="8">
        <v>355344.13861509314</v>
      </c>
      <c r="N55" s="8">
        <v>355344.13861509308</v>
      </c>
      <c r="O55" s="8">
        <v>355344.13861509314</v>
      </c>
      <c r="P55" s="8">
        <v>355344.13861509314</v>
      </c>
      <c r="R55" s="8">
        <f t="shared" si="4"/>
        <v>3985445.4035064508</v>
      </c>
      <c r="S55" t="s">
        <v>141</v>
      </c>
      <c r="AB55" s="8">
        <v>75694.441446944431</v>
      </c>
      <c r="AC55" s="8">
        <v>358042.89342894242</v>
      </c>
      <c r="AD55" s="8">
        <v>358042.89342894242</v>
      </c>
      <c r="AE55" s="8">
        <v>358042.89342894242</v>
      </c>
      <c r="AF55" s="8">
        <v>358042.89342894242</v>
      </c>
      <c r="AG55" s="8">
        <v>358042.89342894242</v>
      </c>
      <c r="AH55" s="8">
        <v>358042.89342894242</v>
      </c>
      <c r="AI55" s="8">
        <v>358042.89342894242</v>
      </c>
      <c r="AJ55" s="8">
        <v>358042.89342894242</v>
      </c>
      <c r="AK55" s="8">
        <v>358042.89342894242</v>
      </c>
      <c r="AL55" s="8">
        <v>358042.89342894242</v>
      </c>
      <c r="AM55" s="8">
        <v>358042.89342894242</v>
      </c>
      <c r="AO55" s="8">
        <f t="shared" si="26"/>
        <v>4014166.2691653101</v>
      </c>
    </row>
    <row r="56" spans="2:41" x14ac:dyDescent="0.35">
      <c r="B56" s="5" t="s">
        <v>9</v>
      </c>
      <c r="C56" s="19" t="s">
        <v>53</v>
      </c>
      <c r="E56" s="8"/>
      <c r="F56" s="8">
        <v>2548437.5</v>
      </c>
      <c r="G56" s="8"/>
      <c r="H56" s="8"/>
      <c r="I56" s="8">
        <v>328125</v>
      </c>
      <c r="J56" s="8"/>
      <c r="K56" s="8"/>
      <c r="L56" s="8">
        <v>328125</v>
      </c>
      <c r="M56" s="8"/>
      <c r="N56" s="8"/>
      <c r="O56" s="8">
        <v>328125</v>
      </c>
      <c r="P56" s="8"/>
      <c r="R56" s="8">
        <f t="shared" si="4"/>
        <v>3532812.5</v>
      </c>
      <c r="S56" t="s">
        <v>142</v>
      </c>
      <c r="AB56" s="8"/>
      <c r="AC56" s="8">
        <v>2548437.5</v>
      </c>
      <c r="AD56" s="8"/>
      <c r="AE56" s="8"/>
      <c r="AF56" s="8"/>
      <c r="AG56" s="8"/>
      <c r="AH56" s="8"/>
      <c r="AI56" s="8"/>
      <c r="AJ56" s="8"/>
      <c r="AK56" s="8"/>
      <c r="AL56" s="8"/>
      <c r="AM56" s="8"/>
      <c r="AO56" s="8">
        <f t="shared" si="26"/>
        <v>2548437.5</v>
      </c>
    </row>
    <row r="57" spans="2:41" x14ac:dyDescent="0.35">
      <c r="B57" s="5" t="s">
        <v>10</v>
      </c>
      <c r="C57" s="19" t="s">
        <v>53</v>
      </c>
      <c r="E57" s="8"/>
      <c r="F57" s="8"/>
      <c r="G57" s="8"/>
      <c r="H57" s="8"/>
      <c r="I57" s="8"/>
      <c r="J57" s="8">
        <v>1293249.7</v>
      </c>
      <c r="K57" s="8"/>
      <c r="L57" s="8"/>
      <c r="M57" s="8"/>
      <c r="N57" s="8"/>
      <c r="O57" s="8"/>
      <c r="P57" s="8"/>
      <c r="R57" s="8">
        <f t="shared" si="4"/>
        <v>1293249.7</v>
      </c>
      <c r="V57" t="s">
        <v>96</v>
      </c>
      <c r="W57" t="s">
        <v>98</v>
      </c>
      <c r="AB57" s="8"/>
      <c r="AC57" s="8"/>
      <c r="AD57" s="8"/>
      <c r="AE57" s="8"/>
      <c r="AF57" s="8"/>
      <c r="AG57" s="8">
        <v>1293249.7</v>
      </c>
      <c r="AH57" s="8"/>
      <c r="AI57" s="8"/>
      <c r="AJ57" s="8"/>
      <c r="AK57" s="8"/>
      <c r="AL57" s="8"/>
      <c r="AM57" s="8"/>
      <c r="AO57" s="8">
        <f t="shared" si="26"/>
        <v>1293249.7</v>
      </c>
    </row>
    <row r="58" spans="2:41" x14ac:dyDescent="0.35">
      <c r="B58" s="42" t="s">
        <v>124</v>
      </c>
      <c r="C58" s="19" t="s">
        <v>53</v>
      </c>
      <c r="E58" s="14">
        <f>SUM(E50:E57)</f>
        <v>1006249.9867224999</v>
      </c>
      <c r="F58" s="14">
        <f t="shared" ref="F58:P58" si="27">SUM(F50:F57)</f>
        <v>4691379.7064307705</v>
      </c>
      <c r="G58" s="14">
        <f t="shared" si="27"/>
        <v>2137396.8599663563</v>
      </c>
      <c r="H58" s="14">
        <f t="shared" si="27"/>
        <v>2694564.8805570723</v>
      </c>
      <c r="I58" s="14">
        <f t="shared" si="27"/>
        <v>2460189.8879770725</v>
      </c>
      <c r="J58" s="14">
        <f t="shared" si="27"/>
        <v>3425314.5879770722</v>
      </c>
      <c r="K58" s="14">
        <f t="shared" si="27"/>
        <v>2694564.8805570728</v>
      </c>
      <c r="L58" s="14">
        <f t="shared" si="27"/>
        <v>2460189.8879770725</v>
      </c>
      <c r="M58" s="14">
        <f t="shared" si="27"/>
        <v>2132064.887977073</v>
      </c>
      <c r="N58" s="14">
        <f t="shared" si="27"/>
        <v>2694564.8805570728</v>
      </c>
      <c r="O58" s="14">
        <f t="shared" si="27"/>
        <v>2460189.8879770725</v>
      </c>
      <c r="P58" s="14">
        <f t="shared" si="27"/>
        <v>2132064.8879770725</v>
      </c>
      <c r="R58" s="14">
        <f t="shared" si="4"/>
        <v>30988735.222653273</v>
      </c>
      <c r="V58" s="17">
        <f>R58</f>
        <v>30988735.222653273</v>
      </c>
      <c r="W58" s="17">
        <f>30.1766857390578*10^6</f>
        <v>30176685.739057798</v>
      </c>
      <c r="X58" s="9">
        <f>V58-W58</f>
        <v>812049.48359547555</v>
      </c>
      <c r="AB58" s="14">
        <f>SUM(AB50:AB57)</f>
        <v>1016666.6532516666</v>
      </c>
      <c r="AC58" s="14">
        <f t="shared" ref="AC58:AM58" si="28">SUM(AC50:AC57)</f>
        <v>4696694.9172876514</v>
      </c>
      <c r="AD58" s="14">
        <f t="shared" si="28"/>
        <v>2148257.417287651</v>
      </c>
      <c r="AE58" s="14">
        <f t="shared" si="28"/>
        <v>2710757.4098676508</v>
      </c>
      <c r="AF58" s="14">
        <f t="shared" si="28"/>
        <v>2148257.417287651</v>
      </c>
      <c r="AG58" s="14">
        <f t="shared" si="28"/>
        <v>3441507.1172876507</v>
      </c>
      <c r="AH58" s="14">
        <f t="shared" si="28"/>
        <v>2710757.4098676508</v>
      </c>
      <c r="AI58" s="14">
        <f t="shared" si="28"/>
        <v>2148257.417287651</v>
      </c>
      <c r="AJ58" s="14">
        <f t="shared" si="28"/>
        <v>2148257.417287651</v>
      </c>
      <c r="AK58" s="14">
        <f t="shared" si="28"/>
        <v>2710757.4098676508</v>
      </c>
      <c r="AL58" s="14">
        <f t="shared" si="28"/>
        <v>2148257.417287651</v>
      </c>
      <c r="AM58" s="14">
        <f t="shared" si="28"/>
        <v>2148257.417287651</v>
      </c>
      <c r="AO58" s="14">
        <f t="shared" si="26"/>
        <v>30176685.421155833</v>
      </c>
    </row>
    <row r="59" spans="2:41" ht="6.75" customHeight="1" x14ac:dyDescent="0.35"/>
    <row r="60" spans="2:41" x14ac:dyDescent="0.35">
      <c r="B60" s="5" t="s">
        <v>75</v>
      </c>
      <c r="C60" s="19" t="s">
        <v>53</v>
      </c>
      <c r="E60" s="8"/>
      <c r="F60" s="8"/>
      <c r="G60" s="8"/>
      <c r="H60" s="8"/>
      <c r="I60" s="8"/>
      <c r="J60" s="8"/>
      <c r="K60" s="8"/>
      <c r="L60" s="8"/>
      <c r="M60" s="8"/>
      <c r="N60" s="8">
        <v>5667591.3520080559</v>
      </c>
      <c r="O60" s="8"/>
      <c r="P60" s="8"/>
      <c r="R60" s="8">
        <f t="shared" si="4"/>
        <v>5667591.3520080559</v>
      </c>
      <c r="V60" s="17">
        <f>R60</f>
        <v>5667591.3520080559</v>
      </c>
      <c r="W60" s="17">
        <f>-5*10^6</f>
        <v>-5000000</v>
      </c>
      <c r="X60" s="9">
        <f t="shared" ref="X60" si="29">V60-W60</f>
        <v>10667591.352008056</v>
      </c>
      <c r="AB60" s="8"/>
      <c r="AC60" s="8"/>
      <c r="AD60" s="8"/>
      <c r="AE60" s="8"/>
      <c r="AF60" s="8"/>
      <c r="AG60" s="8"/>
      <c r="AH60" s="8"/>
      <c r="AI60" s="8"/>
      <c r="AJ60" s="8">
        <v>-5000000</v>
      </c>
      <c r="AK60" s="8"/>
      <c r="AL60" s="8"/>
      <c r="AM60" s="8"/>
      <c r="AO60" s="8">
        <f t="shared" ref="AO60" si="30">SUM(AB60:AM60)</f>
        <v>-5000000</v>
      </c>
    </row>
    <row r="61" spans="2:41" x14ac:dyDescent="0.35">
      <c r="B61" s="5" t="s">
        <v>82</v>
      </c>
      <c r="C61" s="19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R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O61" s="8"/>
    </row>
    <row r="62" spans="2:41" x14ac:dyDescent="0.35">
      <c r="B62" s="5" t="s">
        <v>81</v>
      </c>
      <c r="C62" s="19" t="s">
        <v>53</v>
      </c>
      <c r="E62" s="8" t="e">
        <f>-MAX(3%/12*AVERAGE(E69,E69-SUM(E22,E27,E47,E58)+SUM(E60,E61)),0)</f>
        <v>#REF!</v>
      </c>
      <c r="F62" s="8" t="e">
        <f t="shared" ref="F62:P62" si="31">-MAX(3%/12*AVERAGE(F69,F69-SUM(F22,F27,F47,F58)+SUM(F60,F61)),0)</f>
        <v>#REF!</v>
      </c>
      <c r="G62" s="8" t="e">
        <f t="shared" si="31"/>
        <v>#REF!</v>
      </c>
      <c r="H62" s="8" t="e">
        <f t="shared" si="31"/>
        <v>#REF!</v>
      </c>
      <c r="I62" s="8" t="e">
        <f t="shared" si="31"/>
        <v>#REF!</v>
      </c>
      <c r="J62" s="8" t="e">
        <f t="shared" si="31"/>
        <v>#REF!</v>
      </c>
      <c r="K62" s="8" t="e">
        <f t="shared" si="31"/>
        <v>#REF!</v>
      </c>
      <c r="L62" s="8" t="e">
        <f t="shared" si="31"/>
        <v>#REF!</v>
      </c>
      <c r="M62" s="8" t="e">
        <f t="shared" si="31"/>
        <v>#REF!</v>
      </c>
      <c r="N62" s="8" t="e">
        <f t="shared" si="31"/>
        <v>#REF!</v>
      </c>
      <c r="O62" s="8" t="e">
        <f t="shared" si="31"/>
        <v>#REF!</v>
      </c>
      <c r="P62" s="8" t="e">
        <f t="shared" si="31"/>
        <v>#REF!</v>
      </c>
      <c r="R62" s="8" t="e">
        <f t="shared" ref="R62" si="32">SUM(E62:P62)</f>
        <v>#REF!</v>
      </c>
      <c r="AB62" s="8">
        <f>-MAX(3%/12*AVERAGE(AB69,AB69-SUM(AB22,AB27,AB47,AB58)+SUM(AB60,AB61)),0)</f>
        <v>-284918.75183520163</v>
      </c>
      <c r="AC62" s="8">
        <f t="shared" ref="AC62:AM62" si="33">-MAX(3%/12*AVERAGE(AC69,AC69-SUM(AC22,AC27,AC47,AC58)+SUM(AC60,AC61)),0)</f>
        <v>-278344.90905630297</v>
      </c>
      <c r="AD62" s="8">
        <f t="shared" si="33"/>
        <v>-270340.14321541216</v>
      </c>
      <c r="AE62" s="8">
        <f t="shared" si="33"/>
        <v>-264797.78734419402</v>
      </c>
      <c r="AF62" s="8">
        <f t="shared" si="33"/>
        <v>-259241.57558329788</v>
      </c>
      <c r="AG62" s="8">
        <f t="shared" si="33"/>
        <v>-252758.03615872451</v>
      </c>
      <c r="AH62" s="8">
        <f t="shared" si="33"/>
        <v>-245555.16289486468</v>
      </c>
      <c r="AI62" s="8">
        <f t="shared" si="33"/>
        <v>-239950.84457284521</v>
      </c>
      <c r="AJ62" s="8">
        <f t="shared" si="33"/>
        <v>-228785.6404457457</v>
      </c>
      <c r="AK62" s="8">
        <f t="shared" si="33"/>
        <v>-241889.39831760342</v>
      </c>
      <c r="AL62" s="8">
        <f t="shared" si="33"/>
        <v>-236275.91558414081</v>
      </c>
      <c r="AM62" s="8">
        <f t="shared" si="33"/>
        <v>-230984.0241364445</v>
      </c>
      <c r="AO62" s="8">
        <f t="shared" ref="AO62" si="34">SUM(AB62:AM62)</f>
        <v>-3033842.1891447776</v>
      </c>
    </row>
    <row r="63" spans="2:41" x14ac:dyDescent="0.35"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R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O63" s="4"/>
    </row>
    <row r="64" spans="2:41" x14ac:dyDescent="0.35">
      <c r="B64" s="5" t="s">
        <v>2</v>
      </c>
      <c r="C64" s="19" t="s">
        <v>53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R64" s="8">
        <f t="shared" ref="R64:R65" si="35">SUM(E64:P64)</f>
        <v>0</v>
      </c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O64" s="8">
        <f t="shared" ref="AO64:AO65" si="36">SUM(AB64:AM64)</f>
        <v>0</v>
      </c>
    </row>
    <row r="65" spans="2:41" x14ac:dyDescent="0.35">
      <c r="B65" s="5" t="s">
        <v>3</v>
      </c>
      <c r="C65" s="19" t="s">
        <v>53</v>
      </c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R65" s="8">
        <f t="shared" si="35"/>
        <v>0</v>
      </c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O65" s="8">
        <f t="shared" si="36"/>
        <v>0</v>
      </c>
    </row>
    <row r="66" spans="2:41" ht="6" customHeight="1" x14ac:dyDescent="0.35"/>
    <row r="67" spans="2:41" x14ac:dyDescent="0.35">
      <c r="B67" s="42" t="s">
        <v>19</v>
      </c>
      <c r="C67" s="19" t="s">
        <v>53</v>
      </c>
      <c r="E67" s="14" t="e">
        <f>E58+E47+E27+E22+SUM(E60:E62)+SUM(E64:E65)</f>
        <v>#REF!</v>
      </c>
      <c r="F67" s="14" t="e">
        <f t="shared" ref="F67:P67" si="37">F58+F47+F27+F22+SUM(F60:F62)+SUM(F64:F65)</f>
        <v>#REF!</v>
      </c>
      <c r="G67" s="14" t="e">
        <f t="shared" si="37"/>
        <v>#REF!</v>
      </c>
      <c r="H67" s="14" t="e">
        <f t="shared" si="37"/>
        <v>#REF!</v>
      </c>
      <c r="I67" s="14" t="e">
        <f t="shared" si="37"/>
        <v>#REF!</v>
      </c>
      <c r="J67" s="14" t="e">
        <f t="shared" si="37"/>
        <v>#REF!</v>
      </c>
      <c r="K67" s="14" t="e">
        <f t="shared" si="37"/>
        <v>#REF!</v>
      </c>
      <c r="L67" s="14" t="e">
        <f t="shared" si="37"/>
        <v>#REF!</v>
      </c>
      <c r="M67" s="14" t="e">
        <f t="shared" si="37"/>
        <v>#REF!</v>
      </c>
      <c r="N67" s="14" t="e">
        <f t="shared" si="37"/>
        <v>#REF!</v>
      </c>
      <c r="O67" s="14" t="e">
        <f t="shared" si="37"/>
        <v>#REF!</v>
      </c>
      <c r="P67" s="14" t="e">
        <f t="shared" si="37"/>
        <v>#REF!</v>
      </c>
      <c r="R67" s="14" t="e">
        <f t="shared" ref="R67" si="38">SUM(E67:P67)</f>
        <v>#REF!</v>
      </c>
      <c r="AB67" s="14">
        <f>AB58+AB47+AB27+AB22+SUM(AB60:AB62)+SUM(AB64:AB65)</f>
        <v>789522.97954146494</v>
      </c>
      <c r="AC67" s="14">
        <f t="shared" ref="AC67:AM67" si="39">AC58+AC47+AC27+AC22+SUM(AC60:AC62)+SUM(AC64:AC65)</f>
        <v>4476125.0863563484</v>
      </c>
      <c r="AD67" s="14">
        <f t="shared" si="39"/>
        <v>1935692.3521972387</v>
      </c>
      <c r="AE67" s="14">
        <f t="shared" si="39"/>
        <v>2503734.7006484568</v>
      </c>
      <c r="AF67" s="14">
        <f t="shared" si="39"/>
        <v>1946790.9198293532</v>
      </c>
      <c r="AG67" s="14">
        <f t="shared" si="39"/>
        <v>3246524.159253926</v>
      </c>
      <c r="AH67" s="14">
        <f t="shared" si="39"/>
        <v>2522977.3250977863</v>
      </c>
      <c r="AI67" s="14">
        <f t="shared" si="39"/>
        <v>1966081.6508398058</v>
      </c>
      <c r="AJ67" s="14">
        <f t="shared" si="39"/>
        <v>-3022753.1450330946</v>
      </c>
      <c r="AK67" s="14">
        <f t="shared" si="39"/>
        <v>2526643.0896750474</v>
      </c>
      <c r="AL67" s="14">
        <f t="shared" si="39"/>
        <v>1969756.5798285101</v>
      </c>
      <c r="AM67" s="14">
        <f t="shared" si="39"/>
        <v>2269048.4697762066</v>
      </c>
      <c r="AO67" s="14">
        <f t="shared" ref="AO67" si="40">SUM(AB67:AM67)</f>
        <v>23130144.168011047</v>
      </c>
    </row>
    <row r="68" spans="2:41" x14ac:dyDescent="0.35">
      <c r="R68" s="18" t="e">
        <f>R67/12</f>
        <v>#REF!</v>
      </c>
      <c r="AO68" s="18">
        <f>AO67/12</f>
        <v>1927512.0140009206</v>
      </c>
    </row>
    <row r="69" spans="2:41" x14ac:dyDescent="0.35">
      <c r="B69" s="5" t="s">
        <v>51</v>
      </c>
      <c r="C69" s="19" t="s">
        <v>53</v>
      </c>
      <c r="E69" s="14">
        <f>118571222.46</f>
        <v>118571222.45999999</v>
      </c>
      <c r="F69" s="14" t="e">
        <f>E70</f>
        <v>#REF!</v>
      </c>
      <c r="G69" s="14" t="e">
        <f t="shared" ref="G69:P69" si="41">F70</f>
        <v>#REF!</v>
      </c>
      <c r="H69" s="14" t="e">
        <f t="shared" si="41"/>
        <v>#REF!</v>
      </c>
      <c r="I69" s="14" t="e">
        <f t="shared" si="41"/>
        <v>#REF!</v>
      </c>
      <c r="J69" s="14" t="e">
        <f t="shared" si="41"/>
        <v>#REF!</v>
      </c>
      <c r="K69" s="14" t="e">
        <f t="shared" si="41"/>
        <v>#REF!</v>
      </c>
      <c r="L69" s="14" t="e">
        <f t="shared" si="41"/>
        <v>#REF!</v>
      </c>
      <c r="M69" s="14" t="e">
        <f t="shared" si="41"/>
        <v>#REF!</v>
      </c>
      <c r="N69" s="14" t="e">
        <f t="shared" si="41"/>
        <v>#REF!</v>
      </c>
      <c r="O69" s="14" t="e">
        <f t="shared" si="41"/>
        <v>#REF!</v>
      </c>
      <c r="P69" s="14" t="e">
        <f t="shared" si="41"/>
        <v>#REF!</v>
      </c>
      <c r="AB69" s="14">
        <f>118571222.46-4066500.86023101</f>
        <v>114504721.59976898</v>
      </c>
      <c r="AC69" s="14">
        <f>AB70</f>
        <v>113715198.62022752</v>
      </c>
      <c r="AD69" s="14">
        <f t="shared" ref="AD69:AM69" si="42">AC70</f>
        <v>109239073.53387117</v>
      </c>
      <c r="AE69" s="14">
        <f t="shared" si="42"/>
        <v>107303381.18167393</v>
      </c>
      <c r="AF69" s="14">
        <f t="shared" si="42"/>
        <v>104799646.48102547</v>
      </c>
      <c r="AG69" s="14">
        <f t="shared" si="42"/>
        <v>102852855.56119612</v>
      </c>
      <c r="AH69" s="14">
        <f t="shared" si="42"/>
        <v>99606331.401942194</v>
      </c>
      <c r="AI69" s="14">
        <f t="shared" si="42"/>
        <v>97083354.076844409</v>
      </c>
      <c r="AJ69" s="14">
        <f t="shared" si="42"/>
        <v>95117272.426004604</v>
      </c>
      <c r="AK69" s="14">
        <f t="shared" si="42"/>
        <v>98140025.571037695</v>
      </c>
      <c r="AL69" s="14">
        <f t="shared" si="42"/>
        <v>95613382.481362641</v>
      </c>
      <c r="AM69" s="14">
        <f t="shared" si="42"/>
        <v>93643625.901534125</v>
      </c>
    </row>
    <row r="70" spans="2:41" x14ac:dyDescent="0.35">
      <c r="B70" s="5" t="s">
        <v>52</v>
      </c>
      <c r="C70" s="19" t="s">
        <v>53</v>
      </c>
      <c r="E70" s="14" t="e">
        <f>E69-E67</f>
        <v>#REF!</v>
      </c>
      <c r="F70" s="14" t="e">
        <f>F69-F67</f>
        <v>#REF!</v>
      </c>
      <c r="G70" s="14" t="e">
        <f t="shared" ref="G70:P70" si="43">G69-G67</f>
        <v>#REF!</v>
      </c>
      <c r="H70" s="14" t="e">
        <f t="shared" si="43"/>
        <v>#REF!</v>
      </c>
      <c r="I70" s="14" t="e">
        <f t="shared" si="43"/>
        <v>#REF!</v>
      </c>
      <c r="J70" s="14" t="e">
        <f t="shared" si="43"/>
        <v>#REF!</v>
      </c>
      <c r="K70" s="14" t="e">
        <f t="shared" si="43"/>
        <v>#REF!</v>
      </c>
      <c r="L70" s="14" t="e">
        <f t="shared" si="43"/>
        <v>#REF!</v>
      </c>
      <c r="M70" s="14" t="e">
        <f t="shared" si="43"/>
        <v>#REF!</v>
      </c>
      <c r="N70" s="14" t="e">
        <f t="shared" si="43"/>
        <v>#REF!</v>
      </c>
      <c r="O70" s="14" t="e">
        <f t="shared" si="43"/>
        <v>#REF!</v>
      </c>
      <c r="P70" s="14" t="e">
        <f t="shared" si="43"/>
        <v>#REF!</v>
      </c>
      <c r="AB70" s="14">
        <f>AB69-AB67</f>
        <v>113715198.62022752</v>
      </c>
      <c r="AC70" s="14">
        <f>AC69-AC67</f>
        <v>109239073.53387117</v>
      </c>
      <c r="AD70" s="14">
        <f t="shared" ref="AD70:AM70" si="44">AD69-AD67</f>
        <v>107303381.18167393</v>
      </c>
      <c r="AE70" s="14">
        <f t="shared" si="44"/>
        <v>104799646.48102547</v>
      </c>
      <c r="AF70" s="14">
        <f t="shared" si="44"/>
        <v>102852855.56119612</v>
      </c>
      <c r="AG70" s="14">
        <f t="shared" si="44"/>
        <v>99606331.401942194</v>
      </c>
      <c r="AH70" s="14">
        <f t="shared" si="44"/>
        <v>97083354.076844409</v>
      </c>
      <c r="AI70" s="14">
        <f t="shared" si="44"/>
        <v>95117272.426004604</v>
      </c>
      <c r="AJ70" s="14">
        <f t="shared" si="44"/>
        <v>98140025.571037695</v>
      </c>
      <c r="AK70" s="14">
        <f t="shared" si="44"/>
        <v>95613382.481362641</v>
      </c>
      <c r="AL70" s="14">
        <f t="shared" si="44"/>
        <v>93643625.901534125</v>
      </c>
      <c r="AM70" s="14">
        <f t="shared" si="44"/>
        <v>91374577.431757912</v>
      </c>
    </row>
    <row r="74" spans="2:41" x14ac:dyDescent="0.35">
      <c r="B74" s="3" t="s">
        <v>8</v>
      </c>
      <c r="C74" s="3"/>
      <c r="E74" s="11">
        <v>45658</v>
      </c>
      <c r="F74" s="11">
        <f t="shared" ref="F74:J74" si="45">EDATE(E74,1)</f>
        <v>45689</v>
      </c>
      <c r="G74" s="11">
        <f t="shared" si="45"/>
        <v>45717</v>
      </c>
      <c r="H74" s="11">
        <f t="shared" si="45"/>
        <v>45748</v>
      </c>
      <c r="I74" s="11">
        <f t="shared" si="45"/>
        <v>45778</v>
      </c>
      <c r="J74" s="11">
        <f t="shared" si="45"/>
        <v>45809</v>
      </c>
      <c r="K74" s="11">
        <f>EDATE(J74,1)</f>
        <v>45839</v>
      </c>
      <c r="L74" s="11">
        <f t="shared" ref="L74:N74" si="46">EDATE(K74,1)</f>
        <v>45870</v>
      </c>
      <c r="M74" s="11">
        <f t="shared" si="46"/>
        <v>45901</v>
      </c>
      <c r="N74" s="11">
        <f t="shared" si="46"/>
        <v>45931</v>
      </c>
      <c r="O74" s="11">
        <f>EDATE(N74,1)</f>
        <v>45962</v>
      </c>
      <c r="P74" s="11">
        <f t="shared" ref="P74" si="47">EDATE(O74,1)</f>
        <v>45992</v>
      </c>
      <c r="R74" s="15">
        <v>2025</v>
      </c>
      <c r="AB74" s="11">
        <v>45658</v>
      </c>
      <c r="AC74" s="11">
        <f t="shared" ref="AC74:AG74" si="48">EDATE(AB74,1)</f>
        <v>45689</v>
      </c>
      <c r="AD74" s="11">
        <f t="shared" si="48"/>
        <v>45717</v>
      </c>
      <c r="AE74" s="11">
        <f t="shared" si="48"/>
        <v>45748</v>
      </c>
      <c r="AF74" s="11">
        <f t="shared" si="48"/>
        <v>45778</v>
      </c>
      <c r="AG74" s="11">
        <f t="shared" si="48"/>
        <v>45809</v>
      </c>
      <c r="AH74" s="11">
        <f>EDATE(AG74,1)</f>
        <v>45839</v>
      </c>
      <c r="AI74" s="11">
        <f t="shared" ref="AI74:AK74" si="49">EDATE(AH74,1)</f>
        <v>45870</v>
      </c>
      <c r="AJ74" s="11">
        <f t="shared" si="49"/>
        <v>45901</v>
      </c>
      <c r="AK74" s="11">
        <f t="shared" si="49"/>
        <v>45931</v>
      </c>
      <c r="AL74" s="11">
        <f>EDATE(AK74,1)</f>
        <v>45962</v>
      </c>
      <c r="AM74" s="11">
        <f t="shared" ref="AM74" si="50">EDATE(AL74,1)</f>
        <v>45992</v>
      </c>
      <c r="AO74" s="15">
        <v>2025</v>
      </c>
    </row>
    <row r="76" spans="2:41" x14ac:dyDescent="0.35">
      <c r="B76" s="5" t="s">
        <v>79</v>
      </c>
      <c r="C76" s="19" t="s">
        <v>54</v>
      </c>
      <c r="E76" s="8" t="e">
        <f>#REF!</f>
        <v>#REF!</v>
      </c>
      <c r="F76" s="8" t="e">
        <f>#REF!</f>
        <v>#REF!</v>
      </c>
      <c r="G76" s="8" t="e">
        <f>#REF!</f>
        <v>#REF!</v>
      </c>
      <c r="H76" s="8" t="e">
        <f>#REF!</f>
        <v>#REF!</v>
      </c>
      <c r="I76" s="8" t="e">
        <f>#REF!</f>
        <v>#REF!</v>
      </c>
      <c r="J76" s="8" t="e">
        <f>#REF!</f>
        <v>#REF!</v>
      </c>
      <c r="K76" s="8" t="e">
        <f>#REF!</f>
        <v>#REF!</v>
      </c>
      <c r="L76" s="8" t="e">
        <f>#REF!</f>
        <v>#REF!</v>
      </c>
      <c r="M76" s="8" t="e">
        <f>#REF!</f>
        <v>#REF!</v>
      </c>
      <c r="N76" s="8" t="e">
        <f>#REF!</f>
        <v>#REF!</v>
      </c>
      <c r="O76" s="8" t="e">
        <f>#REF!</f>
        <v>#REF!</v>
      </c>
      <c r="P76" s="8" t="e">
        <f>#REF!</f>
        <v>#REF!</v>
      </c>
      <c r="R76" s="8" t="e">
        <f t="shared" ref="R76:R78" si="51">SUM(E76:P76)</f>
        <v>#REF!</v>
      </c>
      <c r="S76" t="s">
        <v>118</v>
      </c>
      <c r="V76" s="17" t="e">
        <f>R77+R76</f>
        <v>#REF!</v>
      </c>
      <c r="W76" s="17"/>
      <c r="X76" s="9"/>
      <c r="AB76" s="8" t="e">
        <f>#REF!</f>
        <v>#REF!</v>
      </c>
      <c r="AC76" s="8" t="e">
        <f>#REF!</f>
        <v>#REF!</v>
      </c>
      <c r="AD76" s="8" t="e">
        <f>#REF!</f>
        <v>#REF!</v>
      </c>
      <c r="AE76" s="8" t="e">
        <f>#REF!</f>
        <v>#REF!</v>
      </c>
      <c r="AF76" s="8" t="e">
        <f>#REF!</f>
        <v>#REF!</v>
      </c>
      <c r="AG76" s="8" t="e">
        <f>#REF!</f>
        <v>#REF!</v>
      </c>
      <c r="AH76" s="8" t="e">
        <f>#REF!</f>
        <v>#REF!</v>
      </c>
      <c r="AI76" s="8" t="e">
        <f>#REF!</f>
        <v>#REF!</v>
      </c>
      <c r="AJ76" s="8" t="e">
        <f>#REF!</f>
        <v>#REF!</v>
      </c>
      <c r="AK76" s="8" t="e">
        <f>#REF!</f>
        <v>#REF!</v>
      </c>
      <c r="AL76" s="8" t="e">
        <f>#REF!</f>
        <v>#REF!</v>
      </c>
      <c r="AM76" s="8" t="e">
        <f>#REF!</f>
        <v>#REF!</v>
      </c>
      <c r="AO76" s="8" t="e">
        <f t="shared" ref="AO76:AO78" si="52">SUM(AB76:AM76)</f>
        <v>#REF!</v>
      </c>
    </row>
    <row r="77" spans="2:41" x14ac:dyDescent="0.35">
      <c r="B77" s="5" t="s">
        <v>78</v>
      </c>
      <c r="C77" s="19" t="s">
        <v>54</v>
      </c>
      <c r="E77" s="8" t="e">
        <f>#REF!</f>
        <v>#REF!</v>
      </c>
      <c r="F77" s="8" t="e">
        <f>#REF!</f>
        <v>#REF!</v>
      </c>
      <c r="G77" s="8" t="e">
        <f>#REF!</f>
        <v>#REF!</v>
      </c>
      <c r="H77" s="8" t="e">
        <f>#REF!</f>
        <v>#REF!</v>
      </c>
      <c r="I77" s="8" t="e">
        <f>#REF!</f>
        <v>#REF!</v>
      </c>
      <c r="J77" s="8" t="e">
        <f>#REF!</f>
        <v>#REF!</v>
      </c>
      <c r="K77" s="8" t="e">
        <f>#REF!</f>
        <v>#REF!</v>
      </c>
      <c r="L77" s="8" t="e">
        <f>#REF!</f>
        <v>#REF!</v>
      </c>
      <c r="M77" s="8" t="e">
        <f>#REF!</f>
        <v>#REF!</v>
      </c>
      <c r="N77" s="8" t="e">
        <f>#REF!</f>
        <v>#REF!</v>
      </c>
      <c r="O77" s="8" t="e">
        <f>#REF!</f>
        <v>#REF!</v>
      </c>
      <c r="P77" s="8" t="e">
        <f>#REF!</f>
        <v>#REF!</v>
      </c>
      <c r="R77" s="8" t="e">
        <f>SUM(E77:P77)</f>
        <v>#REF!</v>
      </c>
      <c r="V77" t="s">
        <v>96</v>
      </c>
      <c r="W77" t="s">
        <v>14</v>
      </c>
      <c r="X77" t="s">
        <v>97</v>
      </c>
      <c r="AB77" s="8" t="e">
        <f>#REF!</f>
        <v>#REF!</v>
      </c>
      <c r="AC77" s="8" t="e">
        <f>#REF!</f>
        <v>#REF!</v>
      </c>
      <c r="AD77" s="8" t="e">
        <f>#REF!</f>
        <v>#REF!</v>
      </c>
      <c r="AE77" s="8" t="e">
        <f>#REF!</f>
        <v>#REF!</v>
      </c>
      <c r="AF77" s="8" t="e">
        <f>#REF!</f>
        <v>#REF!</v>
      </c>
      <c r="AG77" s="8" t="e">
        <f>#REF!</f>
        <v>#REF!</v>
      </c>
      <c r="AH77" s="8" t="e">
        <f>#REF!</f>
        <v>#REF!</v>
      </c>
      <c r="AI77" s="8" t="e">
        <f>#REF!</f>
        <v>#REF!</v>
      </c>
      <c r="AJ77" s="8" t="e">
        <f>#REF!</f>
        <v>#REF!</v>
      </c>
      <c r="AK77" s="8" t="e">
        <f>#REF!</f>
        <v>#REF!</v>
      </c>
      <c r="AL77" s="8" t="e">
        <f>#REF!</f>
        <v>#REF!</v>
      </c>
      <c r="AM77" s="8" t="e">
        <f>#REF!</f>
        <v>#REF!</v>
      </c>
      <c r="AO77" s="8" t="e">
        <f>SUM(AB77:AM77)</f>
        <v>#REF!</v>
      </c>
    </row>
    <row r="78" spans="2:41" x14ac:dyDescent="0.35">
      <c r="B78" s="5" t="s">
        <v>126</v>
      </c>
      <c r="C78" s="19" t="s">
        <v>54</v>
      </c>
      <c r="E78" s="8" t="e">
        <f t="shared" ref="E78:P78" si="53">-MAX(3%/12*AVERAGE(E84,E84-SUM(E76:E76)),0)</f>
        <v>#REF!</v>
      </c>
      <c r="F78" s="8" t="e">
        <f t="shared" si="53"/>
        <v>#REF!</v>
      </c>
      <c r="G78" s="8" t="e">
        <f t="shared" si="53"/>
        <v>#REF!</v>
      </c>
      <c r="H78" s="8" t="e">
        <f t="shared" si="53"/>
        <v>#REF!</v>
      </c>
      <c r="I78" s="8" t="e">
        <f t="shared" si="53"/>
        <v>#REF!</v>
      </c>
      <c r="J78" s="8" t="e">
        <f t="shared" si="53"/>
        <v>#REF!</v>
      </c>
      <c r="K78" s="8" t="e">
        <f t="shared" si="53"/>
        <v>#REF!</v>
      </c>
      <c r="L78" s="8" t="e">
        <f t="shared" si="53"/>
        <v>#REF!</v>
      </c>
      <c r="M78" s="8" t="e">
        <f t="shared" si="53"/>
        <v>#REF!</v>
      </c>
      <c r="N78" s="8" t="e">
        <f t="shared" si="53"/>
        <v>#REF!</v>
      </c>
      <c r="O78" s="8" t="e">
        <f t="shared" si="53"/>
        <v>#REF!</v>
      </c>
      <c r="P78" s="8" t="e">
        <f t="shared" si="53"/>
        <v>#REF!</v>
      </c>
      <c r="R78" s="8" t="e">
        <f t="shared" si="51"/>
        <v>#REF!</v>
      </c>
      <c r="V78" s="17"/>
      <c r="W78" s="17"/>
      <c r="X78" s="9"/>
      <c r="AB78" s="8" t="e">
        <f t="shared" ref="AB78:AM78" si="54">-MAX(3%/12*AVERAGE(AB84,AB84-SUM(AB76:AB76)),0)</f>
        <v>#REF!</v>
      </c>
      <c r="AC78" s="8" t="e">
        <f t="shared" si="54"/>
        <v>#REF!</v>
      </c>
      <c r="AD78" s="8" t="e">
        <f t="shared" si="54"/>
        <v>#REF!</v>
      </c>
      <c r="AE78" s="8" t="e">
        <f t="shared" si="54"/>
        <v>#REF!</v>
      </c>
      <c r="AF78" s="8" t="e">
        <f t="shared" si="54"/>
        <v>#REF!</v>
      </c>
      <c r="AG78" s="8" t="e">
        <f t="shared" si="54"/>
        <v>#REF!</v>
      </c>
      <c r="AH78" s="8" t="e">
        <f t="shared" si="54"/>
        <v>#REF!</v>
      </c>
      <c r="AI78" s="8" t="e">
        <f t="shared" si="54"/>
        <v>#REF!</v>
      </c>
      <c r="AJ78" s="8" t="e">
        <f t="shared" si="54"/>
        <v>#REF!</v>
      </c>
      <c r="AK78" s="8" t="e">
        <f t="shared" si="54"/>
        <v>#REF!</v>
      </c>
      <c r="AL78" s="8" t="e">
        <f t="shared" si="54"/>
        <v>#REF!</v>
      </c>
      <c r="AM78" s="8" t="e">
        <f t="shared" si="54"/>
        <v>#REF!</v>
      </c>
      <c r="AO78" s="8" t="e">
        <f t="shared" si="52"/>
        <v>#REF!</v>
      </c>
    </row>
    <row r="79" spans="2:41" x14ac:dyDescent="0.35">
      <c r="B79" s="5" t="s">
        <v>80</v>
      </c>
      <c r="C79" s="19" t="s">
        <v>54</v>
      </c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R79" s="8"/>
      <c r="V79" s="17"/>
      <c r="W79" s="17"/>
      <c r="X79" s="9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O79" s="8"/>
    </row>
    <row r="80" spans="2:41" x14ac:dyDescent="0.35">
      <c r="E80" s="14" t="e">
        <f t="shared" ref="E80:P80" si="55">SUM(E76:E76)</f>
        <v>#REF!</v>
      </c>
      <c r="F80" s="14" t="e">
        <f t="shared" si="55"/>
        <v>#REF!</v>
      </c>
      <c r="G80" s="14" t="e">
        <f t="shared" si="55"/>
        <v>#REF!</v>
      </c>
      <c r="H80" s="14" t="e">
        <f t="shared" si="55"/>
        <v>#REF!</v>
      </c>
      <c r="I80" s="14" t="e">
        <f t="shared" si="55"/>
        <v>#REF!</v>
      </c>
      <c r="J80" s="14" t="e">
        <f t="shared" si="55"/>
        <v>#REF!</v>
      </c>
      <c r="K80" s="14" t="e">
        <f t="shared" si="55"/>
        <v>#REF!</v>
      </c>
      <c r="L80" s="14" t="e">
        <f t="shared" si="55"/>
        <v>#REF!</v>
      </c>
      <c r="M80" s="14" t="e">
        <f t="shared" si="55"/>
        <v>#REF!</v>
      </c>
      <c r="N80" s="14" t="e">
        <f t="shared" si="55"/>
        <v>#REF!</v>
      </c>
      <c r="O80" s="14" t="e">
        <f t="shared" si="55"/>
        <v>#REF!</v>
      </c>
      <c r="P80" s="14" t="e">
        <f t="shared" si="55"/>
        <v>#REF!</v>
      </c>
      <c r="R80" s="14" t="e">
        <f>SUM(R76:R76)</f>
        <v>#REF!</v>
      </c>
      <c r="S80" t="s">
        <v>119</v>
      </c>
      <c r="V80" s="17" t="e">
        <f>V76*0.92</f>
        <v>#REF!</v>
      </c>
      <c r="W80" s="17">
        <f>21793918.379759*0.92*0.9</f>
        <v>18045364.41844045</v>
      </c>
      <c r="X80" s="35" t="e">
        <f>V80-W80</f>
        <v>#REF!</v>
      </c>
      <c r="Y80" t="s">
        <v>101</v>
      </c>
      <c r="AB80" s="14" t="e">
        <f t="shared" ref="AB80:AM80" si="56">SUM(AB76:AB76)</f>
        <v>#REF!</v>
      </c>
      <c r="AC80" s="14" t="e">
        <f t="shared" si="56"/>
        <v>#REF!</v>
      </c>
      <c r="AD80" s="14" t="e">
        <f t="shared" si="56"/>
        <v>#REF!</v>
      </c>
      <c r="AE80" s="14" t="e">
        <f t="shared" si="56"/>
        <v>#REF!</v>
      </c>
      <c r="AF80" s="14" t="e">
        <f t="shared" si="56"/>
        <v>#REF!</v>
      </c>
      <c r="AG80" s="14" t="e">
        <f t="shared" si="56"/>
        <v>#REF!</v>
      </c>
      <c r="AH80" s="14" t="e">
        <f t="shared" si="56"/>
        <v>#REF!</v>
      </c>
      <c r="AI80" s="14" t="e">
        <f t="shared" si="56"/>
        <v>#REF!</v>
      </c>
      <c r="AJ80" s="14" t="e">
        <f t="shared" si="56"/>
        <v>#REF!</v>
      </c>
      <c r="AK80" s="14" t="e">
        <f t="shared" si="56"/>
        <v>#REF!</v>
      </c>
      <c r="AL80" s="14" t="e">
        <f t="shared" si="56"/>
        <v>#REF!</v>
      </c>
      <c r="AM80" s="14" t="e">
        <f t="shared" si="56"/>
        <v>#REF!</v>
      </c>
      <c r="AO80" s="14" t="e">
        <f>SUM(AO76:AO76)</f>
        <v>#REF!</v>
      </c>
    </row>
    <row r="82" spans="2:40" x14ac:dyDescent="0.35">
      <c r="B82" s="3" t="s">
        <v>125</v>
      </c>
    </row>
    <row r="84" spans="2:40" x14ac:dyDescent="0.35">
      <c r="B84" s="5" t="s">
        <v>57</v>
      </c>
      <c r="C84" s="19" t="s">
        <v>54</v>
      </c>
      <c r="E84" s="14">
        <v>13830882</v>
      </c>
      <c r="F84" s="14" t="e">
        <f>E85</f>
        <v>#REF!</v>
      </c>
      <c r="G84" s="14" t="e">
        <f t="shared" ref="G84:P84" si="57">F85</f>
        <v>#REF!</v>
      </c>
      <c r="H84" s="14" t="e">
        <f t="shared" si="57"/>
        <v>#REF!</v>
      </c>
      <c r="I84" s="14" t="e">
        <f t="shared" si="57"/>
        <v>#REF!</v>
      </c>
      <c r="J84" s="14" t="e">
        <f t="shared" si="57"/>
        <v>#REF!</v>
      </c>
      <c r="K84" s="14" t="e">
        <f t="shared" si="57"/>
        <v>#REF!</v>
      </c>
      <c r="L84" s="14" t="e">
        <f t="shared" si="57"/>
        <v>#REF!</v>
      </c>
      <c r="M84" s="14" t="e">
        <f t="shared" si="57"/>
        <v>#REF!</v>
      </c>
      <c r="N84" s="14" t="e">
        <f t="shared" si="57"/>
        <v>#REF!</v>
      </c>
      <c r="O84" s="14" t="e">
        <f t="shared" si="57"/>
        <v>#REF!</v>
      </c>
      <c r="P84" s="14" t="e">
        <f t="shared" si="57"/>
        <v>#REF!</v>
      </c>
      <c r="AB84" s="14">
        <v>13830882</v>
      </c>
      <c r="AC84" s="14" t="e">
        <f>AB85</f>
        <v>#REF!</v>
      </c>
      <c r="AD84" s="14" t="e">
        <f t="shared" ref="AD84:AM84" si="58">AC85</f>
        <v>#REF!</v>
      </c>
      <c r="AE84" s="14" t="e">
        <f t="shared" si="58"/>
        <v>#REF!</v>
      </c>
      <c r="AF84" s="14" t="e">
        <f t="shared" si="58"/>
        <v>#REF!</v>
      </c>
      <c r="AG84" s="14" t="e">
        <f t="shared" si="58"/>
        <v>#REF!</v>
      </c>
      <c r="AH84" s="14" t="e">
        <f t="shared" si="58"/>
        <v>#REF!</v>
      </c>
      <c r="AI84" s="14" t="e">
        <f t="shared" si="58"/>
        <v>#REF!</v>
      </c>
      <c r="AJ84" s="14" t="e">
        <f t="shared" si="58"/>
        <v>#REF!</v>
      </c>
      <c r="AK84" s="14" t="e">
        <f t="shared" si="58"/>
        <v>#REF!</v>
      </c>
      <c r="AL84" s="14" t="e">
        <f t="shared" si="58"/>
        <v>#REF!</v>
      </c>
      <c r="AM84" s="14" t="e">
        <f t="shared" si="58"/>
        <v>#REF!</v>
      </c>
    </row>
    <row r="85" spans="2:40" x14ac:dyDescent="0.35">
      <c r="B85" s="5" t="s">
        <v>58</v>
      </c>
      <c r="C85" s="19" t="s">
        <v>54</v>
      </c>
      <c r="E85" s="14" t="e">
        <f t="shared" ref="E85:P85" si="59">E84-E80</f>
        <v>#REF!</v>
      </c>
      <c r="F85" s="14" t="e">
        <f t="shared" si="59"/>
        <v>#REF!</v>
      </c>
      <c r="G85" s="14" t="e">
        <f t="shared" si="59"/>
        <v>#REF!</v>
      </c>
      <c r="H85" s="14" t="e">
        <f t="shared" si="59"/>
        <v>#REF!</v>
      </c>
      <c r="I85" s="14" t="e">
        <f t="shared" si="59"/>
        <v>#REF!</v>
      </c>
      <c r="J85" s="14" t="e">
        <f t="shared" si="59"/>
        <v>#REF!</v>
      </c>
      <c r="K85" s="14" t="e">
        <f t="shared" si="59"/>
        <v>#REF!</v>
      </c>
      <c r="L85" s="14" t="e">
        <f t="shared" si="59"/>
        <v>#REF!</v>
      </c>
      <c r="M85" s="14" t="e">
        <f t="shared" si="59"/>
        <v>#REF!</v>
      </c>
      <c r="N85" s="14" t="e">
        <f t="shared" si="59"/>
        <v>#REF!</v>
      </c>
      <c r="O85" s="14" t="e">
        <f t="shared" si="59"/>
        <v>#REF!</v>
      </c>
      <c r="P85" s="14" t="e">
        <f t="shared" si="59"/>
        <v>#REF!</v>
      </c>
      <c r="AB85" s="14" t="e">
        <f t="shared" ref="AB85:AM85" si="60">AB84-AB80</f>
        <v>#REF!</v>
      </c>
      <c r="AC85" s="14" t="e">
        <f t="shared" si="60"/>
        <v>#REF!</v>
      </c>
      <c r="AD85" s="14" t="e">
        <f t="shared" si="60"/>
        <v>#REF!</v>
      </c>
      <c r="AE85" s="14" t="e">
        <f t="shared" si="60"/>
        <v>#REF!</v>
      </c>
      <c r="AF85" s="14" t="e">
        <f t="shared" si="60"/>
        <v>#REF!</v>
      </c>
      <c r="AG85" s="14" t="e">
        <f t="shared" si="60"/>
        <v>#REF!</v>
      </c>
      <c r="AH85" s="14" t="e">
        <f t="shared" si="60"/>
        <v>#REF!</v>
      </c>
      <c r="AI85" s="14" t="e">
        <f t="shared" si="60"/>
        <v>#REF!</v>
      </c>
      <c r="AJ85" s="14" t="e">
        <f t="shared" si="60"/>
        <v>#REF!</v>
      </c>
      <c r="AK85" s="14" t="e">
        <f t="shared" si="60"/>
        <v>#REF!</v>
      </c>
      <c r="AL85" s="14" t="e">
        <f t="shared" si="60"/>
        <v>#REF!</v>
      </c>
      <c r="AM85" s="14" t="e">
        <f t="shared" si="60"/>
        <v>#REF!</v>
      </c>
    </row>
    <row r="87" spans="2:40" x14ac:dyDescent="0.35">
      <c r="B87" s="5" t="s">
        <v>73</v>
      </c>
      <c r="C87" s="19" t="s">
        <v>54</v>
      </c>
      <c r="E87" s="33">
        <v>1.0388999999999999</v>
      </c>
      <c r="F87" s="33">
        <f t="shared" ref="F87:P88" si="61">1/0.92</f>
        <v>1.0869565217391304</v>
      </c>
      <c r="G87" s="33">
        <f t="shared" si="61"/>
        <v>1.0869565217391304</v>
      </c>
      <c r="H87" s="33">
        <f t="shared" si="61"/>
        <v>1.0869565217391304</v>
      </c>
      <c r="I87" s="33">
        <f t="shared" si="61"/>
        <v>1.0869565217391304</v>
      </c>
      <c r="J87" s="33">
        <f t="shared" si="61"/>
        <v>1.0869565217391304</v>
      </c>
      <c r="K87" s="33">
        <f t="shared" si="61"/>
        <v>1.0869565217391304</v>
      </c>
      <c r="L87" s="33">
        <f t="shared" si="61"/>
        <v>1.0869565217391304</v>
      </c>
      <c r="M87" s="33">
        <f t="shared" si="61"/>
        <v>1.0869565217391304</v>
      </c>
      <c r="N87" s="33">
        <f t="shared" si="61"/>
        <v>1.0869565217391304</v>
      </c>
      <c r="O87" s="33">
        <f t="shared" si="61"/>
        <v>1.0869565217391304</v>
      </c>
      <c r="P87" s="33">
        <f t="shared" si="61"/>
        <v>1.0869565217391304</v>
      </c>
      <c r="Q87" s="34"/>
      <c r="AB87" s="33">
        <v>1.0388999999999999</v>
      </c>
      <c r="AC87" s="33">
        <f t="shared" ref="AC87:AM88" si="62">1/0.92</f>
        <v>1.0869565217391304</v>
      </c>
      <c r="AD87" s="33">
        <f t="shared" si="62"/>
        <v>1.0869565217391304</v>
      </c>
      <c r="AE87" s="33">
        <f t="shared" si="62"/>
        <v>1.0869565217391304</v>
      </c>
      <c r="AF87" s="33">
        <f t="shared" si="62"/>
        <v>1.0869565217391304</v>
      </c>
      <c r="AG87" s="33">
        <f t="shared" si="62"/>
        <v>1.0869565217391304</v>
      </c>
      <c r="AH87" s="33">
        <f t="shared" si="62"/>
        <v>1.0869565217391304</v>
      </c>
      <c r="AI87" s="33">
        <f t="shared" si="62"/>
        <v>1.0869565217391304</v>
      </c>
      <c r="AJ87" s="33">
        <f t="shared" si="62"/>
        <v>1.0869565217391304</v>
      </c>
      <c r="AK87" s="33">
        <f t="shared" si="62"/>
        <v>1.0869565217391304</v>
      </c>
      <c r="AL87" s="33">
        <f t="shared" si="62"/>
        <v>1.0869565217391304</v>
      </c>
      <c r="AM87" s="33">
        <f t="shared" si="62"/>
        <v>1.0869565217391304</v>
      </c>
      <c r="AN87" s="34"/>
    </row>
    <row r="88" spans="2:40" x14ac:dyDescent="0.35">
      <c r="B88" s="5" t="s">
        <v>74</v>
      </c>
      <c r="C88" s="19" t="s">
        <v>54</v>
      </c>
      <c r="E88" s="33">
        <f>1/0.92</f>
        <v>1.0869565217391304</v>
      </c>
      <c r="F88" s="33">
        <f t="shared" si="61"/>
        <v>1.0869565217391304</v>
      </c>
      <c r="G88" s="33">
        <f t="shared" si="61"/>
        <v>1.0869565217391304</v>
      </c>
      <c r="H88" s="33">
        <f t="shared" si="61"/>
        <v>1.0869565217391304</v>
      </c>
      <c r="I88" s="33">
        <f t="shared" si="61"/>
        <v>1.0869565217391304</v>
      </c>
      <c r="J88" s="33">
        <f t="shared" si="61"/>
        <v>1.0869565217391304</v>
      </c>
      <c r="K88" s="33">
        <f t="shared" si="61"/>
        <v>1.0869565217391304</v>
      </c>
      <c r="L88" s="33">
        <f t="shared" si="61"/>
        <v>1.0869565217391304</v>
      </c>
      <c r="M88" s="33">
        <f t="shared" si="61"/>
        <v>1.0869565217391304</v>
      </c>
      <c r="N88" s="33">
        <f t="shared" si="61"/>
        <v>1.0869565217391304</v>
      </c>
      <c r="O88" s="33">
        <f t="shared" si="61"/>
        <v>1.0869565217391304</v>
      </c>
      <c r="P88" s="33">
        <f t="shared" si="61"/>
        <v>1.0869565217391304</v>
      </c>
      <c r="AB88" s="33">
        <f>1/0.92</f>
        <v>1.0869565217391304</v>
      </c>
      <c r="AC88" s="33">
        <f t="shared" si="62"/>
        <v>1.0869565217391304</v>
      </c>
      <c r="AD88" s="33">
        <f t="shared" si="62"/>
        <v>1.0869565217391304</v>
      </c>
      <c r="AE88" s="33">
        <f t="shared" si="62"/>
        <v>1.0869565217391304</v>
      </c>
      <c r="AF88" s="33">
        <f t="shared" si="62"/>
        <v>1.0869565217391304</v>
      </c>
      <c r="AG88" s="33">
        <f t="shared" si="62"/>
        <v>1.0869565217391304</v>
      </c>
      <c r="AH88" s="33">
        <f t="shared" si="62"/>
        <v>1.0869565217391304</v>
      </c>
      <c r="AI88" s="33">
        <f t="shared" si="62"/>
        <v>1.0869565217391304</v>
      </c>
      <c r="AJ88" s="33">
        <f t="shared" si="62"/>
        <v>1.0869565217391304</v>
      </c>
      <c r="AK88" s="33">
        <f t="shared" si="62"/>
        <v>1.0869565217391304</v>
      </c>
      <c r="AL88" s="33">
        <f t="shared" si="62"/>
        <v>1.0869565217391304</v>
      </c>
      <c r="AM88" s="33">
        <f t="shared" si="62"/>
        <v>1.0869565217391304</v>
      </c>
    </row>
    <row r="90" spans="2:40" x14ac:dyDescent="0.35">
      <c r="B90" s="5" t="s">
        <v>57</v>
      </c>
      <c r="C90" s="19" t="s">
        <v>53</v>
      </c>
      <c r="E90" s="14">
        <f>E84/E87</f>
        <v>13313006.064106267</v>
      </c>
      <c r="F90" s="14" t="e">
        <f t="shared" ref="F90:P91" si="63">F84/F87</f>
        <v>#REF!</v>
      </c>
      <c r="G90" s="14" t="e">
        <f t="shared" si="63"/>
        <v>#REF!</v>
      </c>
      <c r="H90" s="14" t="e">
        <f t="shared" si="63"/>
        <v>#REF!</v>
      </c>
      <c r="I90" s="14" t="e">
        <f t="shared" si="63"/>
        <v>#REF!</v>
      </c>
      <c r="J90" s="14" t="e">
        <f t="shared" si="63"/>
        <v>#REF!</v>
      </c>
      <c r="K90" s="14" t="e">
        <f t="shared" si="63"/>
        <v>#REF!</v>
      </c>
      <c r="L90" s="14" t="e">
        <f t="shared" si="63"/>
        <v>#REF!</v>
      </c>
      <c r="M90" s="14" t="e">
        <f t="shared" si="63"/>
        <v>#REF!</v>
      </c>
      <c r="N90" s="14" t="e">
        <f t="shared" si="63"/>
        <v>#REF!</v>
      </c>
      <c r="O90" s="14" t="e">
        <f t="shared" si="63"/>
        <v>#REF!</v>
      </c>
      <c r="P90" s="14" t="e">
        <f t="shared" si="63"/>
        <v>#REF!</v>
      </c>
      <c r="AB90" s="14">
        <f>AB84/AB87</f>
        <v>13313006.064106267</v>
      </c>
      <c r="AC90" s="14" t="e">
        <f t="shared" ref="AC90:AM91" si="64">AC84/AC87</f>
        <v>#REF!</v>
      </c>
      <c r="AD90" s="14" t="e">
        <f t="shared" si="64"/>
        <v>#REF!</v>
      </c>
      <c r="AE90" s="14" t="e">
        <f t="shared" si="64"/>
        <v>#REF!</v>
      </c>
      <c r="AF90" s="14" t="e">
        <f t="shared" si="64"/>
        <v>#REF!</v>
      </c>
      <c r="AG90" s="14" t="e">
        <f t="shared" si="64"/>
        <v>#REF!</v>
      </c>
      <c r="AH90" s="14" t="e">
        <f t="shared" si="64"/>
        <v>#REF!</v>
      </c>
      <c r="AI90" s="14" t="e">
        <f t="shared" si="64"/>
        <v>#REF!</v>
      </c>
      <c r="AJ90" s="14" t="e">
        <f t="shared" si="64"/>
        <v>#REF!</v>
      </c>
      <c r="AK90" s="14" t="e">
        <f t="shared" si="64"/>
        <v>#REF!</v>
      </c>
      <c r="AL90" s="14" t="e">
        <f t="shared" si="64"/>
        <v>#REF!</v>
      </c>
      <c r="AM90" s="14" t="e">
        <f t="shared" si="64"/>
        <v>#REF!</v>
      </c>
    </row>
    <row r="91" spans="2:40" x14ac:dyDescent="0.35">
      <c r="B91" s="5" t="s">
        <v>58</v>
      </c>
      <c r="C91" s="19" t="s">
        <v>53</v>
      </c>
      <c r="E91" s="14" t="e">
        <f>E85/E88</f>
        <v>#REF!</v>
      </c>
      <c r="F91" s="14" t="e">
        <f t="shared" si="63"/>
        <v>#REF!</v>
      </c>
      <c r="G91" s="14" t="e">
        <f t="shared" si="63"/>
        <v>#REF!</v>
      </c>
      <c r="H91" s="14" t="e">
        <f t="shared" si="63"/>
        <v>#REF!</v>
      </c>
      <c r="I91" s="14" t="e">
        <f t="shared" si="63"/>
        <v>#REF!</v>
      </c>
      <c r="J91" s="14" t="e">
        <f t="shared" si="63"/>
        <v>#REF!</v>
      </c>
      <c r="K91" s="14" t="e">
        <f t="shared" si="63"/>
        <v>#REF!</v>
      </c>
      <c r="L91" s="14" t="e">
        <f t="shared" si="63"/>
        <v>#REF!</v>
      </c>
      <c r="M91" s="14" t="e">
        <f t="shared" si="63"/>
        <v>#REF!</v>
      </c>
      <c r="N91" s="14" t="e">
        <f t="shared" si="63"/>
        <v>#REF!</v>
      </c>
      <c r="O91" s="14" t="e">
        <f t="shared" si="63"/>
        <v>#REF!</v>
      </c>
      <c r="P91" s="14" t="e">
        <f t="shared" si="63"/>
        <v>#REF!</v>
      </c>
      <c r="AB91" s="14" t="e">
        <f>AB85/AB88</f>
        <v>#REF!</v>
      </c>
      <c r="AC91" s="14" t="e">
        <f t="shared" si="64"/>
        <v>#REF!</v>
      </c>
      <c r="AD91" s="14" t="e">
        <f t="shared" si="64"/>
        <v>#REF!</v>
      </c>
      <c r="AE91" s="14" t="e">
        <f t="shared" si="64"/>
        <v>#REF!</v>
      </c>
      <c r="AF91" s="14" t="e">
        <f t="shared" si="64"/>
        <v>#REF!</v>
      </c>
      <c r="AG91" s="14" t="e">
        <f t="shared" si="64"/>
        <v>#REF!</v>
      </c>
      <c r="AH91" s="14" t="e">
        <f t="shared" si="64"/>
        <v>#REF!</v>
      </c>
      <c r="AI91" s="14" t="e">
        <f t="shared" si="64"/>
        <v>#REF!</v>
      </c>
      <c r="AJ91" s="14" t="e">
        <f t="shared" si="64"/>
        <v>#REF!</v>
      </c>
      <c r="AK91" s="14" t="e">
        <f t="shared" si="64"/>
        <v>#REF!</v>
      </c>
      <c r="AL91" s="14" t="e">
        <f t="shared" si="64"/>
        <v>#REF!</v>
      </c>
      <c r="AM91" s="14" t="e">
        <f t="shared" si="64"/>
        <v>#REF!</v>
      </c>
    </row>
    <row r="93" spans="2:40" x14ac:dyDescent="0.35">
      <c r="B93" s="5" t="s">
        <v>57</v>
      </c>
      <c r="C93" s="19" t="s">
        <v>53</v>
      </c>
      <c r="E93" s="14">
        <f>E84/E88</f>
        <v>12724411.440000001</v>
      </c>
      <c r="AB93" s="14">
        <f>AB84/AB88</f>
        <v>12724411.440000001</v>
      </c>
    </row>
    <row r="94" spans="2:40" x14ac:dyDescent="0.35">
      <c r="B94" s="5" t="s">
        <v>103</v>
      </c>
      <c r="E94" s="14">
        <f>E93-E90</f>
        <v>-588594.6241062656</v>
      </c>
      <c r="AB94" s="14">
        <f>AB93-AB90</f>
        <v>-588594.6241062656</v>
      </c>
    </row>
    <row r="97" spans="1:39" x14ac:dyDescent="0.35">
      <c r="S97" s="3" t="s">
        <v>132</v>
      </c>
      <c r="T97" s="3"/>
      <c r="U97" s="3"/>
    </row>
    <row r="98" spans="1:39" x14ac:dyDescent="0.35">
      <c r="B98" s="3" t="s">
        <v>72</v>
      </c>
    </row>
    <row r="99" spans="1:39" x14ac:dyDescent="0.35">
      <c r="V99" t="s">
        <v>19</v>
      </c>
    </row>
    <row r="100" spans="1:39" x14ac:dyDescent="0.35">
      <c r="B100" s="5" t="s">
        <v>57</v>
      </c>
      <c r="C100" s="19" t="s">
        <v>53</v>
      </c>
      <c r="E100" s="14">
        <f t="shared" ref="E100:P100" si="65">E90+E69</f>
        <v>131884228.52410626</v>
      </c>
      <c r="F100" s="14" t="e">
        <f t="shared" si="65"/>
        <v>#REF!</v>
      </c>
      <c r="G100" s="14" t="e">
        <f t="shared" si="65"/>
        <v>#REF!</v>
      </c>
      <c r="H100" s="14" t="e">
        <f t="shared" si="65"/>
        <v>#REF!</v>
      </c>
      <c r="I100" s="14" t="e">
        <f t="shared" si="65"/>
        <v>#REF!</v>
      </c>
      <c r="J100" s="14" t="e">
        <f t="shared" si="65"/>
        <v>#REF!</v>
      </c>
      <c r="K100" s="14" t="e">
        <f t="shared" si="65"/>
        <v>#REF!</v>
      </c>
      <c r="L100" s="14" t="e">
        <f t="shared" si="65"/>
        <v>#REF!</v>
      </c>
      <c r="M100" s="14" t="e">
        <f t="shared" si="65"/>
        <v>#REF!</v>
      </c>
      <c r="N100" s="14" t="e">
        <f t="shared" si="65"/>
        <v>#REF!</v>
      </c>
      <c r="O100" s="14" t="e">
        <f t="shared" si="65"/>
        <v>#REF!</v>
      </c>
      <c r="P100" s="14" t="e">
        <f t="shared" si="65"/>
        <v>#REF!</v>
      </c>
      <c r="V100" t="s">
        <v>96</v>
      </c>
      <c r="W100" t="s">
        <v>110</v>
      </c>
      <c r="X100" t="s">
        <v>97</v>
      </c>
      <c r="AB100" s="14">
        <f t="shared" ref="AB100:AM100" si="66">AB90+AB69</f>
        <v>127817727.66387525</v>
      </c>
      <c r="AC100" s="14" t="e">
        <f t="shared" si="66"/>
        <v>#REF!</v>
      </c>
      <c r="AD100" s="14" t="e">
        <f t="shared" si="66"/>
        <v>#REF!</v>
      </c>
      <c r="AE100" s="14" t="e">
        <f t="shared" si="66"/>
        <v>#REF!</v>
      </c>
      <c r="AF100" s="14" t="e">
        <f t="shared" si="66"/>
        <v>#REF!</v>
      </c>
      <c r="AG100" s="14" t="e">
        <f t="shared" si="66"/>
        <v>#REF!</v>
      </c>
      <c r="AH100" s="14" t="e">
        <f t="shared" si="66"/>
        <v>#REF!</v>
      </c>
      <c r="AI100" s="14" t="e">
        <f t="shared" si="66"/>
        <v>#REF!</v>
      </c>
      <c r="AJ100" s="14" t="e">
        <f t="shared" si="66"/>
        <v>#REF!</v>
      </c>
      <c r="AK100" s="14" t="e">
        <f t="shared" si="66"/>
        <v>#REF!</v>
      </c>
      <c r="AL100" s="14" t="e">
        <f t="shared" si="66"/>
        <v>#REF!</v>
      </c>
      <c r="AM100" s="14" t="e">
        <f t="shared" si="66"/>
        <v>#REF!</v>
      </c>
    </row>
    <row r="101" spans="1:39" x14ac:dyDescent="0.35">
      <c r="A101" s="45" t="s">
        <v>140</v>
      </c>
      <c r="B101" s="5" t="s">
        <v>58</v>
      </c>
      <c r="C101" s="19" t="s">
        <v>53</v>
      </c>
      <c r="E101" s="14" t="e">
        <f t="shared" ref="E101:P101" si="67">E91+E70</f>
        <v>#REF!</v>
      </c>
      <c r="F101" s="14" t="e">
        <f t="shared" si="67"/>
        <v>#REF!</v>
      </c>
      <c r="G101" s="14" t="e">
        <f t="shared" si="67"/>
        <v>#REF!</v>
      </c>
      <c r="H101" s="14" t="e">
        <f t="shared" si="67"/>
        <v>#REF!</v>
      </c>
      <c r="I101" s="14" t="e">
        <f t="shared" si="67"/>
        <v>#REF!</v>
      </c>
      <c r="J101" s="14" t="e">
        <f t="shared" si="67"/>
        <v>#REF!</v>
      </c>
      <c r="K101" s="14" t="e">
        <f t="shared" si="67"/>
        <v>#REF!</v>
      </c>
      <c r="L101" s="14" t="e">
        <f t="shared" si="67"/>
        <v>#REF!</v>
      </c>
      <c r="M101" s="14" t="e">
        <f t="shared" si="67"/>
        <v>#REF!</v>
      </c>
      <c r="N101" s="14" t="e">
        <f t="shared" si="67"/>
        <v>#REF!</v>
      </c>
      <c r="O101" s="14" t="e">
        <f t="shared" si="67"/>
        <v>#REF!</v>
      </c>
      <c r="P101" s="14" t="e">
        <f t="shared" si="67"/>
        <v>#REF!</v>
      </c>
      <c r="V101" s="17" t="e">
        <f>V27+V36+V45+V58+V60+V80+V14</f>
        <v>#REF!</v>
      </c>
      <c r="W101" s="17">
        <f>W27+W36+W45+W58+W60+W80+W14</f>
        <v>168107419.18442267</v>
      </c>
      <c r="X101" s="37" t="e">
        <f>X27+X36+X45+X58+X60+X80+X14+X38</f>
        <v>#REF!</v>
      </c>
      <c r="AB101" s="14" t="e">
        <f t="shared" ref="AB101:AM101" si="68">AB91+AB70</f>
        <v>#REF!</v>
      </c>
      <c r="AC101" s="14" t="e">
        <f t="shared" si="68"/>
        <v>#REF!</v>
      </c>
      <c r="AD101" s="14" t="e">
        <f t="shared" si="68"/>
        <v>#REF!</v>
      </c>
      <c r="AE101" s="14" t="e">
        <f t="shared" si="68"/>
        <v>#REF!</v>
      </c>
      <c r="AF101" s="14" t="e">
        <f t="shared" si="68"/>
        <v>#REF!</v>
      </c>
      <c r="AG101" s="14" t="e">
        <f t="shared" si="68"/>
        <v>#REF!</v>
      </c>
      <c r="AH101" s="14" t="e">
        <f t="shared" si="68"/>
        <v>#REF!</v>
      </c>
      <c r="AI101" s="14" t="e">
        <f t="shared" si="68"/>
        <v>#REF!</v>
      </c>
      <c r="AJ101" s="14" t="e">
        <f t="shared" si="68"/>
        <v>#REF!</v>
      </c>
      <c r="AK101" s="14" t="e">
        <f t="shared" si="68"/>
        <v>#REF!</v>
      </c>
      <c r="AL101" s="14" t="e">
        <f t="shared" si="68"/>
        <v>#REF!</v>
      </c>
      <c r="AM101" s="14" t="e">
        <f t="shared" si="68"/>
        <v>#REF!</v>
      </c>
    </row>
    <row r="102" spans="1:39" x14ac:dyDescent="0.35">
      <c r="X102" s="38" t="e">
        <f>V101-W101</f>
        <v>#REF!</v>
      </c>
    </row>
    <row r="104" spans="1:39" x14ac:dyDescent="0.35">
      <c r="V104" t="s">
        <v>114</v>
      </c>
    </row>
    <row r="105" spans="1:39" x14ac:dyDescent="0.35">
      <c r="S105" t="s">
        <v>111</v>
      </c>
      <c r="V105" s="17" t="e">
        <f>R22+R27+R36+R40+R45</f>
        <v>#REF!</v>
      </c>
      <c r="W105" s="17">
        <f>W14+W27+W36+W45</f>
        <v>124885369.02692446</v>
      </c>
      <c r="X105" s="35" t="e">
        <f>V105-W105</f>
        <v>#REF!</v>
      </c>
    </row>
    <row r="106" spans="1:39" x14ac:dyDescent="0.35">
      <c r="S106" t="s">
        <v>112</v>
      </c>
      <c r="V106" s="17" t="e">
        <f>V80</f>
        <v>#REF!</v>
      </c>
      <c r="W106" s="17">
        <f>W80</f>
        <v>18045364.41844045</v>
      </c>
      <c r="X106" s="35" t="e">
        <f>V106-W106</f>
        <v>#REF!</v>
      </c>
    </row>
    <row r="107" spans="1:39" x14ac:dyDescent="0.35">
      <c r="X107" s="9" t="e">
        <f>X105+X106</f>
        <v>#REF!</v>
      </c>
      <c r="Y107" t="s">
        <v>113</v>
      </c>
    </row>
    <row r="108" spans="1:39" x14ac:dyDescent="0.35">
      <c r="V108" t="s">
        <v>114</v>
      </c>
    </row>
    <row r="109" spans="1:39" x14ac:dyDescent="0.35">
      <c r="S109" t="s">
        <v>63</v>
      </c>
      <c r="V109" s="17" t="e">
        <f>(#REF!+#REF!+#REF!)*0.92</f>
        <v>#REF!</v>
      </c>
      <c r="W109" s="17" t="e">
        <f>(#REF!+#REF!+#REF!)*0.92</f>
        <v>#REF!</v>
      </c>
      <c r="X109" s="9" t="e">
        <f>V109-W109</f>
        <v>#REF!</v>
      </c>
    </row>
    <row r="110" spans="1:39" x14ac:dyDescent="0.35">
      <c r="S110" t="s">
        <v>128</v>
      </c>
      <c r="V110" s="9" t="e">
        <f>V109+V106+V105</f>
        <v>#REF!</v>
      </c>
      <c r="W110" s="9" t="e">
        <f>W109+W106+W105</f>
        <v>#REF!</v>
      </c>
      <c r="X110" s="40" t="e">
        <f>X107+X109</f>
        <v>#REF!</v>
      </c>
    </row>
    <row r="113" spans="2:41" x14ac:dyDescent="0.35">
      <c r="R113" s="3" t="s">
        <v>133</v>
      </c>
      <c r="AO113" s="3" t="s">
        <v>133</v>
      </c>
    </row>
    <row r="114" spans="2:41" x14ac:dyDescent="0.35">
      <c r="B114" t="s">
        <v>106</v>
      </c>
      <c r="C114" s="19" t="s">
        <v>53</v>
      </c>
      <c r="E114" s="4" t="e">
        <f t="shared" ref="E114:P114" si="69">E22+E27+E36+E40+E45+E80/E88</f>
        <v>#REF!</v>
      </c>
      <c r="F114" s="4" t="e">
        <f t="shared" si="69"/>
        <v>#REF!</v>
      </c>
      <c r="G114" s="4" t="e">
        <f t="shared" si="69"/>
        <v>#REF!</v>
      </c>
      <c r="H114" s="4" t="e">
        <f t="shared" si="69"/>
        <v>#REF!</v>
      </c>
      <c r="I114" s="4" t="e">
        <f t="shared" si="69"/>
        <v>#REF!</v>
      </c>
      <c r="J114" s="4" t="e">
        <f t="shared" si="69"/>
        <v>#REF!</v>
      </c>
      <c r="K114" s="4" t="e">
        <f t="shared" si="69"/>
        <v>#REF!</v>
      </c>
      <c r="L114" s="4" t="e">
        <f t="shared" si="69"/>
        <v>#REF!</v>
      </c>
      <c r="M114" s="4" t="e">
        <f t="shared" si="69"/>
        <v>#REF!</v>
      </c>
      <c r="N114" s="4" t="e">
        <f t="shared" si="69"/>
        <v>#REF!</v>
      </c>
      <c r="O114" s="4" t="e">
        <f t="shared" si="69"/>
        <v>#REF!</v>
      </c>
      <c r="P114" s="4" t="e">
        <f t="shared" si="69"/>
        <v>#REF!</v>
      </c>
      <c r="R114" s="8" t="e">
        <f t="shared" ref="R114" si="70">SUM(E114:P114)</f>
        <v>#REF!</v>
      </c>
      <c r="AB114" s="4" t="e">
        <f t="shared" ref="AB114:AM114" si="71">AB22+AB27+AB36+AB40+AB45+AB80/AB88</f>
        <v>#REF!</v>
      </c>
      <c r="AC114" s="4" t="e">
        <f t="shared" si="71"/>
        <v>#REF!</v>
      </c>
      <c r="AD114" s="4" t="e">
        <f t="shared" si="71"/>
        <v>#REF!</v>
      </c>
      <c r="AE114" s="4" t="e">
        <f t="shared" si="71"/>
        <v>#REF!</v>
      </c>
      <c r="AF114" s="4" t="e">
        <f t="shared" si="71"/>
        <v>#REF!</v>
      </c>
      <c r="AG114" s="4" t="e">
        <f t="shared" si="71"/>
        <v>#REF!</v>
      </c>
      <c r="AH114" s="4" t="e">
        <f t="shared" si="71"/>
        <v>#REF!</v>
      </c>
      <c r="AI114" s="4" t="e">
        <f t="shared" si="71"/>
        <v>#REF!</v>
      </c>
      <c r="AJ114" s="4" t="e">
        <f t="shared" si="71"/>
        <v>#REF!</v>
      </c>
      <c r="AK114" s="4" t="e">
        <f t="shared" si="71"/>
        <v>#REF!</v>
      </c>
      <c r="AL114" s="4" t="e">
        <f t="shared" si="71"/>
        <v>#REF!</v>
      </c>
      <c r="AM114" s="4" t="e">
        <f t="shared" si="71"/>
        <v>#REF!</v>
      </c>
      <c r="AO114" s="8" t="e">
        <f t="shared" ref="AO114" si="72">SUM(AB114:AM114)</f>
        <v>#REF!</v>
      </c>
    </row>
    <row r="115" spans="2:41" x14ac:dyDescent="0.35">
      <c r="B115" t="s">
        <v>107</v>
      </c>
      <c r="C115" s="19" t="s">
        <v>53</v>
      </c>
      <c r="E115" s="4" t="e">
        <f>#REF!*0.92</f>
        <v>#REF!</v>
      </c>
      <c r="F115" s="4" t="e">
        <f>#REF!*0.92</f>
        <v>#REF!</v>
      </c>
      <c r="G115" s="4" t="e">
        <f>#REF!*0.92</f>
        <v>#REF!</v>
      </c>
      <c r="H115" s="4" t="e">
        <f>#REF!*0.92</f>
        <v>#REF!</v>
      </c>
      <c r="I115" s="4" t="e">
        <f>#REF!*0.92</f>
        <v>#REF!</v>
      </c>
      <c r="J115" s="4" t="e">
        <f>#REF!*0.92</f>
        <v>#REF!</v>
      </c>
      <c r="K115" s="4" t="e">
        <f>#REF!*0.92</f>
        <v>#REF!</v>
      </c>
      <c r="L115" s="4" t="e">
        <f>#REF!*0.92</f>
        <v>#REF!</v>
      </c>
      <c r="M115" s="4" t="e">
        <f>#REF!*0.92</f>
        <v>#REF!</v>
      </c>
      <c r="N115" s="4" t="e">
        <f>#REF!*0.92</f>
        <v>#REF!</v>
      </c>
      <c r="O115" s="4" t="e">
        <f>#REF!*0.92</f>
        <v>#REF!</v>
      </c>
      <c r="P115" s="4" t="e">
        <f>#REF!*0.92</f>
        <v>#REF!</v>
      </c>
      <c r="R115" s="8" t="e">
        <f>#REF!*0.92</f>
        <v>#REF!</v>
      </c>
      <c r="S115" t="s">
        <v>108</v>
      </c>
      <c r="V115" t="s">
        <v>109</v>
      </c>
      <c r="AB115" s="4" t="e">
        <f>#REF!*0.92</f>
        <v>#REF!</v>
      </c>
      <c r="AC115" s="4" t="e">
        <f>#REF!*0.92</f>
        <v>#REF!</v>
      </c>
      <c r="AD115" s="4" t="e">
        <f>#REF!*0.92</f>
        <v>#REF!</v>
      </c>
      <c r="AE115" s="4" t="e">
        <f>#REF!*0.92</f>
        <v>#REF!</v>
      </c>
      <c r="AF115" s="4" t="e">
        <f>#REF!*0.92</f>
        <v>#REF!</v>
      </c>
      <c r="AG115" s="4" t="e">
        <f>#REF!*0.92</f>
        <v>#REF!</v>
      </c>
      <c r="AH115" s="4" t="e">
        <f>#REF!*0.92</f>
        <v>#REF!</v>
      </c>
      <c r="AI115" s="4" t="e">
        <f>#REF!*0.92</f>
        <v>#REF!</v>
      </c>
      <c r="AJ115" s="4" t="e">
        <f>#REF!*0.92</f>
        <v>#REF!</v>
      </c>
      <c r="AK115" s="4" t="e">
        <f>#REF!*0.92</f>
        <v>#REF!</v>
      </c>
      <c r="AL115" s="4" t="e">
        <f>#REF!*0.92</f>
        <v>#REF!</v>
      </c>
      <c r="AM115" s="4" t="e">
        <f>#REF!*0.92</f>
        <v>#REF!</v>
      </c>
      <c r="AO115" s="8" t="e">
        <f>#REF!*0.92</f>
        <v>#REF!</v>
      </c>
    </row>
    <row r="116" spans="2:41" x14ac:dyDescent="0.35">
      <c r="R116" s="9" t="e">
        <f>R115+R114</f>
        <v>#REF!</v>
      </c>
      <c r="S116" s="9">
        <f>155.203431765471*10^6</f>
        <v>155203431.76547101</v>
      </c>
      <c r="T116" s="9"/>
      <c r="U116" s="9"/>
      <c r="V116" s="40" t="e">
        <f>R116-S116</f>
        <v>#REF!</v>
      </c>
      <c r="AO116" s="9" t="e">
        <f>AO115+AO114</f>
        <v>#REF!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 do</vt:lpstr>
      <vt:lpstr>Forecast    -&gt;</vt:lpstr>
      <vt:lpstr>Consolidated Forecast in €</vt:lpstr>
      <vt:lpstr>SA Reforecast</vt:lpstr>
      <vt:lpstr>LLC Reforecast</vt:lpstr>
      <vt:lpstr>Data Reforecast</vt:lpstr>
      <vt:lpstr>Risk &amp; Opp- diff budget-to do </vt:lpstr>
      <vt:lpstr>Actual   -&gt;</vt:lpstr>
      <vt:lpstr>SA Actual</vt:lpstr>
      <vt:lpstr>LLC actual</vt:lpstr>
      <vt:lpstr>Budget   -&gt;</vt:lpstr>
      <vt:lpstr>Consolidated Budget</vt:lpstr>
      <vt:lpstr>SA budget</vt:lpstr>
      <vt:lpstr>LLC Budget</vt:lpstr>
      <vt:lpstr>Data Budget</vt:lpstr>
      <vt:lpstr>Copie gardée -&gt;</vt:lpstr>
      <vt:lpstr>Copie Abivax LLC reforecast </vt:lpstr>
      <vt:lpstr>Copie -Abivax SA Reforecast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Roxandra Sturdza</dc:creator>
  <cp:lastModifiedBy>Adrian Holbrook</cp:lastModifiedBy>
  <dcterms:created xsi:type="dcterms:W3CDTF">2025-02-17T13:30:45Z</dcterms:created>
  <dcterms:modified xsi:type="dcterms:W3CDTF">2026-03-05T14:13:51Z</dcterms:modified>
</cp:coreProperties>
</file>