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Support\Finance\TRESORERIE\REPORTING\CALCULATION TOOLS\"/>
    </mc:Choice>
  </mc:AlternateContent>
  <xr:revisionPtr revIDLastSave="0" documentId="13_ncr:1_{11EDFDF4-23B8-4AF1-BB78-B71B991DBF52}" xr6:coauthVersionLast="47" xr6:coauthVersionMax="47" xr10:uidLastSave="{00000000-0000-0000-0000-000000000000}"/>
  <bookViews>
    <workbookView xWindow="-120" yWindow="-120" windowWidth="29040" windowHeight="15720" tabRatio="548" activeTab="1" xr2:uid="{39B8E62D-24E6-4A10-9CFA-335A53127AD0}"/>
  </bookViews>
  <sheets>
    <sheet name="Placement EUR" sheetId="1" r:id="rId1"/>
    <sheet name="Placement USD" sheetId="8" r:id="rId2"/>
    <sheet name="Exposition FX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8" l="1"/>
  <c r="L30" i="8" s="1"/>
  <c r="L52" i="1"/>
  <c r="F31" i="8"/>
  <c r="L37" i="8"/>
  <c r="L36" i="8"/>
  <c r="F35" i="8"/>
  <c r="L35" i="8" s="1"/>
  <c r="O56" i="1"/>
  <c r="P56" i="1"/>
  <c r="Q56" i="1"/>
  <c r="R56" i="1"/>
  <c r="S56" i="1"/>
  <c r="J56" i="1"/>
  <c r="O50" i="1"/>
  <c r="P50" i="1"/>
  <c r="Q50" i="1"/>
  <c r="R50" i="1"/>
  <c r="S50" i="1"/>
  <c r="N50" i="1"/>
  <c r="N56" i="1" s="1"/>
  <c r="J50" i="1"/>
  <c r="E50" i="1"/>
  <c r="L49" i="1"/>
  <c r="L50" i="1" s="1"/>
  <c r="O63" i="8"/>
  <c r="N14" i="1"/>
  <c r="P14" i="1"/>
  <c r="L56" i="1" l="1"/>
  <c r="U56" i="1" s="1"/>
  <c r="V56" i="1" s="1"/>
  <c r="U50" i="1"/>
  <c r="V50" i="1"/>
  <c r="P59" i="8"/>
  <c r="P58" i="8" l="1"/>
  <c r="F25" i="8"/>
  <c r="O44" i="8" l="1"/>
  <c r="O43" i="8"/>
  <c r="F51" i="1" l="1"/>
  <c r="F41" i="1"/>
  <c r="L33" i="8" l="1"/>
  <c r="L32" i="8"/>
  <c r="L31" i="8"/>
  <c r="L28" i="8"/>
  <c r="L26" i="8"/>
  <c r="C30" i="8"/>
  <c r="L55" i="1"/>
  <c r="L54" i="1"/>
  <c r="L53" i="1"/>
  <c r="L51" i="1"/>
  <c r="L45" i="1"/>
  <c r="L44" i="1"/>
  <c r="L43" i="1"/>
  <c r="L42" i="1"/>
  <c r="L41" i="1"/>
  <c r="P20" i="8" l="1"/>
  <c r="P24" i="8" s="1"/>
  <c r="P30" i="8" s="1"/>
  <c r="P34" i="8" s="1"/>
  <c r="P38" i="8" s="1"/>
  <c r="Q20" i="8"/>
  <c r="Q24" i="8" s="1"/>
  <c r="Q30" i="8" s="1"/>
  <c r="Q34" i="8" s="1"/>
  <c r="Q38" i="8" s="1"/>
  <c r="R20" i="8"/>
  <c r="R24" i="8" s="1"/>
  <c r="R30" i="8" s="1"/>
  <c r="R34" i="8" s="1"/>
  <c r="R38" i="8" s="1"/>
  <c r="S20" i="8"/>
  <c r="S24" i="8" s="1"/>
  <c r="S30" i="8" s="1"/>
  <c r="S34" i="8" s="1"/>
  <c r="S38" i="8" s="1"/>
  <c r="O24" i="8"/>
  <c r="O30" i="8" s="1"/>
  <c r="O34" i="8" s="1"/>
  <c r="O38" i="8" s="1"/>
  <c r="L21" i="8"/>
  <c r="L16" i="8"/>
  <c r="F17" i="8"/>
  <c r="L17" i="8" s="1"/>
  <c r="E19" i="1"/>
  <c r="L26" i="1"/>
  <c r="L19" i="1"/>
  <c r="J25" i="1" s="1"/>
  <c r="L23" i="8"/>
  <c r="L22" i="8"/>
  <c r="L19" i="8"/>
  <c r="L18" i="8"/>
  <c r="L24" i="8" l="1"/>
  <c r="L34" i="8" s="1"/>
  <c r="L38" i="8" s="1"/>
  <c r="E20" i="8"/>
  <c r="I24" i="8"/>
  <c r="I30" i="8" s="1"/>
  <c r="E21" i="8"/>
  <c r="O11" i="8"/>
  <c r="I34" i="8" l="1"/>
  <c r="U30" i="8"/>
  <c r="E31" i="8"/>
  <c r="G30" i="1"/>
  <c r="L30" i="1" s="1"/>
  <c r="E35" i="8" l="1"/>
  <c r="I38" i="8"/>
  <c r="U38" i="8" s="1"/>
  <c r="E39" i="8"/>
  <c r="U34" i="8"/>
  <c r="L32" i="1"/>
  <c r="G31" i="1"/>
  <c r="L31" i="1" s="1"/>
  <c r="O14" i="1" l="1"/>
  <c r="L39" i="1"/>
  <c r="L38" i="1"/>
  <c r="L37" i="1"/>
  <c r="S25" i="1"/>
  <c r="S34" i="1" s="1"/>
  <c r="S40" i="1" s="1"/>
  <c r="S46" i="1" s="1"/>
  <c r="R25" i="1"/>
  <c r="Q25" i="1"/>
  <c r="Q34" i="1" s="1"/>
  <c r="Q40" i="1" s="1"/>
  <c r="Q46" i="1" s="1"/>
  <c r="O25" i="1"/>
  <c r="O34" i="1" s="1"/>
  <c r="N25" i="1"/>
  <c r="L29" i="1"/>
  <c r="E18" i="1"/>
  <c r="O40" i="1" l="1"/>
  <c r="O46" i="1" s="1"/>
  <c r="L36" i="1"/>
  <c r="N40" i="1"/>
  <c r="N46" i="1" s="1"/>
  <c r="R40" i="1"/>
  <c r="R46" i="1" s="1"/>
  <c r="L23" i="1"/>
  <c r="L21" i="1"/>
  <c r="L20" i="1"/>
  <c r="P22" i="1" l="1"/>
  <c r="L22" i="1" l="1"/>
  <c r="P25" i="1"/>
  <c r="L35" i="1" l="1"/>
  <c r="J40" i="1" s="1"/>
  <c r="P34" i="1"/>
  <c r="E26" i="1"/>
  <c r="E25" i="1"/>
  <c r="E34" i="1" s="1"/>
  <c r="P40" i="1" l="1"/>
  <c r="P46" i="1" s="1"/>
  <c r="U34" i="1"/>
  <c r="J46" i="1"/>
  <c r="E35" i="1"/>
  <c r="L40" i="1"/>
  <c r="L46" i="1" l="1"/>
  <c r="U40" i="1"/>
  <c r="E41" i="1"/>
  <c r="E51" i="1" l="1"/>
  <c r="U46" i="1"/>
  <c r="C20" i="8"/>
  <c r="C24" i="8" s="1"/>
  <c r="S14" i="1"/>
  <c r="R14" i="1"/>
  <c r="Q14" i="1"/>
  <c r="E40" i="1" l="1"/>
  <c r="E46" i="1" s="1"/>
  <c r="V46" i="1" l="1"/>
  <c r="E56" i="1"/>
  <c r="U20" i="8"/>
  <c r="E15" i="8"/>
  <c r="U15" i="8"/>
  <c r="C25" i="1" l="1"/>
  <c r="C34" i="1" s="1"/>
  <c r="C40" i="1" s="1"/>
  <c r="C46" i="1" s="1"/>
  <c r="C56" i="1" s="1"/>
  <c r="V40" i="1" l="1"/>
  <c r="U18" i="1"/>
  <c r="U25" i="1"/>
  <c r="V18" i="1" l="1"/>
  <c r="V34" i="1" l="1"/>
  <c r="V25" i="1"/>
  <c r="E24" i="8" l="1"/>
  <c r="E30" i="8" s="1"/>
  <c r="E34" i="8" s="1"/>
  <c r="V20" i="8"/>
  <c r="V15" i="8"/>
  <c r="V34" i="8" l="1"/>
  <c r="E38" i="8"/>
  <c r="V38" i="8" s="1"/>
  <c r="U24" i="8"/>
  <c r="V24" i="8" s="1"/>
  <c r="E25" i="8"/>
  <c r="V30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Roxandra Sturdza</author>
  </authors>
  <commentList>
    <comment ref="F35" authorId="0" shapeId="0" xr:uid="{7503AD15-1B59-4CA5-8D4D-12E56EC6C268}">
      <text>
        <r>
          <rPr>
            <b/>
            <sz val="9"/>
            <color indexed="81"/>
            <rFont val="Tahoma"/>
            <family val="2"/>
          </rPr>
          <t>cash landing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AB02F96E-EF2D-4DF8-BBF7-BC58EDB5B784}">
      <text>
        <r>
          <rPr>
            <b/>
            <sz val="9"/>
            <color indexed="81"/>
            <rFont val="Tahoma"/>
            <family val="2"/>
          </rPr>
          <t>Source Q1 needs - Boad Dec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7" authorId="0" shapeId="0" xr:uid="{14DAE620-5DE4-4671-98A0-1E61724CFCF8}">
      <text>
        <r>
          <rPr>
            <b/>
            <sz val="9"/>
            <color indexed="81"/>
            <rFont val="Tahoma"/>
            <family val="2"/>
          </rPr>
          <t>Source Q1 needs - Boad Dec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1" authorId="0" shapeId="0" xr:uid="{BFFD985F-8654-4246-B46B-35244D4BE12D}">
      <text>
        <r>
          <rPr>
            <b/>
            <sz val="9"/>
            <color indexed="81"/>
            <rFont val="Tahoma"/>
            <family val="2"/>
          </rPr>
          <t>Source Q1 needs - Boad Dec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Roxandra Sturdza</author>
  </authors>
  <commentList>
    <comment ref="F21" authorId="0" shapeId="0" xr:uid="{8223EC0A-5EAD-46F4-889B-46E0BB89175B}">
      <text>
        <r>
          <rPr>
            <b/>
            <sz val="9"/>
            <color indexed="81"/>
            <rFont val="Tahoma"/>
            <family val="2"/>
          </rPr>
          <t>Cash landing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 xr:uid="{8084BE7A-E236-4E88-9981-BD4A2FEE8A8C}">
      <text>
        <r>
          <rPr>
            <b/>
            <sz val="9"/>
            <color indexed="81"/>
            <rFont val="Tahoma"/>
            <family val="2"/>
          </rPr>
          <t>source Dec Q1 Needs Budget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1" authorId="0" shapeId="0" xr:uid="{DC2E1993-BEF8-415B-BC0B-D27D2701366A}">
      <text>
        <r>
          <rPr>
            <b/>
            <sz val="9"/>
            <color indexed="81"/>
            <rFont val="Tahoma"/>
            <family val="2"/>
          </rPr>
          <t>source Dec Q1 Needs Budget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5" authorId="0" shapeId="0" xr:uid="{CB46EE90-1F1B-4F41-9DDA-32C32F0457AC}">
      <text>
        <r>
          <rPr>
            <b/>
            <sz val="9"/>
            <color indexed="81"/>
            <rFont val="Tahoma"/>
            <family val="2"/>
          </rPr>
          <t>source Dec Q1 Needs Budget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<sst xmlns="http://schemas.openxmlformats.org/spreadsheetml/2006/main" count="124" uniqueCount="79">
  <si>
    <t>Total</t>
  </si>
  <si>
    <t>cash out</t>
  </si>
  <si>
    <t>€</t>
  </si>
  <si>
    <t>check equilibrage</t>
  </si>
  <si>
    <t>Equilibrage Abivax SA - EUR</t>
  </si>
  <si>
    <t>cash balance</t>
  </si>
  <si>
    <t>mouvement</t>
  </si>
  <si>
    <t>Source : cash out : forecast as in simulation (45 days IQVIA and no cap, CD with adjustment, debt as usual, CIR 2020 in April)</t>
  </si>
  <si>
    <t>Treasury Management</t>
  </si>
  <si>
    <t>Cash Balance</t>
  </si>
  <si>
    <t>SA - €</t>
  </si>
  <si>
    <t xml:space="preserve">Compte courant 
</t>
  </si>
  <si>
    <t xml:space="preserve">NCA 
</t>
  </si>
  <si>
    <t>novembre</t>
  </si>
  <si>
    <t>decembre</t>
  </si>
  <si>
    <t>CAT Tréso +2</t>
  </si>
  <si>
    <t>CAT Tréso +</t>
  </si>
  <si>
    <t>CAT €ster</t>
  </si>
  <si>
    <t>Codéis</t>
  </si>
  <si>
    <t>J</t>
  </si>
  <si>
    <t>J+7</t>
  </si>
  <si>
    <t>liquidité</t>
  </si>
  <si>
    <t>French GAAP</t>
  </si>
  <si>
    <t>Equilibrage Abivax SA - USD</t>
  </si>
  <si>
    <t>SA - USD</t>
  </si>
  <si>
    <t>$</t>
  </si>
  <si>
    <t>mvt Placement-&gt; NCA</t>
  </si>
  <si>
    <t>mvt NCA -&gt; Placement</t>
  </si>
  <si>
    <t>vers le NCA</t>
  </si>
  <si>
    <t>Certain</t>
  </si>
  <si>
    <t>estimé</t>
  </si>
  <si>
    <t>cash burn</t>
  </si>
  <si>
    <t>janvier</t>
  </si>
  <si>
    <t>update : 28/10</t>
  </si>
  <si>
    <t>Ellipsis (BNP)</t>
  </si>
  <si>
    <t>CAT Arkea 12 mois, 5/11</t>
  </si>
  <si>
    <t>change - cash in</t>
  </si>
  <si>
    <t>CAT 3m</t>
  </si>
  <si>
    <t>CAT 6m</t>
  </si>
  <si>
    <t>CAT 9m</t>
  </si>
  <si>
    <t>CAT 12 m</t>
  </si>
  <si>
    <t>décembre</t>
  </si>
  <si>
    <t>février</t>
  </si>
  <si>
    <t>cash in</t>
  </si>
  <si>
    <t>check</t>
  </si>
  <si>
    <t>Janvier : payer avec codéis virement</t>
  </si>
  <si>
    <t>J+1</t>
  </si>
  <si>
    <t>février : retrait codéis virement</t>
  </si>
  <si>
    <t>mars : retrait codéisvirement</t>
  </si>
  <si>
    <t>févier</t>
  </si>
  <si>
    <t>mars</t>
  </si>
  <si>
    <t>à placer jusque 2027</t>
  </si>
  <si>
    <t>ou pour changer pour 2027</t>
  </si>
  <si>
    <t>m$</t>
  </si>
  <si>
    <t>besoin pour 2026 : en Sept 2025 : estimés à 26 m$</t>
  </si>
  <si>
    <t>en dec 25, au final : 54 m$</t>
  </si>
  <si>
    <t>supplémentaire</t>
  </si>
  <si>
    <t>OK pour couvrir dépenses engagées jusque fin 2027</t>
  </si>
  <si>
    <t>"2027 Needs 20251202"</t>
  </si>
  <si>
    <t>dépenses engagées de Q1 2026 à fin Q3 2027 : 208 m€ (il va avoir RTC et on a changé 60 sur 68 besoin), reste 60 non engagés</t>
  </si>
  <si>
    <t>besoin jusque fin 2027 pour euros : 60 m€ non engagée donc potentiellement 71 m$</t>
  </si>
  <si>
    <t>besoin $ Abivax SA : 115 m$</t>
  </si>
  <si>
    <t>Ok jusque fin 2027</t>
  </si>
  <si>
    <t>204 m€ à fin déc 2025</t>
  </si>
  <si>
    <t>dépenses totales : 260 m€, donc 60 m€ besoin (venant des change USD)</t>
  </si>
  <si>
    <t>61 m$ jusque 2027</t>
  </si>
  <si>
    <t>28 m$ 2026</t>
  </si>
  <si>
    <t>26 m$ jusque 2026 (CAT BIL)</t>
  </si>
  <si>
    <t>dispo pour change euros</t>
  </si>
  <si>
    <t>30 m$ liquidité 1 mois</t>
  </si>
  <si>
    <t>60 m$ jusque 2027 puis 7 jours ou 30 jours</t>
  </si>
  <si>
    <t>71 m$ codéis</t>
  </si>
  <si>
    <t>31.12.2025</t>
  </si>
  <si>
    <t>sur codéis usd</t>
  </si>
  <si>
    <t>156 m€ à fin dec 2025</t>
  </si>
  <si>
    <t>total Abivax SA jusque fin 2027 ($)</t>
  </si>
  <si>
    <t>le 4 mars, 35,18 m$ ont été changès en 30 m€</t>
  </si>
  <si>
    <t>04/03/23026</t>
  </si>
  <si>
    <t>chercher pourquoi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</si>
</sst>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#,##0_ ;\-#,##0\ "/>
  </numFmts>
  <fonts count="15" x14ac:knownFonts="1">
    <font>
      <sz val="11"/>
      <color theme="1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i/>
      <sz val="11"/>
      <color theme="1"/>
      <name val="Aptos Narrow"/>
      <family val="2"/>
      <scheme val="minor"/>
    </font>
    <font>
      <i/>
      <sz val="11"/>
      <color theme="4" tint="-0.499984740745262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0"/>
        <bgColor theme="3" tint="0.8999298074282051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gray0625">
        <fgColor theme="0"/>
        <bgColor theme="8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3">
    <xf numFmtId="0" fontId="0" fillId="0" borderId="0"/>
    <xf numFmtId="0" fontId="4" fillId="0" borderId="0" applyFill="0" applyProtection="0"/>
    <xf numFmtId="0" fontId="8" fillId="0" borderId="0"/>
  </cellStyleXfs>
  <cellXfs count="63">
    <xf numFmtId="0" fontId="0" fillId="0" borderId="0" xfId="0"/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0" xfId="0" applyFill="1"/>
    <xf numFmtId="3" fontId="0" fillId="2" borderId="0" xfId="0" applyNumberFormat="1" applyFill="1" applyAlignment="1">
      <alignment horizontal="center" vertical="center"/>
    </xf>
    <xf numFmtId="0" fontId="3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0" fillId="4" borderId="0" xfId="0" applyFill="1"/>
    <xf numFmtId="3" fontId="7" fillId="5" borderId="3" xfId="0" applyNumberFormat="1" applyFont="1" applyFill="1" applyBorder="1" applyAlignment="1">
      <alignment horizontal="center" vertical="center"/>
    </xf>
    <xf numFmtId="14" fontId="2" fillId="5" borderId="3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/>
    </xf>
    <xf numFmtId="3" fontId="7" fillId="5" borderId="1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9" fillId="2" borderId="0" xfId="0" applyFont="1" applyFill="1"/>
    <xf numFmtId="0" fontId="2" fillId="0" borderId="0" xfId="0" applyFont="1"/>
    <xf numFmtId="3" fontId="1" fillId="0" borderId="0" xfId="0" applyNumberFormat="1" applyFont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 wrapText="1"/>
    </xf>
    <xf numFmtId="3" fontId="7" fillId="5" borderId="3" xfId="0" applyNumberFormat="1" applyFont="1" applyFill="1" applyBorder="1" applyAlignment="1">
      <alignment horizontal="center" vertical="center" wrapText="1"/>
    </xf>
    <xf numFmtId="164" fontId="1" fillId="6" borderId="2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2" fillId="6" borderId="2" xfId="0" applyNumberFormat="1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 wrapText="1"/>
    </xf>
    <xf numFmtId="164" fontId="6" fillId="6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3" fontId="1" fillId="8" borderId="1" xfId="0" applyNumberFormat="1" applyFont="1" applyFill="1" applyBorder="1" applyAlignment="1">
      <alignment horizontal="center" vertical="center"/>
    </xf>
    <xf numFmtId="3" fontId="1" fillId="9" borderId="1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/>
    </xf>
    <xf numFmtId="3" fontId="12" fillId="6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left" vertical="center"/>
    </xf>
    <xf numFmtId="3" fontId="1" fillId="10" borderId="1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2" borderId="1" xfId="0" applyNumberFormat="1" applyFill="1" applyBorder="1" applyAlignment="1">
      <alignment horizontal="center" vertical="center"/>
    </xf>
    <xf numFmtId="3" fontId="0" fillId="11" borderId="0" xfId="0" applyNumberFormat="1" applyFill="1" applyAlignment="1">
      <alignment horizontal="center" vertical="center"/>
    </xf>
    <xf numFmtId="3" fontId="0" fillId="0" borderId="0" xfId="0" applyNumberFormat="1"/>
    <xf numFmtId="164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164" fontId="1" fillId="12" borderId="0" xfId="0" applyNumberFormat="1" applyFont="1" applyFill="1" applyAlignment="1">
      <alignment horizontal="center" vertical="center"/>
    </xf>
    <xf numFmtId="165" fontId="1" fillId="12" borderId="0" xfId="0" applyNumberFormat="1" applyFont="1" applyFill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0" fontId="0" fillId="12" borderId="0" xfId="0" applyFill="1"/>
    <xf numFmtId="0" fontId="0" fillId="12" borderId="0" xfId="0" applyFill="1" applyAlignment="1">
      <alignment horizontal="center" vertical="center"/>
    </xf>
  </cellXfs>
  <cellStyles count="3">
    <cellStyle name="Normal" xfId="0" builtinId="0"/>
    <cellStyle name="Normal 2" xfId="2" xr:uid="{5BA72054-7385-49A0-8638-AAA409DCBEE1}"/>
    <cellStyle name="Normal 3" xfId="1" xr:uid="{2B87248D-B22F-41EF-9BFE-353EA95B67B0}"/>
  </cellStyles>
  <dxfs count="0"/>
  <tableStyles count="0" defaultTableStyle="TableStyleMedium2" defaultPivotStyle="PivotStyleLight16"/>
  <colors>
    <mruColors>
      <color rgb="FFFCFD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A2BA-697E-47DC-9F54-D58B9F64D5C0}">
  <dimension ref="A1:Y66"/>
  <sheetViews>
    <sheetView showGridLines="0" topLeftCell="C13" zoomScaleNormal="100" workbookViewId="0">
      <selection activeCell="L57" sqref="L57"/>
    </sheetView>
  </sheetViews>
  <sheetFormatPr baseColWidth="10" defaultRowHeight="15" x14ac:dyDescent="0.25"/>
  <cols>
    <col min="1" max="1" width="0.28515625" customWidth="1"/>
    <col min="2" max="2" width="19" bestFit="1" customWidth="1"/>
    <col min="4" max="4" width="0.5703125" customWidth="1"/>
    <col min="5" max="5" width="26.42578125" style="2" bestFit="1" customWidth="1"/>
    <col min="6" max="7" width="15.28515625" style="2" customWidth="1"/>
    <col min="8" max="8" width="2.140625" style="2" customWidth="1"/>
    <col min="9" max="9" width="19.85546875" style="2" customWidth="1"/>
    <col min="10" max="10" width="19.85546875" style="2" bestFit="1" customWidth="1"/>
    <col min="11" max="11" width="1.140625" style="3" customWidth="1"/>
    <col min="12" max="12" width="18.5703125" style="3" bestFit="1" customWidth="1"/>
    <col min="13" max="13" width="0.85546875" style="3" customWidth="1"/>
    <col min="14" max="14" width="21.85546875" style="3" bestFit="1" customWidth="1"/>
    <col min="15" max="15" width="10.85546875" style="3" bestFit="1" customWidth="1"/>
    <col min="16" max="16" width="12.5703125" style="3" bestFit="1" customWidth="1"/>
    <col min="17" max="19" width="11" style="3" customWidth="1"/>
    <col min="20" max="20" width="1.85546875" style="3" customWidth="1"/>
    <col min="21" max="21" width="24.140625" style="3" customWidth="1"/>
    <col min="22" max="22" width="18.5703125" bestFit="1" customWidth="1"/>
  </cols>
  <sheetData>
    <row r="1" spans="2:22" x14ac:dyDescent="0.25">
      <c r="B1" t="s">
        <v>33</v>
      </c>
      <c r="E1"/>
      <c r="F1"/>
      <c r="G1"/>
      <c r="H1"/>
      <c r="I1"/>
      <c r="J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2" x14ac:dyDescent="0.25">
      <c r="E2"/>
      <c r="F2"/>
      <c r="G2"/>
      <c r="H2"/>
      <c r="I2"/>
      <c r="J2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2" x14ac:dyDescent="0.25">
      <c r="B3" s="5"/>
      <c r="C3" s="7" t="s">
        <v>4</v>
      </c>
      <c r="D3" s="7"/>
      <c r="E3" s="5"/>
      <c r="F3" s="5"/>
      <c r="G3" s="5"/>
      <c r="H3" s="5"/>
      <c r="I3" s="5"/>
      <c r="J3" s="5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2:22" ht="5.25" customHeight="1" x14ac:dyDescent="0.25"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2:22" x14ac:dyDescent="0.25">
      <c r="E5"/>
      <c r="F5"/>
      <c r="G5"/>
      <c r="H5"/>
      <c r="I5"/>
      <c r="J5"/>
      <c r="K5" s="1"/>
      <c r="L5" s="1"/>
      <c r="M5" s="1"/>
      <c r="N5" s="41" t="s">
        <v>29</v>
      </c>
      <c r="O5" s="1"/>
      <c r="P5" s="1"/>
      <c r="Q5" s="1"/>
      <c r="R5" s="1"/>
      <c r="S5" s="1"/>
      <c r="T5" s="1"/>
      <c r="U5" s="1"/>
    </row>
    <row r="6" spans="2:22" x14ac:dyDescent="0.25">
      <c r="E6"/>
      <c r="F6"/>
      <c r="G6"/>
      <c r="H6"/>
      <c r="I6"/>
      <c r="J6"/>
      <c r="K6" s="19"/>
      <c r="L6" s="21" t="s">
        <v>6</v>
      </c>
      <c r="M6" s="1"/>
      <c r="N6" s="40" t="s">
        <v>30</v>
      </c>
      <c r="O6" s="1"/>
      <c r="P6" s="1"/>
      <c r="Q6" s="1"/>
      <c r="R6" s="1"/>
      <c r="S6" s="1"/>
      <c r="T6" s="1"/>
      <c r="U6" s="1"/>
    </row>
    <row r="7" spans="2:22" x14ac:dyDescent="0.25">
      <c r="B7" t="s">
        <v>7</v>
      </c>
      <c r="E7"/>
      <c r="F7"/>
      <c r="G7"/>
      <c r="H7"/>
      <c r="I7"/>
      <c r="J7"/>
      <c r="K7" s="1"/>
      <c r="L7" s="15" t="s">
        <v>5</v>
      </c>
      <c r="M7" s="1"/>
      <c r="N7" s="20" t="s">
        <v>26</v>
      </c>
      <c r="Q7" s="1"/>
      <c r="R7" s="1"/>
      <c r="S7" s="1"/>
      <c r="T7" s="1"/>
      <c r="U7" s="1"/>
    </row>
    <row r="8" spans="2:22" x14ac:dyDescent="0.25">
      <c r="E8"/>
      <c r="F8"/>
      <c r="G8"/>
      <c r="H8"/>
      <c r="I8"/>
      <c r="J8"/>
      <c r="K8" s="1"/>
      <c r="L8" s="9" t="s">
        <v>5</v>
      </c>
      <c r="M8" s="1"/>
      <c r="N8" s="24" t="s">
        <v>27</v>
      </c>
      <c r="Q8" s="1"/>
      <c r="R8" s="1"/>
      <c r="S8" s="1"/>
      <c r="T8" s="1"/>
      <c r="U8" s="1"/>
    </row>
    <row r="9" spans="2:22" x14ac:dyDescent="0.25">
      <c r="E9"/>
      <c r="F9"/>
      <c r="G9"/>
      <c r="H9"/>
      <c r="K9" s="1"/>
      <c r="L9" s="1"/>
      <c r="M9" s="1"/>
      <c r="N9" s="42" t="s">
        <v>31</v>
      </c>
      <c r="O9" s="1"/>
      <c r="P9" s="1"/>
      <c r="Q9" s="1"/>
      <c r="R9" s="1"/>
      <c r="S9" s="1"/>
      <c r="T9" s="1"/>
      <c r="U9" s="1"/>
    </row>
    <row r="10" spans="2:22" x14ac:dyDescent="0.25">
      <c r="E10"/>
      <c r="F10"/>
      <c r="G10"/>
      <c r="H10"/>
      <c r="I10"/>
      <c r="J10"/>
      <c r="K10"/>
      <c r="L10"/>
      <c r="M10"/>
      <c r="N10" s="47" t="s">
        <v>36</v>
      </c>
      <c r="O10"/>
      <c r="P10"/>
      <c r="Q10" s="1"/>
      <c r="R10" s="1"/>
      <c r="S10" s="1"/>
      <c r="T10" s="1"/>
      <c r="U10" s="1"/>
    </row>
    <row r="11" spans="2:22" x14ac:dyDescent="0.25">
      <c r="E11"/>
      <c r="F11"/>
      <c r="G11"/>
      <c r="H11"/>
      <c r="I11"/>
      <c r="J11"/>
      <c r="K11"/>
      <c r="L11"/>
      <c r="M11"/>
      <c r="N11"/>
      <c r="O11"/>
      <c r="P11"/>
      <c r="Q11" s="1"/>
      <c r="R11" s="1"/>
      <c r="S11" s="1"/>
      <c r="T11" s="1"/>
      <c r="U11" s="1"/>
    </row>
    <row r="12" spans="2:22" x14ac:dyDescent="0.25">
      <c r="E12"/>
      <c r="F12"/>
      <c r="G12"/>
      <c r="H12"/>
      <c r="I12" s="17"/>
      <c r="J12" s="17" t="s">
        <v>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2:22" x14ac:dyDescent="0.25">
      <c r="E13" s="10" t="s">
        <v>22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2:22" x14ac:dyDescent="0.25">
      <c r="E14" s="10" t="s">
        <v>9</v>
      </c>
      <c r="F14" s="10" t="s">
        <v>1</v>
      </c>
      <c r="G14" s="27" t="s">
        <v>43</v>
      </c>
      <c r="H14"/>
      <c r="I14"/>
      <c r="J14"/>
      <c r="K14" s="4"/>
      <c r="L14" s="31">
        <v>1.7500000000000002E-2</v>
      </c>
      <c r="M14"/>
      <c r="N14" s="31">
        <f>1.93%+0.15%</f>
        <v>2.0799999999999999E-2</v>
      </c>
      <c r="O14" s="31">
        <f>1.9%+0.32%</f>
        <v>2.2200000000000001E-2</v>
      </c>
      <c r="P14" s="31">
        <f>2.58%</f>
        <v>2.58E-2</v>
      </c>
      <c r="Q14" s="31">
        <f>2.2%*360/365</f>
        <v>2.1698630136986304E-2</v>
      </c>
      <c r="R14" s="31">
        <f>2.15%*360/365</f>
        <v>2.1205479452054792E-2</v>
      </c>
      <c r="S14" s="31">
        <f>1.9%+0.2%</f>
        <v>2.0999999999999998E-2</v>
      </c>
      <c r="T14" s="1"/>
      <c r="U14" s="1"/>
    </row>
    <row r="15" spans="2:22" ht="34.5" customHeight="1" x14ac:dyDescent="0.25">
      <c r="E15" s="10" t="s">
        <v>10</v>
      </c>
      <c r="F15" s="10" t="s">
        <v>2</v>
      </c>
      <c r="G15" s="10" t="s">
        <v>2</v>
      </c>
      <c r="H15"/>
      <c r="I15"/>
      <c r="J15" s="22" t="s">
        <v>11</v>
      </c>
      <c r="K15" s="4"/>
      <c r="L15" s="22" t="s">
        <v>12</v>
      </c>
      <c r="M15"/>
      <c r="N15" s="22" t="s">
        <v>18</v>
      </c>
      <c r="O15" s="22" t="s">
        <v>34</v>
      </c>
      <c r="P15" s="22" t="s">
        <v>35</v>
      </c>
      <c r="Q15" s="22" t="s">
        <v>16</v>
      </c>
      <c r="R15" s="22" t="s">
        <v>15</v>
      </c>
      <c r="S15" s="22" t="s">
        <v>17</v>
      </c>
      <c r="T15" s="1"/>
      <c r="U15" s="35" t="s">
        <v>0</v>
      </c>
      <c r="V15" s="16" t="s">
        <v>3</v>
      </c>
    </row>
    <row r="16" spans="2:22" x14ac:dyDescent="0.25">
      <c r="B16" s="29" t="s">
        <v>21</v>
      </c>
      <c r="E16" s="29"/>
      <c r="F16" s="29"/>
      <c r="G16" s="29"/>
      <c r="H16" s="28"/>
      <c r="I16"/>
      <c r="J16" s="30"/>
      <c r="K16" s="28"/>
      <c r="L16" s="30" t="s">
        <v>19</v>
      </c>
      <c r="M16"/>
      <c r="N16" s="30" t="s">
        <v>46</v>
      </c>
      <c r="O16" s="30" t="s">
        <v>20</v>
      </c>
      <c r="P16" s="30"/>
      <c r="Q16" s="39">
        <v>5</v>
      </c>
      <c r="R16" s="39">
        <v>11</v>
      </c>
      <c r="S16" s="39">
        <v>5</v>
      </c>
      <c r="T16" s="1"/>
      <c r="U16" s="27"/>
      <c r="V16" s="16"/>
    </row>
    <row r="17" spans="2:25" ht="3" customHeight="1" x14ac:dyDescent="0.25">
      <c r="B17" s="2"/>
      <c r="C17" s="2"/>
      <c r="D17" s="2"/>
      <c r="I17"/>
      <c r="K17" s="2"/>
      <c r="L17" s="2"/>
      <c r="M1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hidden="1" x14ac:dyDescent="0.25">
      <c r="B18" s="23" t="s">
        <v>9</v>
      </c>
      <c r="C18" s="13">
        <v>45961</v>
      </c>
      <c r="D18" s="18"/>
      <c r="E18" s="12">
        <f>SUM(J18:S18)</f>
        <v>200290373.10772499</v>
      </c>
      <c r="F18" s="25"/>
      <c r="G18" s="25"/>
      <c r="H18" s="25"/>
      <c r="I18"/>
      <c r="J18" s="15">
        <v>71055.5</v>
      </c>
      <c r="K18" s="4"/>
      <c r="L18" s="15">
        <v>11244000</v>
      </c>
      <c r="M18"/>
      <c r="N18" s="15">
        <v>51915240.899999991</v>
      </c>
      <c r="O18" s="15">
        <v>100024734.237725</v>
      </c>
      <c r="P18" s="15"/>
      <c r="Q18" s="15">
        <v>12000000</v>
      </c>
      <c r="R18" s="15">
        <v>20035342.469999999</v>
      </c>
      <c r="S18" s="15">
        <v>5000000</v>
      </c>
      <c r="T18" s="26"/>
      <c r="U18" s="12" t="e">
        <f>#REF!+L18+J18+SUM(N18:S18)</f>
        <v>#REF!</v>
      </c>
      <c r="V18" s="8" t="e">
        <f>E18-U18</f>
        <v>#REF!</v>
      </c>
    </row>
    <row r="19" spans="2:25" hidden="1" x14ac:dyDescent="0.25">
      <c r="B19" s="11" t="s">
        <v>13</v>
      </c>
      <c r="C19" s="25"/>
      <c r="D19" s="25"/>
      <c r="E19" s="49">
        <f>SUM(J18:S18)</f>
        <v>200290373.10772499</v>
      </c>
      <c r="F19" s="6">
        <v>11022986.53032456</v>
      </c>
      <c r="G19" s="25"/>
      <c r="H19" s="25"/>
      <c r="I19"/>
      <c r="J19" s="4"/>
      <c r="K19" s="4"/>
      <c r="L19" s="42">
        <f>-F19</f>
        <v>-11022986.53032456</v>
      </c>
      <c r="M19"/>
      <c r="N19" s="26"/>
      <c r="O19" s="26"/>
      <c r="P19" s="26"/>
      <c r="Q19" s="26"/>
      <c r="R19" s="26"/>
      <c r="S19" s="26"/>
      <c r="T19" s="26"/>
      <c r="U19" s="37"/>
      <c r="V19" s="8"/>
    </row>
    <row r="20" spans="2:25" hidden="1" x14ac:dyDescent="0.25">
      <c r="B20" s="11"/>
      <c r="C20" s="2"/>
      <c r="E20" s="4"/>
      <c r="G20" s="25"/>
      <c r="H20" s="4"/>
      <c r="I20"/>
      <c r="J20" s="4"/>
      <c r="K20" s="4"/>
      <c r="L20" s="32">
        <f>-SUM(N20:S20)</f>
        <v>20083061.399999999</v>
      </c>
      <c r="M20"/>
      <c r="N20" s="33">
        <v>-15083061.4</v>
      </c>
      <c r="O20" s="33"/>
      <c r="P20" s="33"/>
      <c r="Q20" s="33"/>
      <c r="R20" s="33"/>
      <c r="S20" s="33">
        <v>-5000000</v>
      </c>
      <c r="T20" s="19"/>
      <c r="U20"/>
    </row>
    <row r="21" spans="2:25" hidden="1" x14ac:dyDescent="0.25">
      <c r="B21" s="11"/>
      <c r="C21" s="2"/>
      <c r="E21" s="4"/>
      <c r="F21" s="4"/>
      <c r="G21" s="25"/>
      <c r="H21" s="4"/>
      <c r="I21"/>
      <c r="J21" s="4"/>
      <c r="K21" s="4"/>
      <c r="L21" s="32">
        <f>-SUM(N21:S21)</f>
        <v>0</v>
      </c>
      <c r="M21"/>
      <c r="N21" s="44"/>
      <c r="O21" s="44"/>
      <c r="P21" s="44"/>
      <c r="Q21" s="44"/>
      <c r="R21" s="44"/>
      <c r="S21" s="44"/>
      <c r="T21" s="19"/>
      <c r="U21"/>
    </row>
    <row r="22" spans="2:25" hidden="1" x14ac:dyDescent="0.25">
      <c r="B22" s="11"/>
      <c r="C22" s="2"/>
      <c r="E22" s="4"/>
      <c r="F22" s="4"/>
      <c r="G22" s="25"/>
      <c r="H22" s="4"/>
      <c r="I22"/>
      <c r="J22" s="4"/>
      <c r="K22" s="4"/>
      <c r="L22" s="32">
        <f>-SUM(N22:S22)</f>
        <v>-10000000</v>
      </c>
      <c r="M22"/>
      <c r="N22" s="34"/>
      <c r="O22" s="34"/>
      <c r="P22" s="34">
        <f>5000000+5000000</f>
        <v>10000000</v>
      </c>
      <c r="Q22" s="34"/>
      <c r="R22" s="34"/>
      <c r="S22" s="34"/>
      <c r="T22" s="19"/>
      <c r="U22"/>
    </row>
    <row r="23" spans="2:25" hidden="1" x14ac:dyDescent="0.25">
      <c r="B23" s="11"/>
      <c r="C23" s="2"/>
      <c r="E23" s="4"/>
      <c r="F23" s="4"/>
      <c r="G23" s="25"/>
      <c r="H23" s="4"/>
      <c r="I23"/>
      <c r="J23" s="4"/>
      <c r="K23" s="4"/>
      <c r="L23" s="32">
        <f>-SUM(N23:S23)</f>
        <v>-5000000</v>
      </c>
      <c r="M23"/>
      <c r="N23" s="45"/>
      <c r="O23" s="45"/>
      <c r="P23" s="45">
        <v>5000000</v>
      </c>
      <c r="Q23" s="45"/>
      <c r="R23" s="45"/>
      <c r="S23" s="45"/>
      <c r="T23" s="19"/>
      <c r="U23"/>
    </row>
    <row r="24" spans="2:25" hidden="1" x14ac:dyDescent="0.25">
      <c r="B24" s="11"/>
      <c r="C24" s="2"/>
      <c r="E24" s="4"/>
      <c r="F24" s="4"/>
      <c r="G24" s="25"/>
      <c r="H24" s="4"/>
      <c r="I24"/>
      <c r="J24" s="4"/>
      <c r="K24" s="4"/>
      <c r="M24"/>
      <c r="N24"/>
      <c r="O24"/>
      <c r="P24"/>
      <c r="Q24"/>
      <c r="R24"/>
      <c r="S24"/>
      <c r="T24" s="19"/>
      <c r="U24"/>
    </row>
    <row r="25" spans="2:25" hidden="1" x14ac:dyDescent="0.25">
      <c r="B25" s="23" t="s">
        <v>9</v>
      </c>
      <c r="C25" s="13">
        <f>EOMONTH(C18,1)</f>
        <v>45991</v>
      </c>
      <c r="D25" s="18"/>
      <c r="E25" s="12">
        <f>SUM(J25:S25)</f>
        <v>193663311.70772499</v>
      </c>
      <c r="F25" s="25"/>
      <c r="G25" s="25"/>
      <c r="H25" s="25"/>
      <c r="I25"/>
      <c r="J25" s="15">
        <f>J18-F19-L19</f>
        <v>71055.5</v>
      </c>
      <c r="K25" s="4"/>
      <c r="L25" s="15">
        <v>9700000</v>
      </c>
      <c r="M25"/>
      <c r="N25" s="15">
        <f t="shared" ref="N25:S25" si="0">N18+SUM(N20:N23)</f>
        <v>36832179.499999993</v>
      </c>
      <c r="O25" s="15">
        <f t="shared" si="0"/>
        <v>100024734.237725</v>
      </c>
      <c r="P25" s="15">
        <f t="shared" si="0"/>
        <v>15000000</v>
      </c>
      <c r="Q25" s="15">
        <f t="shared" si="0"/>
        <v>12000000</v>
      </c>
      <c r="R25" s="15">
        <f t="shared" si="0"/>
        <v>20035342.469999999</v>
      </c>
      <c r="S25" s="15">
        <f t="shared" si="0"/>
        <v>0</v>
      </c>
      <c r="T25" s="26"/>
      <c r="U25" s="12" t="e">
        <f>#REF!+L25+J25+SUM(N25:S25)</f>
        <v>#REF!</v>
      </c>
      <c r="V25" s="8" t="e">
        <f>E25-U25</f>
        <v>#REF!</v>
      </c>
    </row>
    <row r="26" spans="2:25" hidden="1" x14ac:dyDescent="0.25">
      <c r="B26" s="11" t="s">
        <v>14</v>
      </c>
      <c r="C26" s="2"/>
      <c r="E26" s="49">
        <f>SUM(J25:S25)</f>
        <v>193663311.70772499</v>
      </c>
      <c r="F26" s="6">
        <v>50100000</v>
      </c>
      <c r="G26" s="25"/>
      <c r="H26" s="4"/>
      <c r="I26"/>
      <c r="J26" s="4"/>
      <c r="K26" s="4"/>
      <c r="L26" s="42">
        <f>-F26</f>
        <v>-50100000</v>
      </c>
      <c r="M26"/>
      <c r="N26"/>
      <c r="O26"/>
      <c r="P26"/>
      <c r="Q26"/>
      <c r="R26"/>
      <c r="S26"/>
      <c r="T26"/>
      <c r="U26"/>
    </row>
    <row r="27" spans="2:25" hidden="1" x14ac:dyDescent="0.25">
      <c r="B27" s="11"/>
      <c r="C27" s="2"/>
      <c r="E27" s="4"/>
      <c r="F27" s="4"/>
      <c r="G27" s="25"/>
      <c r="H27" s="4"/>
      <c r="I27"/>
      <c r="J27" s="4"/>
      <c r="K27" s="4"/>
      <c r="L27" s="32"/>
      <c r="M27"/>
      <c r="N27" s="44"/>
      <c r="O27" s="44"/>
      <c r="P27" s="44"/>
      <c r="Q27" s="44"/>
      <c r="R27" s="44"/>
      <c r="S27" s="44"/>
      <c r="T27" s="19"/>
      <c r="U27"/>
    </row>
    <row r="28" spans="2:25" hidden="1" x14ac:dyDescent="0.25">
      <c r="B28" s="11"/>
      <c r="C28" s="2"/>
      <c r="E28" s="4"/>
      <c r="F28" s="4"/>
      <c r="G28" s="25"/>
      <c r="H28" s="4"/>
      <c r="I28"/>
      <c r="J28" s="4"/>
      <c r="K28" s="4"/>
      <c r="L28" s="32"/>
      <c r="M28"/>
      <c r="N28" s="44"/>
      <c r="O28" s="44"/>
      <c r="P28" s="44"/>
      <c r="Q28" s="44"/>
      <c r="R28" s="44"/>
      <c r="S28" s="44"/>
      <c r="T28" s="19"/>
      <c r="U28"/>
    </row>
    <row r="29" spans="2:25" hidden="1" x14ac:dyDescent="0.25">
      <c r="B29" s="11"/>
      <c r="C29" s="2"/>
      <c r="E29" s="4"/>
      <c r="F29" s="4"/>
      <c r="G29" s="4"/>
      <c r="H29" s="4"/>
      <c r="I29"/>
      <c r="J29" s="4"/>
      <c r="K29" s="4"/>
      <c r="L29" s="32">
        <f>-SUM(N29:S29)</f>
        <v>14000000</v>
      </c>
      <c r="M29"/>
      <c r="N29" s="44"/>
      <c r="O29" s="44"/>
      <c r="P29" s="44"/>
      <c r="Q29" s="44"/>
      <c r="R29" s="44">
        <v>-14000000</v>
      </c>
      <c r="S29" s="44"/>
      <c r="T29" s="19"/>
      <c r="U29"/>
    </row>
    <row r="30" spans="2:25" hidden="1" x14ac:dyDescent="0.25">
      <c r="B30" s="11"/>
      <c r="C30" s="2"/>
      <c r="E30" s="4"/>
      <c r="F30" s="4"/>
      <c r="G30" s="47">
        <f>30*10^6</f>
        <v>30000000</v>
      </c>
      <c r="H30" s="4"/>
      <c r="I30"/>
      <c r="J30" s="4"/>
      <c r="K30" s="4"/>
      <c r="L30" s="42">
        <f>G30-SUM(N30:S30)</f>
        <v>0</v>
      </c>
      <c r="M30"/>
      <c r="N30" s="34">
        <v>30000000</v>
      </c>
      <c r="O30" s="34"/>
      <c r="P30" s="34"/>
      <c r="Q30" s="34"/>
      <c r="R30" s="34"/>
      <c r="S30" s="34"/>
      <c r="T30" s="19"/>
      <c r="U30"/>
    </row>
    <row r="31" spans="2:25" hidden="1" x14ac:dyDescent="0.25">
      <c r="B31" s="11"/>
      <c r="C31" s="2"/>
      <c r="E31" s="4"/>
      <c r="F31" s="4"/>
      <c r="G31" s="47">
        <f>30*10^6</f>
        <v>30000000</v>
      </c>
      <c r="H31" s="4"/>
      <c r="I31"/>
      <c r="J31" s="4"/>
      <c r="K31" s="4"/>
      <c r="L31" s="42">
        <f>G31-SUM(N31:S31)</f>
        <v>30000000</v>
      </c>
      <c r="M31"/>
      <c r="N31" s="45"/>
      <c r="O31" s="45"/>
      <c r="P31" s="45"/>
      <c r="Q31" s="45"/>
      <c r="R31" s="45"/>
      <c r="S31" s="45"/>
      <c r="T31" s="19"/>
      <c r="U31"/>
    </row>
    <row r="32" spans="2:25" hidden="1" x14ac:dyDescent="0.25">
      <c r="B32" s="11"/>
      <c r="C32" s="2"/>
      <c r="E32" s="4"/>
      <c r="F32" s="4"/>
      <c r="G32" s="4"/>
      <c r="H32" s="4"/>
      <c r="I32"/>
      <c r="J32" s="4"/>
      <c r="K32" s="4"/>
      <c r="L32" s="32">
        <f>-SUM(N32:S32)</f>
        <v>0</v>
      </c>
      <c r="M32"/>
      <c r="N32" s="45"/>
      <c r="O32" s="45"/>
      <c r="P32" s="45"/>
      <c r="Q32" s="45"/>
      <c r="R32" s="45"/>
      <c r="S32" s="45"/>
      <c r="T32" s="19"/>
      <c r="U32"/>
    </row>
    <row r="33" spans="1:22" hidden="1" x14ac:dyDescent="0.25">
      <c r="B33" s="11"/>
      <c r="C33" s="2"/>
      <c r="E33" s="4"/>
      <c r="F33" s="4"/>
      <c r="G33" s="4"/>
      <c r="H33" s="4"/>
      <c r="I33"/>
      <c r="J33" s="4"/>
      <c r="M33"/>
      <c r="N33"/>
      <c r="O33"/>
      <c r="P33"/>
      <c r="Q33"/>
      <c r="R33"/>
      <c r="S33"/>
      <c r="T33" s="19"/>
      <c r="U33"/>
    </row>
    <row r="34" spans="1:22" x14ac:dyDescent="0.25">
      <c r="B34" s="23" t="s">
        <v>9</v>
      </c>
      <c r="C34" s="13">
        <f>EOMONTH(C25,1)</f>
        <v>46022</v>
      </c>
      <c r="D34" s="18"/>
      <c r="E34" s="12">
        <f>E25-F26+G30+G31</f>
        <v>203563311.70772499</v>
      </c>
      <c r="F34" s="25"/>
      <c r="G34" s="25"/>
      <c r="H34" s="25"/>
      <c r="I34"/>
      <c r="J34" s="15">
        <v>538000</v>
      </c>
      <c r="K34" s="4"/>
      <c r="L34" s="15">
        <v>3940000</v>
      </c>
      <c r="M34"/>
      <c r="N34" s="15">
        <v>66000000</v>
      </c>
      <c r="O34" s="15">
        <f t="shared" ref="O34:S34" si="1">O25+SUM(O26:O31)</f>
        <v>100024734.237725</v>
      </c>
      <c r="P34" s="15">
        <f t="shared" si="1"/>
        <v>15000000</v>
      </c>
      <c r="Q34" s="15">
        <f t="shared" si="1"/>
        <v>12000000</v>
      </c>
      <c r="R34" s="15">
        <v>6000000</v>
      </c>
      <c r="S34" s="15">
        <f t="shared" si="1"/>
        <v>0</v>
      </c>
      <c r="T34" s="26"/>
      <c r="U34" s="12">
        <f>L34+J34+SUM(N34:S34)</f>
        <v>203502734.23772502</v>
      </c>
      <c r="V34" s="8">
        <f>E34-U34</f>
        <v>60577.469999969006</v>
      </c>
    </row>
    <row r="35" spans="1:22" x14ac:dyDescent="0.25">
      <c r="B35" s="11" t="s">
        <v>32</v>
      </c>
      <c r="C35" s="50" t="s">
        <v>44</v>
      </c>
      <c r="E35" s="49">
        <f>SUM(J34:S34)</f>
        <v>203502734.23772502</v>
      </c>
      <c r="F35" s="6">
        <v>21000000</v>
      </c>
      <c r="G35" s="25"/>
      <c r="H35" s="4"/>
      <c r="I35"/>
      <c r="J35" s="4"/>
      <c r="K35" s="4"/>
      <c r="L35" s="42">
        <f>-F35</f>
        <v>-21000000</v>
      </c>
      <c r="M35"/>
      <c r="N35"/>
      <c r="O35"/>
      <c r="P35"/>
      <c r="Q35"/>
      <c r="R35"/>
      <c r="S35"/>
      <c r="T35"/>
      <c r="U35"/>
    </row>
    <row r="36" spans="1:22" x14ac:dyDescent="0.25">
      <c r="B36" s="11"/>
      <c r="C36" s="2"/>
      <c r="E36" s="4"/>
      <c r="F36" s="4"/>
      <c r="G36" s="25"/>
      <c r="H36" s="4"/>
      <c r="I36"/>
      <c r="J36" s="4"/>
      <c r="K36" s="4"/>
      <c r="L36" s="32">
        <f>-SUM(N36:S36)</f>
        <v>20000000</v>
      </c>
      <c r="M36"/>
      <c r="N36" s="33">
        <v>-20000000</v>
      </c>
      <c r="O36" s="33"/>
      <c r="P36" s="33"/>
      <c r="Q36" s="33"/>
      <c r="R36" s="33"/>
      <c r="S36" s="33"/>
      <c r="T36" s="19"/>
      <c r="U36"/>
    </row>
    <row r="37" spans="1:22" x14ac:dyDescent="0.25">
      <c r="B37" s="11"/>
      <c r="C37" s="2"/>
      <c r="E37" s="4"/>
      <c r="F37" s="4"/>
      <c r="G37" s="4"/>
      <c r="H37" s="4"/>
      <c r="I37"/>
      <c r="J37" s="4"/>
      <c r="K37" s="4"/>
      <c r="L37" s="32">
        <f>-SUM(N37:S37)</f>
        <v>0</v>
      </c>
      <c r="M37"/>
      <c r="N37" s="44"/>
      <c r="O37" s="44"/>
      <c r="P37" s="44"/>
      <c r="Q37" s="44"/>
      <c r="R37" s="44"/>
      <c r="S37" s="44"/>
      <c r="T37" s="19"/>
      <c r="U37"/>
    </row>
    <row r="38" spans="1:22" x14ac:dyDescent="0.25">
      <c r="B38" s="11"/>
      <c r="C38" s="2"/>
      <c r="E38" s="4"/>
      <c r="F38" s="4"/>
      <c r="G38" s="4"/>
      <c r="H38" s="4"/>
      <c r="I38"/>
      <c r="J38" s="4"/>
      <c r="K38" s="4"/>
      <c r="L38" s="32">
        <f>-SUM(N38:S38)</f>
        <v>0</v>
      </c>
      <c r="M38"/>
      <c r="N38" s="34"/>
      <c r="O38" s="34"/>
      <c r="P38" s="34"/>
      <c r="Q38" s="34"/>
      <c r="R38" s="34"/>
      <c r="S38" s="34"/>
      <c r="T38" s="19"/>
      <c r="U38"/>
    </row>
    <row r="39" spans="1:22" x14ac:dyDescent="0.25">
      <c r="B39" s="11"/>
      <c r="C39" s="2"/>
      <c r="E39" s="4"/>
      <c r="F39" s="4"/>
      <c r="G39" s="4"/>
      <c r="H39" s="4"/>
      <c r="I39"/>
      <c r="J39" s="4"/>
      <c r="K39" s="4"/>
      <c r="L39" s="32">
        <f>-SUM(N39:S39)</f>
        <v>0</v>
      </c>
      <c r="M39"/>
      <c r="N39" s="45"/>
      <c r="O39" s="45"/>
      <c r="P39" s="45"/>
      <c r="Q39" s="45"/>
      <c r="R39" s="45"/>
      <c r="S39" s="45"/>
      <c r="T39" s="19"/>
      <c r="U39"/>
    </row>
    <row r="40" spans="1:22" x14ac:dyDescent="0.25">
      <c r="B40" s="23" t="s">
        <v>9</v>
      </c>
      <c r="C40" s="13">
        <f>EOMONTH(C34,1)</f>
        <v>46053</v>
      </c>
      <c r="D40" s="18"/>
      <c r="E40" s="12">
        <f>E34-F35</f>
        <v>182563311.70772499</v>
      </c>
      <c r="F40" s="25"/>
      <c r="G40" s="25"/>
      <c r="H40" s="25"/>
      <c r="I40"/>
      <c r="J40" s="15">
        <f>J34-F35-L35</f>
        <v>538000</v>
      </c>
      <c r="K40" s="4"/>
      <c r="L40" s="15">
        <f>SUM(L34:L39)</f>
        <v>2940000</v>
      </c>
      <c r="M40"/>
      <c r="N40" s="15">
        <f t="shared" ref="N40:S40" si="2">N34+SUM(N36:N39)</f>
        <v>46000000</v>
      </c>
      <c r="O40" s="15">
        <f t="shared" si="2"/>
        <v>100024734.237725</v>
      </c>
      <c r="P40" s="15">
        <f t="shared" si="2"/>
        <v>15000000</v>
      </c>
      <c r="Q40" s="15">
        <f t="shared" si="2"/>
        <v>12000000</v>
      </c>
      <c r="R40" s="15">
        <f t="shared" si="2"/>
        <v>6000000</v>
      </c>
      <c r="S40" s="15">
        <f t="shared" si="2"/>
        <v>0</v>
      </c>
      <c r="T40" s="26"/>
      <c r="U40" s="12">
        <f>L40+J40+SUM(N40:S40)</f>
        <v>182502734.23772502</v>
      </c>
      <c r="V40" s="8">
        <f>E40-U40</f>
        <v>60577.469999969006</v>
      </c>
    </row>
    <row r="41" spans="1:22" x14ac:dyDescent="0.25">
      <c r="B41" s="11" t="s">
        <v>49</v>
      </c>
      <c r="C41" s="50" t="s">
        <v>44</v>
      </c>
      <c r="E41" s="49">
        <f>SUM(J40:S40)</f>
        <v>182502734.23772502</v>
      </c>
      <c r="F41" s="6">
        <f>50*10^6/3</f>
        <v>16666666.666666666</v>
      </c>
      <c r="G41" s="25"/>
      <c r="H41" s="4"/>
      <c r="I41"/>
      <c r="J41" s="4"/>
      <c r="K41" s="4"/>
      <c r="L41" s="42">
        <f>-F41</f>
        <v>-16666666.666666666</v>
      </c>
      <c r="M41"/>
      <c r="N41"/>
      <c r="O41"/>
      <c r="P41"/>
      <c r="Q41"/>
      <c r="R41"/>
      <c r="S41"/>
      <c r="T41"/>
      <c r="U41"/>
    </row>
    <row r="42" spans="1:22" x14ac:dyDescent="0.25">
      <c r="B42" s="11"/>
      <c r="C42" s="2"/>
      <c r="E42" s="4"/>
      <c r="F42" s="4"/>
      <c r="G42" s="25"/>
      <c r="H42" s="4"/>
      <c r="I42"/>
      <c r="J42" s="4"/>
      <c r="K42" s="4"/>
      <c r="L42" s="32">
        <f>-SUM(N42:S42)</f>
        <v>18000000</v>
      </c>
      <c r="M42"/>
      <c r="N42" s="33">
        <v>-18000000</v>
      </c>
      <c r="O42" s="33"/>
      <c r="P42" s="33"/>
      <c r="Q42" s="33"/>
      <c r="R42" s="33"/>
      <c r="S42" s="33"/>
      <c r="T42" s="19"/>
      <c r="U42"/>
    </row>
    <row r="43" spans="1:22" x14ac:dyDescent="0.25">
      <c r="B43" s="11"/>
      <c r="C43" s="2"/>
      <c r="E43" s="4"/>
      <c r="F43" s="4"/>
      <c r="G43" s="4"/>
      <c r="H43" s="4"/>
      <c r="I43"/>
      <c r="J43" s="4"/>
      <c r="K43" s="4"/>
      <c r="L43" s="32">
        <f>-SUM(N43:S43)</f>
        <v>0</v>
      </c>
      <c r="M43"/>
      <c r="N43" s="44"/>
      <c r="O43" s="44"/>
      <c r="P43" s="44"/>
      <c r="Q43" s="44"/>
      <c r="R43" s="44"/>
      <c r="S43" s="44"/>
      <c r="T43" s="19"/>
      <c r="U43"/>
    </row>
    <row r="44" spans="1:22" x14ac:dyDescent="0.25">
      <c r="B44" s="11"/>
      <c r="C44" s="2"/>
      <c r="E44" s="4"/>
      <c r="F44" s="4"/>
      <c r="G44" s="4"/>
      <c r="H44" s="4"/>
      <c r="I44"/>
      <c r="J44" s="4"/>
      <c r="K44" s="4"/>
      <c r="L44" s="32">
        <f>-SUM(N44:S44)</f>
        <v>0</v>
      </c>
      <c r="M44"/>
      <c r="N44" s="34"/>
      <c r="O44" s="34"/>
      <c r="P44" s="34"/>
      <c r="Q44" s="34"/>
      <c r="R44" s="34"/>
      <c r="S44" s="34"/>
      <c r="T44" s="19"/>
      <c r="U44"/>
    </row>
    <row r="45" spans="1:22" x14ac:dyDescent="0.25">
      <c r="B45" s="11"/>
      <c r="C45" s="2"/>
      <c r="E45" s="4"/>
      <c r="F45" s="4"/>
      <c r="G45" s="4"/>
      <c r="H45" s="4"/>
      <c r="I45"/>
      <c r="J45" s="4"/>
      <c r="K45" s="4"/>
      <c r="L45" s="32">
        <f>-SUM(N45:S45)</f>
        <v>0</v>
      </c>
      <c r="M45"/>
      <c r="N45" s="45"/>
      <c r="O45" s="45"/>
      <c r="P45" s="45"/>
      <c r="Q45" s="45"/>
      <c r="R45" s="45"/>
      <c r="S45" s="45"/>
      <c r="T45" s="19"/>
      <c r="U45"/>
    </row>
    <row r="46" spans="1:22" x14ac:dyDescent="0.25">
      <c r="B46" s="23" t="s">
        <v>9</v>
      </c>
      <c r="C46" s="13">
        <f>EOMONTH(C40,1)</f>
        <v>46081</v>
      </c>
      <c r="D46" s="18"/>
      <c r="E46" s="12">
        <f>E40-F41</f>
        <v>165896645.04105833</v>
      </c>
      <c r="F46" s="25"/>
      <c r="G46" s="25"/>
      <c r="H46" s="25"/>
      <c r="I46"/>
      <c r="J46" s="15">
        <f>J40-F41-L41</f>
        <v>538000</v>
      </c>
      <c r="K46" s="4"/>
      <c r="L46" s="15">
        <f>SUM(L40:L45)</f>
        <v>4273333.333333334</v>
      </c>
      <c r="M46"/>
      <c r="N46" s="15">
        <f t="shared" ref="N46:S46" si="3">N40+SUM(N42:N45)</f>
        <v>28000000</v>
      </c>
      <c r="O46" s="15">
        <f t="shared" si="3"/>
        <v>100024734.237725</v>
      </c>
      <c r="P46" s="15">
        <f t="shared" si="3"/>
        <v>15000000</v>
      </c>
      <c r="Q46" s="15">
        <f t="shared" si="3"/>
        <v>12000000</v>
      </c>
      <c r="R46" s="15">
        <f t="shared" si="3"/>
        <v>6000000</v>
      </c>
      <c r="S46" s="15">
        <f t="shared" si="3"/>
        <v>0</v>
      </c>
      <c r="T46" s="26"/>
      <c r="U46" s="12">
        <f>L46+J46+SUM(N46:S46)</f>
        <v>165836067.57105836</v>
      </c>
      <c r="V46" s="8">
        <f>E46-U46</f>
        <v>60577.469999969006</v>
      </c>
    </row>
    <row r="47" spans="1:22" x14ac:dyDescent="0.25">
      <c r="A47" s="25"/>
      <c r="B47" s="25"/>
      <c r="C47" s="25"/>
      <c r="D47" s="25"/>
      <c r="E47" s="25"/>
      <c r="F47" s="6">
        <v>-30000000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 spans="1:22" x14ac:dyDescent="0.25">
      <c r="B48" s="11"/>
      <c r="C48" s="2"/>
      <c r="E48" s="4"/>
      <c r="F48" s="4"/>
      <c r="G48" s="4"/>
      <c r="H48" s="4"/>
      <c r="I48"/>
      <c r="J48" s="4"/>
      <c r="K48" s="4"/>
      <c r="L48" s="32">
        <v>30000000</v>
      </c>
      <c r="M48"/>
      <c r="N48" s="44"/>
      <c r="O48" s="44"/>
      <c r="P48" s="44"/>
      <c r="Q48" s="44"/>
      <c r="R48" s="44"/>
      <c r="S48" s="44"/>
      <c r="T48" s="19"/>
      <c r="U48"/>
    </row>
    <row r="49" spans="2:22" x14ac:dyDescent="0.25">
      <c r="B49" s="11"/>
      <c r="C49" s="2"/>
      <c r="E49" s="4"/>
      <c r="F49" s="4"/>
      <c r="G49" s="4"/>
      <c r="H49" s="4"/>
      <c r="I49"/>
      <c r="J49" s="4"/>
      <c r="K49" s="4"/>
      <c r="L49" s="32">
        <f>-SUM(N49:S49)</f>
        <v>-25000000</v>
      </c>
      <c r="M49"/>
      <c r="N49" s="34">
        <v>25000000</v>
      </c>
      <c r="O49" s="34"/>
      <c r="P49" s="34"/>
      <c r="Q49" s="34"/>
      <c r="R49" s="34"/>
      <c r="S49" s="34"/>
      <c r="T49" s="19"/>
      <c r="U49"/>
    </row>
    <row r="50" spans="2:22" x14ac:dyDescent="0.25">
      <c r="B50" s="23" t="s">
        <v>9</v>
      </c>
      <c r="C50" s="13">
        <v>46085</v>
      </c>
      <c r="D50" s="18"/>
      <c r="E50" s="12">
        <f>E46-F47</f>
        <v>195896645.04105833</v>
      </c>
      <c r="F50" s="25"/>
      <c r="G50" s="25"/>
      <c r="H50" s="25"/>
      <c r="I50"/>
      <c r="J50" s="15">
        <f>J46-F47-L46</f>
        <v>26264666.666666664</v>
      </c>
      <c r="K50" s="4"/>
      <c r="L50" s="15">
        <f>SUM(L46:L49)</f>
        <v>9273333.3333333358</v>
      </c>
      <c r="M50"/>
      <c r="N50" s="15">
        <f>N46+SUM(N48:N49)</f>
        <v>53000000</v>
      </c>
      <c r="O50" s="15">
        <f t="shared" ref="O50:S50" si="4">O46+SUM(O48:O49)</f>
        <v>100024734.237725</v>
      </c>
      <c r="P50" s="15">
        <f t="shared" si="4"/>
        <v>15000000</v>
      </c>
      <c r="Q50" s="15">
        <f t="shared" si="4"/>
        <v>12000000</v>
      </c>
      <c r="R50" s="15">
        <f t="shared" si="4"/>
        <v>6000000</v>
      </c>
      <c r="S50" s="15">
        <f t="shared" si="4"/>
        <v>0</v>
      </c>
      <c r="T50" s="26"/>
      <c r="U50" s="12">
        <f>L50+J50+SUM(N50:S50)</f>
        <v>221562734.23772502</v>
      </c>
      <c r="V50" s="8">
        <f>E50-U50</f>
        <v>-25666089.196666688</v>
      </c>
    </row>
    <row r="51" spans="2:22" x14ac:dyDescent="0.25">
      <c r="B51" s="11" t="s">
        <v>50</v>
      </c>
      <c r="C51" s="50" t="s">
        <v>44</v>
      </c>
      <c r="E51" s="49">
        <f>SUM(J46:S46)</f>
        <v>165836067.57105833</v>
      </c>
      <c r="F51" s="6">
        <f>50*10^6/3</f>
        <v>16666666.666666666</v>
      </c>
      <c r="G51" s="25"/>
      <c r="H51" s="4"/>
      <c r="I51"/>
      <c r="J51" s="4"/>
      <c r="K51" s="4"/>
      <c r="L51" s="42">
        <f>-F51</f>
        <v>-16666666.666666666</v>
      </c>
      <c r="M51"/>
      <c r="N51"/>
      <c r="O51"/>
      <c r="P51"/>
      <c r="Q51"/>
      <c r="R51"/>
      <c r="S51"/>
      <c r="T51"/>
      <c r="U51"/>
    </row>
    <row r="52" spans="2:22" x14ac:dyDescent="0.25">
      <c r="B52" s="11"/>
      <c r="C52" s="2"/>
      <c r="E52" s="4"/>
      <c r="F52" s="4"/>
      <c r="G52" s="25"/>
      <c r="H52" s="4"/>
      <c r="I52"/>
      <c r="J52" s="4"/>
      <c r="K52" s="4"/>
      <c r="L52" s="32">
        <f>-SUM(N52:S52)</f>
        <v>10000000</v>
      </c>
      <c r="M52"/>
      <c r="N52" s="33">
        <v>-10000000</v>
      </c>
      <c r="O52" s="33"/>
      <c r="P52" s="33"/>
      <c r="Q52" s="33"/>
      <c r="R52" s="33"/>
      <c r="S52" s="33"/>
      <c r="T52" s="19"/>
      <c r="U52"/>
    </row>
    <row r="53" spans="2:22" x14ac:dyDescent="0.25">
      <c r="B53" s="11"/>
      <c r="C53" s="2"/>
      <c r="E53" s="4"/>
      <c r="F53" s="4"/>
      <c r="G53" s="4"/>
      <c r="H53" s="4"/>
      <c r="I53"/>
      <c r="J53" s="4"/>
      <c r="K53" s="4"/>
      <c r="L53" s="32">
        <f>-SUM(N53:S53)</f>
        <v>0</v>
      </c>
      <c r="M53"/>
      <c r="N53" s="44"/>
      <c r="O53" s="44"/>
      <c r="P53" s="44"/>
      <c r="Q53" s="44"/>
      <c r="R53" s="44"/>
      <c r="S53" s="44"/>
      <c r="T53" s="19"/>
      <c r="U53"/>
    </row>
    <row r="54" spans="2:22" x14ac:dyDescent="0.25">
      <c r="B54" s="11"/>
      <c r="C54" s="2"/>
      <c r="E54" s="4"/>
      <c r="F54" s="4"/>
      <c r="G54" s="4"/>
      <c r="H54" s="4"/>
      <c r="I54"/>
      <c r="J54" s="4"/>
      <c r="K54" s="4"/>
      <c r="L54" s="32">
        <f>-SUM(N54:S54)</f>
        <v>0</v>
      </c>
      <c r="M54"/>
      <c r="N54" s="34"/>
      <c r="O54" s="34"/>
      <c r="P54" s="34"/>
      <c r="Q54" s="34"/>
      <c r="R54" s="34"/>
      <c r="S54" s="34"/>
      <c r="T54" s="19"/>
      <c r="U54"/>
    </row>
    <row r="55" spans="2:22" x14ac:dyDescent="0.25">
      <c r="B55" s="11"/>
      <c r="C55" s="2"/>
      <c r="E55" s="4"/>
      <c r="F55" s="4"/>
      <c r="G55" s="4"/>
      <c r="H55" s="4"/>
      <c r="I55"/>
      <c r="J55" s="4"/>
      <c r="K55" s="4"/>
      <c r="L55" s="32">
        <f>-SUM(N55:S55)</f>
        <v>0</v>
      </c>
      <c r="M55"/>
      <c r="N55" s="45"/>
      <c r="O55" s="45"/>
      <c r="P55" s="45"/>
      <c r="Q55" s="45"/>
      <c r="R55" s="45"/>
      <c r="S55" s="45"/>
      <c r="T55" s="19"/>
      <c r="U55"/>
    </row>
    <row r="56" spans="2:22" x14ac:dyDescent="0.25">
      <c r="B56" s="23" t="s">
        <v>9</v>
      </c>
      <c r="C56" s="13">
        <f>EOMONTH(C46,1)</f>
        <v>46112</v>
      </c>
      <c r="D56" s="18"/>
      <c r="E56" s="12">
        <f>E46-F51</f>
        <v>149229978.37439167</v>
      </c>
      <c r="F56" s="25"/>
      <c r="G56" s="25"/>
      <c r="H56" s="25"/>
      <c r="I56"/>
      <c r="J56" s="15">
        <f>J50-F51-L51</f>
        <v>26264666.666666664</v>
      </c>
      <c r="K56" s="4"/>
      <c r="L56" s="15">
        <f>SUM(L50:L55)</f>
        <v>2606666.6666666698</v>
      </c>
      <c r="M56"/>
      <c r="N56" s="15">
        <f>N50+SUM(N52:N55)</f>
        <v>43000000</v>
      </c>
      <c r="O56" s="15">
        <f t="shared" ref="O56:S56" si="5">O50+SUM(O52:O55)</f>
        <v>100024734.237725</v>
      </c>
      <c r="P56" s="15">
        <f t="shared" si="5"/>
        <v>15000000</v>
      </c>
      <c r="Q56" s="15">
        <f t="shared" si="5"/>
        <v>12000000</v>
      </c>
      <c r="R56" s="15">
        <f t="shared" si="5"/>
        <v>6000000</v>
      </c>
      <c r="S56" s="15">
        <f t="shared" si="5"/>
        <v>0</v>
      </c>
      <c r="T56" s="26"/>
      <c r="U56" s="12">
        <f>L56+J56+SUM(N56:S56)</f>
        <v>204896067.57105836</v>
      </c>
      <c r="V56" s="8">
        <f>E56-U56</f>
        <v>-55666089.196666688</v>
      </c>
    </row>
    <row r="58" spans="2:22" x14ac:dyDescent="0.25">
      <c r="F58" s="51" t="s">
        <v>63</v>
      </c>
    </row>
    <row r="59" spans="2:22" x14ac:dyDescent="0.25">
      <c r="F59" s="51" t="s">
        <v>57</v>
      </c>
    </row>
    <row r="60" spans="2:22" x14ac:dyDescent="0.25">
      <c r="F60" s="51" t="s">
        <v>59</v>
      </c>
    </row>
    <row r="61" spans="2:22" x14ac:dyDescent="0.25">
      <c r="F61" s="56" t="s">
        <v>58</v>
      </c>
    </row>
    <row r="62" spans="2:22" x14ac:dyDescent="0.25">
      <c r="F62" s="56" t="s">
        <v>64</v>
      </c>
    </row>
    <row r="63" spans="2:22" x14ac:dyDescent="0.25">
      <c r="F63" s="50"/>
    </row>
    <row r="64" spans="2:22" x14ac:dyDescent="0.25">
      <c r="F64" s="46" t="s">
        <v>45</v>
      </c>
      <c r="G64" s="46"/>
    </row>
    <row r="65" spans="6:7" x14ac:dyDescent="0.25">
      <c r="F65" s="46" t="s">
        <v>47</v>
      </c>
      <c r="G65" s="46"/>
    </row>
    <row r="66" spans="6:7" x14ac:dyDescent="0.25">
      <c r="F66" s="51" t="s">
        <v>48</v>
      </c>
      <c r="G66" s="46"/>
    </row>
  </sheetData>
  <phoneticPr fontId="10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C7C6-92D6-403D-B795-BA5F62B73395}">
  <dimension ref="B1:Y63"/>
  <sheetViews>
    <sheetView showGridLines="0" tabSelected="1" topLeftCell="A9" zoomScaleNormal="100" workbookViewId="0">
      <selection activeCell="L42" sqref="L42"/>
    </sheetView>
  </sheetViews>
  <sheetFormatPr baseColWidth="10" defaultRowHeight="15" x14ac:dyDescent="0.25"/>
  <cols>
    <col min="1" max="1" width="0.28515625" customWidth="1"/>
    <col min="2" max="2" width="19" bestFit="1" customWidth="1"/>
    <col min="4" max="4" width="0.5703125" customWidth="1"/>
    <col min="5" max="5" width="26.42578125" style="2" bestFit="1" customWidth="1"/>
    <col min="6" max="7" width="15.28515625" style="2" customWidth="1"/>
    <col min="8" max="8" width="2.140625" style="2" customWidth="1"/>
    <col min="9" max="9" width="19.85546875" style="2" bestFit="1" customWidth="1"/>
    <col min="10" max="10" width="19.85546875" style="2" customWidth="1"/>
    <col min="11" max="11" width="1.140625" style="3" customWidth="1"/>
    <col min="12" max="12" width="18.5703125" style="3" bestFit="1" customWidth="1"/>
    <col min="13" max="13" width="1.5703125" style="3" customWidth="1"/>
    <col min="14" max="14" width="2" style="3" customWidth="1"/>
    <col min="15" max="15" width="46.7109375" style="3" customWidth="1"/>
    <col min="16" max="16" width="17.42578125" style="3" bestFit="1" customWidth="1"/>
    <col min="17" max="17" width="26.140625" style="3" bestFit="1" customWidth="1"/>
    <col min="18" max="18" width="11" style="3" customWidth="1"/>
    <col min="19" max="19" width="11.5703125" style="3" bestFit="1" customWidth="1"/>
    <col min="20" max="20" width="1.85546875" style="3" customWidth="1"/>
    <col min="21" max="21" width="24.140625" style="3" customWidth="1"/>
    <col min="22" max="22" width="18.5703125" bestFit="1" customWidth="1"/>
  </cols>
  <sheetData>
    <row r="1" spans="2:25" x14ac:dyDescent="0.25">
      <c r="B1" t="s">
        <v>33</v>
      </c>
      <c r="E1"/>
      <c r="F1"/>
      <c r="G1"/>
      <c r="H1"/>
      <c r="I1"/>
      <c r="J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5" x14ac:dyDescent="0.25">
      <c r="E2"/>
      <c r="F2"/>
      <c r="G2"/>
      <c r="H2"/>
      <c r="I2"/>
      <c r="J2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5" x14ac:dyDescent="0.25">
      <c r="B3" s="5"/>
      <c r="C3" s="7" t="s">
        <v>23</v>
      </c>
      <c r="D3" s="7"/>
      <c r="E3" s="5"/>
      <c r="F3" s="5"/>
      <c r="G3" s="5"/>
      <c r="H3" s="5"/>
      <c r="I3" s="5"/>
      <c r="J3" s="5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2:25" x14ac:dyDescent="0.25">
      <c r="E4"/>
      <c r="F4"/>
      <c r="G4"/>
      <c r="H4"/>
      <c r="I4"/>
      <c r="J4"/>
      <c r="K4" s="1"/>
      <c r="L4" s="1"/>
      <c r="M4" s="1"/>
      <c r="N4" s="1"/>
      <c r="O4" s="41" t="s">
        <v>29</v>
      </c>
      <c r="P4" s="1"/>
      <c r="Q4" s="1"/>
      <c r="R4" s="1"/>
      <c r="S4" s="1"/>
      <c r="T4" s="1"/>
      <c r="U4" s="1"/>
    </row>
    <row r="5" spans="2:25" x14ac:dyDescent="0.25">
      <c r="E5"/>
      <c r="F5"/>
      <c r="G5"/>
      <c r="H5"/>
      <c r="I5"/>
      <c r="J5"/>
      <c r="K5" s="1"/>
      <c r="L5" s="21" t="s">
        <v>6</v>
      </c>
      <c r="M5" s="36"/>
      <c r="N5" s="1"/>
      <c r="O5" s="40" t="s">
        <v>30</v>
      </c>
      <c r="P5" s="1"/>
      <c r="Q5" s="1"/>
      <c r="R5" s="1"/>
      <c r="S5" s="1"/>
      <c r="T5" s="1"/>
      <c r="U5" s="1"/>
    </row>
    <row r="6" spans="2:25" x14ac:dyDescent="0.25">
      <c r="B6" t="s">
        <v>7</v>
      </c>
      <c r="E6"/>
      <c r="F6"/>
      <c r="G6"/>
      <c r="H6"/>
      <c r="I6"/>
      <c r="J6"/>
      <c r="K6" s="1"/>
      <c r="L6" s="15" t="s">
        <v>5</v>
      </c>
      <c r="M6" s="37"/>
      <c r="N6" s="1"/>
      <c r="O6" s="20" t="s">
        <v>26</v>
      </c>
      <c r="P6" s="20" t="s">
        <v>28</v>
      </c>
      <c r="Q6" s="1"/>
      <c r="R6" s="1"/>
      <c r="S6" s="1"/>
      <c r="T6" s="1"/>
      <c r="U6" s="1"/>
    </row>
    <row r="7" spans="2:25" x14ac:dyDescent="0.25">
      <c r="E7"/>
      <c r="F7"/>
      <c r="G7"/>
      <c r="H7"/>
      <c r="I7"/>
      <c r="J7"/>
      <c r="K7" s="1"/>
      <c r="L7" s="9" t="s">
        <v>5</v>
      </c>
      <c r="M7" s="38"/>
      <c r="N7" s="1"/>
      <c r="O7" s="24" t="s">
        <v>27</v>
      </c>
      <c r="P7" s="43" t="s">
        <v>31</v>
      </c>
      <c r="Q7" s="1"/>
      <c r="R7" s="1"/>
      <c r="S7" s="1"/>
      <c r="T7" s="1"/>
      <c r="U7" s="1"/>
    </row>
    <row r="8" spans="2:25" x14ac:dyDescent="0.25">
      <c r="E8"/>
      <c r="F8"/>
      <c r="G8"/>
      <c r="H8"/>
      <c r="J8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2:25" x14ac:dyDescent="0.25">
      <c r="E9"/>
      <c r="F9"/>
      <c r="G9"/>
      <c r="H9"/>
      <c r="I9" s="17" t="s">
        <v>8</v>
      </c>
      <c r="J9"/>
      <c r="K9" s="1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2:25" x14ac:dyDescent="0.25">
      <c r="E10" s="10" t="s">
        <v>22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2:25" x14ac:dyDescent="0.25">
      <c r="E11" s="10" t="s">
        <v>9</v>
      </c>
      <c r="F11" s="10" t="s">
        <v>1</v>
      </c>
      <c r="G11" s="27" t="s">
        <v>43</v>
      </c>
      <c r="H11"/>
      <c r="I11"/>
      <c r="J11"/>
      <c r="K11" s="4"/>
      <c r="L11" s="31">
        <v>3.15E-2</v>
      </c>
      <c r="M11" s="4"/>
      <c r="N11" s="4"/>
      <c r="O11" s="31">
        <f>3.7%+0.1%</f>
        <v>3.8000000000000006E-2</v>
      </c>
      <c r="P11" s="31">
        <v>3.9899999999999998E-2</v>
      </c>
      <c r="Q11" s="31">
        <v>3.9199999999999999E-2</v>
      </c>
      <c r="R11" s="31">
        <v>3.7499999999999999E-2</v>
      </c>
      <c r="S11" s="31">
        <v>3.73E-2</v>
      </c>
      <c r="T11" s="1"/>
      <c r="U11" s="1"/>
    </row>
    <row r="12" spans="2:25" ht="30" x14ac:dyDescent="0.25">
      <c r="E12" s="10" t="s">
        <v>24</v>
      </c>
      <c r="F12" s="10" t="s">
        <v>25</v>
      </c>
      <c r="G12" s="10" t="s">
        <v>2</v>
      </c>
      <c r="H12"/>
      <c r="I12" s="22" t="s">
        <v>11</v>
      </c>
      <c r="J12"/>
      <c r="K12" s="4"/>
      <c r="L12" s="22" t="s">
        <v>12</v>
      </c>
      <c r="M12" s="4"/>
      <c r="N12" s="4"/>
      <c r="O12" s="22" t="s">
        <v>18</v>
      </c>
      <c r="P12" s="22" t="s">
        <v>37</v>
      </c>
      <c r="Q12" s="22" t="s">
        <v>38</v>
      </c>
      <c r="R12" s="22" t="s">
        <v>39</v>
      </c>
      <c r="S12" s="22" t="s">
        <v>40</v>
      </c>
      <c r="T12" s="1"/>
      <c r="U12" s="35" t="s">
        <v>0</v>
      </c>
      <c r="V12" s="16" t="s">
        <v>3</v>
      </c>
    </row>
    <row r="13" spans="2:25" x14ac:dyDescent="0.25">
      <c r="B13" s="29" t="s">
        <v>21</v>
      </c>
      <c r="E13" s="29"/>
      <c r="F13" s="29"/>
      <c r="G13" s="29"/>
      <c r="H13" s="28"/>
      <c r="I13" s="30"/>
      <c r="J13"/>
      <c r="K13" s="28"/>
      <c r="L13" s="30" t="s">
        <v>19</v>
      </c>
      <c r="M13" s="4"/>
      <c r="N13" s="4"/>
      <c r="O13" s="30"/>
      <c r="P13" s="48">
        <v>46057</v>
      </c>
      <c r="Q13" s="48">
        <v>46146</v>
      </c>
      <c r="R13" s="48">
        <v>46238</v>
      </c>
      <c r="S13" s="48">
        <v>46330</v>
      </c>
      <c r="T13" s="1"/>
      <c r="U13" s="27"/>
      <c r="V13" s="16"/>
    </row>
    <row r="14" spans="2:25" ht="25.5" customHeight="1" x14ac:dyDescent="0.25">
      <c r="B14" s="2"/>
      <c r="C14" s="2"/>
      <c r="D14" s="2"/>
      <c r="J14"/>
      <c r="K14" s="2"/>
      <c r="L14" s="2"/>
      <c r="M14" s="4"/>
      <c r="N14" s="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2:25" hidden="1" x14ac:dyDescent="0.25">
      <c r="B15" s="23" t="s">
        <v>9</v>
      </c>
      <c r="C15" s="13">
        <v>45991</v>
      </c>
      <c r="D15" s="18"/>
      <c r="E15" s="12">
        <f>SUM(I15:S15)</f>
        <v>255781106.59999999</v>
      </c>
      <c r="F15" s="25"/>
      <c r="G15" s="4"/>
      <c r="H15" s="25"/>
      <c r="I15" s="15">
        <v>64750.6</v>
      </c>
      <c r="J15" s="54"/>
      <c r="K15" s="4"/>
      <c r="L15" s="15">
        <v>3400000</v>
      </c>
      <c r="M15" s="4"/>
      <c r="N15" s="4"/>
      <c r="O15" s="15">
        <v>226316356</v>
      </c>
      <c r="P15" s="15">
        <v>5000000</v>
      </c>
      <c r="Q15" s="15">
        <v>5000000</v>
      </c>
      <c r="R15" s="15">
        <v>10000000</v>
      </c>
      <c r="S15" s="15">
        <v>6000000</v>
      </c>
      <c r="T15" s="26"/>
      <c r="U15" s="12">
        <f>L15+I15+SUM(O15:S15)</f>
        <v>255781106.59999999</v>
      </c>
      <c r="V15" s="8">
        <f>E15-U15</f>
        <v>0</v>
      </c>
    </row>
    <row r="16" spans="2:25" hidden="1" x14ac:dyDescent="0.25">
      <c r="B16" s="11" t="s">
        <v>41</v>
      </c>
      <c r="C16" s="2"/>
      <c r="D16" s="18"/>
      <c r="E16" s="4"/>
      <c r="F16" s="6">
        <v>2000000</v>
      </c>
      <c r="G16" s="4"/>
      <c r="H16" s="25"/>
      <c r="I16" s="4"/>
      <c r="J16" s="54"/>
      <c r="K16" s="4"/>
      <c r="L16" s="43">
        <f>-F16</f>
        <v>-2000000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2:25" hidden="1" x14ac:dyDescent="0.25">
      <c r="B17" s="11"/>
      <c r="C17" s="2"/>
      <c r="D17" s="18"/>
      <c r="E17" s="4"/>
      <c r="F17" s="53">
        <f>60000000*1.18</f>
        <v>70800000</v>
      </c>
      <c r="G17" s="4"/>
      <c r="H17" s="25"/>
      <c r="I17" s="4"/>
      <c r="J17" s="54"/>
      <c r="K17" s="4"/>
      <c r="L17" s="43">
        <f>-F17-SUM(O17:S17)</f>
        <v>372267.79999999702</v>
      </c>
      <c r="M17" s="4"/>
      <c r="N17" s="4"/>
      <c r="O17" s="33">
        <v>-71172267.799999997</v>
      </c>
      <c r="P17" s="33"/>
      <c r="Q17" s="33"/>
      <c r="R17" s="33"/>
      <c r="S17" s="33"/>
      <c r="T17" s="4"/>
      <c r="U17" s="4"/>
      <c r="V17" s="4"/>
      <c r="W17" s="4"/>
    </row>
    <row r="18" spans="2:25" hidden="1" x14ac:dyDescent="0.25">
      <c r="B18" s="11"/>
      <c r="C18" s="2"/>
      <c r="E18" s="4"/>
      <c r="F18" s="4"/>
      <c r="G18" s="4"/>
      <c r="H18" s="4"/>
      <c r="I18" s="4"/>
      <c r="J18" s="54"/>
      <c r="K18" s="19"/>
      <c r="L18" s="52">
        <f>-SUM(O18:S18)</f>
        <v>0</v>
      </c>
      <c r="M18" s="4"/>
      <c r="N18" s="4"/>
      <c r="O18" s="33"/>
      <c r="P18" s="33"/>
      <c r="Q18" s="33"/>
      <c r="R18" s="33"/>
      <c r="S18" s="33"/>
      <c r="T18" s="19"/>
      <c r="U18" s="4"/>
      <c r="V18" s="4"/>
    </row>
    <row r="19" spans="2:25" hidden="1" x14ac:dyDescent="0.25">
      <c r="B19" s="11"/>
      <c r="C19" s="2"/>
      <c r="E19" s="4"/>
      <c r="F19" s="4"/>
      <c r="G19" s="4"/>
      <c r="H19" s="4"/>
      <c r="I19" s="4"/>
      <c r="J19" s="54"/>
      <c r="K19" s="19"/>
      <c r="L19" s="52">
        <f>-SUM(O19:S19)</f>
        <v>0</v>
      </c>
      <c r="M19" s="4"/>
      <c r="N19" s="4"/>
      <c r="O19" s="45"/>
      <c r="P19" s="45"/>
      <c r="Q19" s="45"/>
      <c r="R19" s="45"/>
      <c r="S19" s="45"/>
      <c r="T19" s="4"/>
      <c r="U19" s="4"/>
      <c r="V19" s="4"/>
      <c r="W19" s="4"/>
      <c r="X19" s="4"/>
      <c r="Y19" s="4"/>
    </row>
    <row r="20" spans="2:25" x14ac:dyDescent="0.25">
      <c r="B20" s="23" t="s">
        <v>9</v>
      </c>
      <c r="C20" s="13">
        <f>EOMONTH(C15,1)</f>
        <v>46022</v>
      </c>
      <c r="D20" s="18"/>
      <c r="E20" s="12">
        <f>SUM(I20:S20)</f>
        <v>184360000</v>
      </c>
      <c r="F20" s="25"/>
      <c r="G20" s="4"/>
      <c r="H20" s="25"/>
      <c r="I20" s="15">
        <v>240000</v>
      </c>
      <c r="J20" s="54"/>
      <c r="K20" s="4"/>
      <c r="L20" s="15">
        <v>2120000</v>
      </c>
      <c r="M20" s="4"/>
      <c r="N20" s="4"/>
      <c r="O20" s="15">
        <v>156000000</v>
      </c>
      <c r="P20" s="15">
        <f t="shared" ref="P20:S20" si="0">SUM(P15:P19)</f>
        <v>5000000</v>
      </c>
      <c r="Q20" s="15">
        <f t="shared" si="0"/>
        <v>5000000</v>
      </c>
      <c r="R20" s="15">
        <f t="shared" si="0"/>
        <v>10000000</v>
      </c>
      <c r="S20" s="15">
        <f t="shared" si="0"/>
        <v>6000000</v>
      </c>
      <c r="T20" s="26"/>
      <c r="U20" s="12">
        <f>L20+I20+SUM(O20:S20)</f>
        <v>184360000</v>
      </c>
      <c r="V20" s="8">
        <f>E20-U20</f>
        <v>0</v>
      </c>
    </row>
    <row r="21" spans="2:25" x14ac:dyDescent="0.25">
      <c r="B21" s="11" t="s">
        <v>32</v>
      </c>
      <c r="C21" s="2"/>
      <c r="E21" s="49">
        <f>SUM(I20:S20)</f>
        <v>184360000</v>
      </c>
      <c r="F21" s="6">
        <v>2000000</v>
      </c>
      <c r="G21" s="4"/>
      <c r="H21" s="4"/>
      <c r="I21" s="4"/>
      <c r="J21" s="54"/>
      <c r="K21" s="4"/>
      <c r="L21" s="43">
        <f>-F21</f>
        <v>-2000000</v>
      </c>
      <c r="M21" s="54"/>
      <c r="N21" s="54"/>
      <c r="O21" s="33"/>
      <c r="P21" s="33"/>
      <c r="Q21" s="33"/>
      <c r="R21" s="33"/>
      <c r="S21" s="33"/>
      <c r="T21" s="54"/>
      <c r="U21" s="54"/>
      <c r="V21" s="54"/>
    </row>
    <row r="22" spans="2:25" x14ac:dyDescent="0.25">
      <c r="B22" s="11"/>
      <c r="C22" s="2"/>
      <c r="E22" s="4"/>
      <c r="F22" s="4"/>
      <c r="G22" s="4"/>
      <c r="H22" s="4"/>
      <c r="I22" s="4"/>
      <c r="J22" s="54"/>
      <c r="K22" s="4"/>
      <c r="L22" s="52">
        <f>-SUM(O22:S22)</f>
        <v>0</v>
      </c>
      <c r="M22" s="4"/>
      <c r="N22" s="4"/>
      <c r="O22" s="33"/>
      <c r="P22" s="33"/>
      <c r="Q22" s="33"/>
      <c r="R22" s="33"/>
      <c r="S22" s="33"/>
      <c r="T22" s="19"/>
      <c r="U22" s="4"/>
      <c r="V22" s="4"/>
    </row>
    <row r="23" spans="2:25" x14ac:dyDescent="0.25">
      <c r="B23" s="11"/>
      <c r="C23" s="2"/>
      <c r="E23" s="4"/>
      <c r="F23" s="4"/>
      <c r="G23" s="4"/>
      <c r="H23" s="4"/>
      <c r="I23" s="4"/>
      <c r="J23" s="54"/>
      <c r="K23" s="4"/>
      <c r="L23" s="52">
        <f t="shared" ref="L23" si="1">-SUM(O23:S23)</f>
        <v>0</v>
      </c>
      <c r="M23" s="4"/>
      <c r="N23" s="4"/>
      <c r="O23" s="45"/>
      <c r="P23" s="45"/>
      <c r="Q23" s="45"/>
      <c r="R23" s="45"/>
      <c r="S23" s="45"/>
      <c r="T23" s="19"/>
      <c r="U23" s="4"/>
      <c r="V23" s="4"/>
    </row>
    <row r="24" spans="2:25" x14ac:dyDescent="0.25">
      <c r="B24" s="23" t="s">
        <v>9</v>
      </c>
      <c r="C24" s="13">
        <f>EOMONTH(C20,1)</f>
        <v>46053</v>
      </c>
      <c r="D24" s="18"/>
      <c r="E24" s="12">
        <f>E20-F21</f>
        <v>182360000</v>
      </c>
      <c r="F24" s="25"/>
      <c r="G24" s="4"/>
      <c r="H24" s="25"/>
      <c r="I24" s="15">
        <f>I20-F21-L21</f>
        <v>240000</v>
      </c>
      <c r="J24" s="54"/>
      <c r="K24" s="4"/>
      <c r="L24" s="15">
        <f>SUM(L20:L23)</f>
        <v>120000</v>
      </c>
      <c r="M24" s="4"/>
      <c r="N24" s="4"/>
      <c r="O24" s="15">
        <f>SUM(O20:O23)</f>
        <v>156000000</v>
      </c>
      <c r="P24" s="15">
        <f t="shared" ref="P24:S24" si="2">SUM(P20:P23)</f>
        <v>5000000</v>
      </c>
      <c r="Q24" s="15">
        <f t="shared" si="2"/>
        <v>5000000</v>
      </c>
      <c r="R24" s="15">
        <f t="shared" si="2"/>
        <v>10000000</v>
      </c>
      <c r="S24" s="15">
        <f t="shared" si="2"/>
        <v>6000000</v>
      </c>
      <c r="T24" s="26"/>
      <c r="U24" s="12">
        <f>L24+I24+SUM(O24:S24)</f>
        <v>182360000</v>
      </c>
      <c r="V24" s="8">
        <f>E24-U24</f>
        <v>0</v>
      </c>
    </row>
    <row r="25" spans="2:25" x14ac:dyDescent="0.25">
      <c r="B25" s="11" t="s">
        <v>42</v>
      </c>
      <c r="C25" s="2"/>
      <c r="E25" s="49">
        <f>SUM(I24:T24)</f>
        <v>182360000</v>
      </c>
      <c r="F25" s="6">
        <f>11000000/3</f>
        <v>3666666.6666666665</v>
      </c>
      <c r="G25" s="4"/>
      <c r="H25" s="4"/>
      <c r="I25" s="4"/>
      <c r="J25" s="54"/>
      <c r="K25" s="4"/>
      <c r="L25" s="43">
        <f>-F25</f>
        <v>-3666666.6666666665</v>
      </c>
      <c r="M25" s="19"/>
      <c r="N25" s="19"/>
      <c r="O25" s="19"/>
      <c r="P25" s="19"/>
      <c r="Q25" s="19"/>
      <c r="R25" s="19"/>
      <c r="S25" s="19"/>
      <c r="T25" s="19"/>
      <c r="U25" s="19"/>
      <c r="V25" s="54"/>
    </row>
    <row r="26" spans="2:25" x14ac:dyDescent="0.25">
      <c r="B26" s="11"/>
      <c r="C26" s="2"/>
      <c r="E26" s="4"/>
      <c r="F26" s="4"/>
      <c r="G26" s="4"/>
      <c r="H26" s="4"/>
      <c r="I26" s="4"/>
      <c r="J26" s="54"/>
      <c r="K26" s="4"/>
      <c r="L26" s="52">
        <f>-SUM(O26:S26)</f>
        <v>5000000</v>
      </c>
      <c r="M26" s="4"/>
      <c r="N26" s="4"/>
      <c r="O26" s="33"/>
      <c r="P26" s="33">
        <v>-5000000</v>
      </c>
      <c r="Q26" s="33"/>
      <c r="R26" s="33"/>
      <c r="S26" s="33"/>
      <c r="T26" s="19"/>
      <c r="U26" s="4"/>
      <c r="V26" s="4"/>
    </row>
    <row r="27" spans="2:25" x14ac:dyDescent="0.25">
      <c r="B27" s="11"/>
      <c r="C27" s="2"/>
      <c r="E27" s="4"/>
      <c r="F27" s="4"/>
      <c r="G27" s="4"/>
      <c r="H27" s="4"/>
      <c r="I27" s="4"/>
      <c r="J27" s="54"/>
      <c r="K27" s="4"/>
      <c r="L27" s="52"/>
      <c r="M27" s="4"/>
      <c r="N27" s="4"/>
      <c r="O27" s="44">
        <v>-1000000</v>
      </c>
      <c r="P27" s="44"/>
      <c r="Q27" s="44"/>
      <c r="R27" s="44"/>
      <c r="S27" s="44"/>
      <c r="T27" s="19"/>
      <c r="U27" s="4"/>
      <c r="V27" s="4"/>
    </row>
    <row r="28" spans="2:25" x14ac:dyDescent="0.25">
      <c r="B28" s="11"/>
      <c r="J28" s="54"/>
      <c r="K28" s="4"/>
      <c r="L28" s="52">
        <f>-SUM(O28:S28)</f>
        <v>-4500000</v>
      </c>
      <c r="M28" s="4"/>
      <c r="N28" s="4"/>
      <c r="O28" s="34">
        <v>4500000</v>
      </c>
      <c r="P28" s="34"/>
      <c r="Q28" s="34"/>
      <c r="R28" s="34"/>
      <c r="S28" s="34"/>
      <c r="T28" s="19"/>
      <c r="U28" s="4"/>
      <c r="V28" s="4"/>
    </row>
    <row r="29" spans="2:25" x14ac:dyDescent="0.25">
      <c r="B29" s="11"/>
      <c r="J29" s="54"/>
      <c r="K29" s="4"/>
      <c r="L29" s="60">
        <v>4800000</v>
      </c>
      <c r="M29" s="4"/>
      <c r="N29" s="4"/>
      <c r="O29" s="34"/>
      <c r="P29" s="34"/>
      <c r="Q29" s="34"/>
      <c r="R29" s="34"/>
      <c r="S29" s="34"/>
      <c r="T29" s="19"/>
      <c r="U29" s="4"/>
      <c r="V29" s="4"/>
    </row>
    <row r="30" spans="2:25" x14ac:dyDescent="0.25">
      <c r="B30" s="23" t="s">
        <v>9</v>
      </c>
      <c r="C30" s="13">
        <f>EOMONTH(C25,1)</f>
        <v>59</v>
      </c>
      <c r="D30" s="18"/>
      <c r="E30" s="12">
        <f>E24-F25</f>
        <v>178693333.33333334</v>
      </c>
      <c r="F30" s="25"/>
      <c r="G30" s="4"/>
      <c r="H30" s="25"/>
      <c r="I30" s="15">
        <f>I24-F25-L25</f>
        <v>240000</v>
      </c>
      <c r="J30" s="54"/>
      <c r="K30" s="4"/>
      <c r="L30" s="15">
        <f>SUM(L24:L29)</f>
        <v>1753333.3333333335</v>
      </c>
      <c r="M30" s="4"/>
      <c r="N30" s="4"/>
      <c r="O30" s="15">
        <f>SUM(O24:O28)</f>
        <v>159500000</v>
      </c>
      <c r="P30" s="15">
        <f t="shared" ref="P30:S30" si="3">SUM(P24:P28)</f>
        <v>0</v>
      </c>
      <c r="Q30" s="15">
        <f t="shared" si="3"/>
        <v>5000000</v>
      </c>
      <c r="R30" s="15">
        <f t="shared" si="3"/>
        <v>10000000</v>
      </c>
      <c r="S30" s="15">
        <f t="shared" si="3"/>
        <v>6000000</v>
      </c>
      <c r="T30" s="19"/>
      <c r="U30" s="12">
        <f>L30+I30+SUM(O30:S30)</f>
        <v>182493333.33333334</v>
      </c>
      <c r="V30" s="8">
        <f>E30-U30</f>
        <v>-3800000</v>
      </c>
    </row>
    <row r="31" spans="2:25" x14ac:dyDescent="0.25">
      <c r="B31" s="11" t="s">
        <v>50</v>
      </c>
      <c r="C31" s="2"/>
      <c r="E31" s="49">
        <f>SUM(I30:T30)</f>
        <v>182493333.33333334</v>
      </c>
      <c r="F31" s="6">
        <f>30*1.1725*10^6</f>
        <v>35175000.000000007</v>
      </c>
      <c r="G31" s="4"/>
      <c r="H31" s="4"/>
      <c r="I31" s="4"/>
      <c r="J31" s="54"/>
      <c r="K31" s="4"/>
      <c r="L31" s="43">
        <f>-F31</f>
        <v>-35175000.000000007</v>
      </c>
      <c r="M31" s="19"/>
      <c r="N31" s="19"/>
      <c r="O31" s="19"/>
      <c r="P31" s="19"/>
      <c r="Q31" s="19"/>
      <c r="R31" s="19"/>
      <c r="S31" s="19"/>
      <c r="T31" s="19"/>
      <c r="U31" s="19"/>
      <c r="V31" s="54"/>
    </row>
    <row r="32" spans="2:25" x14ac:dyDescent="0.25">
      <c r="B32" s="11"/>
      <c r="C32" s="2"/>
      <c r="E32" s="4"/>
      <c r="F32" s="4"/>
      <c r="G32" s="4"/>
      <c r="H32" s="4"/>
      <c r="I32" s="4"/>
      <c r="J32" s="54"/>
      <c r="K32" s="4"/>
      <c r="L32" s="52">
        <f>-SUM(O32:S32)</f>
        <v>35349940.799999997</v>
      </c>
      <c r="M32" s="4"/>
      <c r="N32" s="4"/>
      <c r="O32" s="33">
        <v>-35349940.799999997</v>
      </c>
      <c r="P32" s="33"/>
      <c r="Q32" s="33"/>
      <c r="R32" s="33"/>
      <c r="S32" s="33"/>
      <c r="T32" s="19"/>
      <c r="U32" s="4"/>
      <c r="V32" s="4"/>
    </row>
    <row r="33" spans="2:22" x14ac:dyDescent="0.25">
      <c r="B33" s="11"/>
      <c r="J33" s="54"/>
      <c r="K33" s="4"/>
      <c r="L33" s="52">
        <f>-SUM(O33:S33)</f>
        <v>0</v>
      </c>
      <c r="M33" s="4"/>
      <c r="N33" s="4"/>
      <c r="O33" s="34"/>
      <c r="P33" s="34"/>
      <c r="Q33" s="34"/>
      <c r="R33" s="34"/>
      <c r="S33" s="34"/>
      <c r="T33" s="19"/>
      <c r="U33" s="4"/>
      <c r="V33" s="4"/>
    </row>
    <row r="34" spans="2:22" x14ac:dyDescent="0.25">
      <c r="B34" s="23" t="s">
        <v>9</v>
      </c>
      <c r="C34" s="13" t="s">
        <v>77</v>
      </c>
      <c r="D34" s="18"/>
      <c r="E34" s="12">
        <f>E30-F31</f>
        <v>143518333.33333334</v>
      </c>
      <c r="F34" s="25"/>
      <c r="G34" s="4"/>
      <c r="H34" s="25"/>
      <c r="I34" s="15">
        <f>I30-F31-L31</f>
        <v>240000</v>
      </c>
      <c r="J34" s="54"/>
      <c r="K34" s="4"/>
      <c r="L34" s="15">
        <f>SUM(L30:L33)</f>
        <v>1928274.1333333217</v>
      </c>
      <c r="M34" s="4"/>
      <c r="N34" s="4"/>
      <c r="O34" s="15">
        <f>SUM(O30:O33)</f>
        <v>124150059.2</v>
      </c>
      <c r="P34" s="15">
        <f t="shared" ref="P34:S34" si="4">SUM(P30:P33)</f>
        <v>0</v>
      </c>
      <c r="Q34" s="15">
        <f t="shared" si="4"/>
        <v>5000000</v>
      </c>
      <c r="R34" s="15">
        <f t="shared" si="4"/>
        <v>10000000</v>
      </c>
      <c r="S34" s="15">
        <f t="shared" si="4"/>
        <v>6000000</v>
      </c>
      <c r="T34" s="26"/>
      <c r="U34" s="12">
        <f>L34+I34+SUM(O34:S34)</f>
        <v>147318333.33333331</v>
      </c>
      <c r="V34" s="8">
        <f>E34-U34</f>
        <v>-3799999.9999999702</v>
      </c>
    </row>
    <row r="35" spans="2:22" x14ac:dyDescent="0.25">
      <c r="B35" s="11" t="s">
        <v>50</v>
      </c>
      <c r="C35" s="2"/>
      <c r="E35" s="49">
        <f>SUM(I34:T34)</f>
        <v>147318333.33333331</v>
      </c>
      <c r="F35" s="6">
        <f>11000000/3</f>
        <v>3666666.6666666665</v>
      </c>
      <c r="G35" s="4"/>
      <c r="H35" s="4"/>
      <c r="I35" s="4"/>
      <c r="J35" s="54"/>
      <c r="K35" s="4"/>
      <c r="L35" s="43">
        <f>-F35</f>
        <v>-3666666.6666666665</v>
      </c>
      <c r="M35" s="19"/>
      <c r="N35" s="19"/>
      <c r="O35" s="19"/>
      <c r="P35" s="19"/>
      <c r="Q35" s="19"/>
      <c r="R35" s="19"/>
      <c r="S35" s="19"/>
      <c r="T35" s="19"/>
      <c r="U35" s="19"/>
      <c r="V35" s="54"/>
    </row>
    <row r="36" spans="2:22" x14ac:dyDescent="0.25">
      <c r="B36" s="11"/>
      <c r="C36" s="2"/>
      <c r="E36" s="4"/>
      <c r="F36" s="4"/>
      <c r="G36" s="4"/>
      <c r="H36" s="4"/>
      <c r="I36" s="4"/>
      <c r="J36" s="54"/>
      <c r="K36" s="4"/>
      <c r="L36" s="52">
        <f>-SUM(O36:S36)</f>
        <v>0</v>
      </c>
      <c r="M36" s="4"/>
      <c r="N36" s="4"/>
      <c r="O36" s="33"/>
      <c r="P36" s="33"/>
      <c r="Q36" s="33"/>
      <c r="R36" s="33"/>
      <c r="S36" s="33"/>
      <c r="T36" s="19"/>
      <c r="U36" s="4"/>
      <c r="V36" s="4"/>
    </row>
    <row r="37" spans="2:22" x14ac:dyDescent="0.25">
      <c r="B37" s="11"/>
      <c r="J37" s="54"/>
      <c r="K37" s="4"/>
      <c r="L37" s="52">
        <f>-SUM(O37:S37)</f>
        <v>5000000</v>
      </c>
      <c r="M37" s="4"/>
      <c r="N37" s="4"/>
      <c r="O37" s="34">
        <v>-5000000</v>
      </c>
      <c r="P37" s="34"/>
      <c r="Q37" s="34"/>
      <c r="R37" s="34"/>
      <c r="S37" s="34"/>
      <c r="T37" s="19"/>
      <c r="U37" s="4"/>
      <c r="V37" s="4"/>
    </row>
    <row r="38" spans="2:22" x14ac:dyDescent="0.25">
      <c r="B38" s="23" t="s">
        <v>9</v>
      </c>
      <c r="C38" s="13">
        <v>46112</v>
      </c>
      <c r="D38" s="18"/>
      <c r="E38" s="12">
        <f>E34-F35</f>
        <v>139851666.66666669</v>
      </c>
      <c r="F38" s="25"/>
      <c r="G38" s="4"/>
      <c r="H38" s="25"/>
      <c r="I38" s="15">
        <f>I34-F35-L35</f>
        <v>240000</v>
      </c>
      <c r="J38" s="54"/>
      <c r="K38" s="4"/>
      <c r="L38" s="15">
        <f>SUM(L34:L37)</f>
        <v>3261607.4666666551</v>
      </c>
      <c r="M38" s="4"/>
      <c r="N38" s="4"/>
      <c r="O38" s="15">
        <f>SUM(O34:O37)</f>
        <v>119150059.2</v>
      </c>
      <c r="P38" s="15">
        <f t="shared" ref="P38:S38" si="5">SUM(P34:P37)</f>
        <v>0</v>
      </c>
      <c r="Q38" s="15">
        <f t="shared" si="5"/>
        <v>5000000</v>
      </c>
      <c r="R38" s="15">
        <f t="shared" si="5"/>
        <v>10000000</v>
      </c>
      <c r="S38" s="15">
        <f t="shared" si="5"/>
        <v>6000000</v>
      </c>
      <c r="T38" s="26"/>
      <c r="U38" s="12">
        <f>L38+I38+SUM(O38:S38)</f>
        <v>143651666.66666666</v>
      </c>
      <c r="V38" s="8">
        <f>E38-U38</f>
        <v>-3799999.9999999702</v>
      </c>
    </row>
    <row r="39" spans="2:22" x14ac:dyDescent="0.25">
      <c r="E39" s="49">
        <f>SUM(I34:T34)</f>
        <v>147318333.33333331</v>
      </c>
    </row>
    <row r="40" spans="2:22" x14ac:dyDescent="0.25">
      <c r="O40" s="3" t="s">
        <v>74</v>
      </c>
    </row>
    <row r="41" spans="2:22" x14ac:dyDescent="0.25">
      <c r="O41" s="55" t="s">
        <v>54</v>
      </c>
    </row>
    <row r="42" spans="2:22" x14ac:dyDescent="0.25">
      <c r="C42" s="61" t="s">
        <v>78</v>
      </c>
      <c r="D42" s="61"/>
      <c r="E42" s="62"/>
      <c r="O42" s="55" t="s">
        <v>55</v>
      </c>
    </row>
    <row r="43" spans="2:22" x14ac:dyDescent="0.25">
      <c r="O43" s="57">
        <f>54-26</f>
        <v>28</v>
      </c>
      <c r="P43" s="3" t="s">
        <v>53</v>
      </c>
      <c r="Q43" s="3" t="s">
        <v>56</v>
      </c>
    </row>
    <row r="44" spans="2:22" x14ac:dyDescent="0.25">
      <c r="O44" s="57">
        <f>156-28</f>
        <v>128</v>
      </c>
      <c r="P44" s="3" t="s">
        <v>53</v>
      </c>
      <c r="Q44" s="55" t="s">
        <v>51</v>
      </c>
    </row>
    <row r="45" spans="2:22" x14ac:dyDescent="0.25">
      <c r="Q45" s="55" t="s">
        <v>52</v>
      </c>
    </row>
    <row r="47" spans="2:22" x14ac:dyDescent="0.25">
      <c r="O47" s="55" t="s">
        <v>60</v>
      </c>
    </row>
    <row r="48" spans="2:22" x14ac:dyDescent="0.25">
      <c r="O48" s="55" t="s">
        <v>61</v>
      </c>
    </row>
    <row r="49" spans="15:17" x14ac:dyDescent="0.25">
      <c r="O49" s="3" t="s">
        <v>62</v>
      </c>
    </row>
    <row r="50" spans="15:17" x14ac:dyDescent="0.25">
      <c r="O50" s="3" t="s">
        <v>67</v>
      </c>
      <c r="P50" s="57">
        <v>26</v>
      </c>
    </row>
    <row r="51" spans="15:17" x14ac:dyDescent="0.25">
      <c r="O51" s="3" t="s">
        <v>66</v>
      </c>
      <c r="P51" s="57">
        <v>28</v>
      </c>
      <c r="Q51" s="3" t="s">
        <v>69</v>
      </c>
    </row>
    <row r="52" spans="15:17" x14ac:dyDescent="0.25">
      <c r="O52" s="3" t="s">
        <v>65</v>
      </c>
      <c r="P52" s="57">
        <v>61</v>
      </c>
      <c r="Q52" s="55" t="s">
        <v>70</v>
      </c>
    </row>
    <row r="53" spans="15:17" x14ac:dyDescent="0.25">
      <c r="O53" s="58" t="s">
        <v>75</v>
      </c>
      <c r="P53" s="59">
        <v>115</v>
      </c>
    </row>
    <row r="55" spans="15:17" x14ac:dyDescent="0.25">
      <c r="O55" s="3" t="s">
        <v>68</v>
      </c>
      <c r="P55" s="57">
        <v>71</v>
      </c>
      <c r="Q55" s="3" t="s">
        <v>71</v>
      </c>
    </row>
    <row r="57" spans="15:17" x14ac:dyDescent="0.25">
      <c r="P57" s="3" t="s">
        <v>53</v>
      </c>
    </row>
    <row r="58" spans="15:17" x14ac:dyDescent="0.25">
      <c r="O58" s="3" t="s">
        <v>72</v>
      </c>
      <c r="P58" s="57">
        <f>P55+P50+P51+P52</f>
        <v>186</v>
      </c>
    </row>
    <row r="59" spans="15:17" x14ac:dyDescent="0.25">
      <c r="O59" s="3" t="s">
        <v>73</v>
      </c>
      <c r="P59" s="57">
        <f>P55+P52+P51</f>
        <v>160</v>
      </c>
    </row>
    <row r="62" spans="15:17" x14ac:dyDescent="0.25">
      <c r="O62" s="3" t="s">
        <v>76</v>
      </c>
    </row>
    <row r="63" spans="15:17" x14ac:dyDescent="0.25">
      <c r="O63" s="3">
        <f>30*1.1725</f>
        <v>35.175000000000004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148B-D756-491A-97C1-9F25A7EC62D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Placement EUR</vt:lpstr>
      <vt:lpstr>Placement USD</vt:lpstr>
      <vt:lpstr>Exposition 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Roxandra Sturdza</dc:creator>
  <cp:lastModifiedBy>Roxandra Sturdza</cp:lastModifiedBy>
  <dcterms:created xsi:type="dcterms:W3CDTF">2025-01-27T14:37:54Z</dcterms:created>
  <dcterms:modified xsi:type="dcterms:W3CDTF">2026-03-05T13:59:28Z</dcterms:modified>
</cp:coreProperties>
</file>