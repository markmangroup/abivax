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Support\Finance\Reporting\2026\4. Suivi Tréso 2026\"/>
    </mc:Choice>
  </mc:AlternateContent>
  <xr:revisionPtr revIDLastSave="0" documentId="13_ncr:1_{23911DD5-01DB-4C3F-95CC-E61E89EFE8E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anvier" sheetId="22" r:id="rId1"/>
    <sheet name="février" sheetId="23" r:id="rId2"/>
    <sheet name="mars" sheetId="24" r:id="rId3"/>
    <sheet name="dec" sheetId="18" r:id="rId4"/>
    <sheet name="dec (2)" sheetId="21" r:id="rId5"/>
    <sheet name="dette" sheetId="19" r:id="rId6"/>
    <sheet name="plann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4" l="1"/>
  <c r="K10" i="24" l="1"/>
  <c r="L33" i="23"/>
  <c r="I33" i="23"/>
  <c r="P34" i="23"/>
  <c r="P35" i="23"/>
  <c r="H38" i="23"/>
  <c r="L33" i="22" l="1"/>
  <c r="L16" i="22"/>
  <c r="N20" i="23"/>
  <c r="N21" i="23" s="1"/>
  <c r="M19" i="23"/>
  <c r="M20" i="23" s="1"/>
  <c r="M21" i="23" s="1"/>
  <c r="H21" i="23"/>
  <c r="I37" i="22"/>
  <c r="M20" i="22" l="1"/>
  <c r="I16" i="22" l="1"/>
  <c r="H37" i="18"/>
  <c r="I48" i="18" l="1"/>
  <c r="I15" i="21"/>
  <c r="G8" i="21"/>
  <c r="J6" i="21"/>
  <c r="L21" i="19" l="1"/>
  <c r="M20" i="19"/>
  <c r="M18" i="19"/>
  <c r="M9" i="19"/>
  <c r="L18" i="19"/>
  <c r="L9" i="19"/>
  <c r="L20" i="19" l="1"/>
  <c r="G40" i="18" l="1"/>
  <c r="L38" i="18"/>
  <c r="O38" i="18" s="1"/>
  <c r="N30" i="18" l="1"/>
  <c r="I30" i="18"/>
  <c r="L33" i="18"/>
  <c r="G33" i="18"/>
  <c r="G32" i="18"/>
  <c r="L32" i="18"/>
  <c r="M34" i="18" s="1"/>
  <c r="I34" i="18" l="1"/>
  <c r="O33" i="18"/>
  <c r="O32" i="18"/>
  <c r="N32" i="18"/>
  <c r="G19" i="18" l="1"/>
  <c r="I24" i="18"/>
  <c r="I8" i="18" l="1"/>
  <c r="P10" i="18" l="1"/>
</calcChain>
</file>

<file path=xl/sharedStrings.xml><?xml version="1.0" encoding="utf-8"?>
<sst xmlns="http://schemas.openxmlformats.org/spreadsheetml/2006/main" count="558" uniqueCount="150">
  <si>
    <t>L</t>
  </si>
  <si>
    <t>J</t>
  </si>
  <si>
    <t>V</t>
  </si>
  <si>
    <t>M</t>
  </si>
  <si>
    <t>S</t>
  </si>
  <si>
    <t>D</t>
  </si>
  <si>
    <t>mois</t>
  </si>
  <si>
    <t>Prelevement Carte</t>
  </si>
  <si>
    <t>Note de frais</t>
  </si>
  <si>
    <t>3 cartes affaires</t>
  </si>
  <si>
    <t/>
  </si>
  <si>
    <t>Campagne</t>
  </si>
  <si>
    <t>IQVIA</t>
  </si>
  <si>
    <t>salaire</t>
  </si>
  <si>
    <t>RAS MdG</t>
  </si>
  <si>
    <t>Last Invoices Dec</t>
  </si>
  <si>
    <t>interets NCA</t>
  </si>
  <si>
    <t>salaire (à définir)</t>
  </si>
  <si>
    <t>DGFIP/Prelevement à la source</t>
  </si>
  <si>
    <t>urssaf</t>
  </si>
  <si>
    <t>APGIS (prev, mut)</t>
  </si>
  <si>
    <t>DGFIP jetons de présence et ursaff et HAVAS</t>
  </si>
  <si>
    <t>15 + 5 jours ouvrés, souvent prelevé 1 jr en avance</t>
  </si>
  <si>
    <t>Klesia</t>
  </si>
  <si>
    <t>EUR</t>
  </si>
  <si>
    <t>USD</t>
  </si>
  <si>
    <t>paie</t>
  </si>
  <si>
    <t>klesia</t>
  </si>
  <si>
    <t>Total</t>
  </si>
  <si>
    <t>PGE</t>
  </si>
  <si>
    <t>Relevé NDF concur et paiement 3 jours ouvrés après relevé</t>
  </si>
  <si>
    <t>TVA</t>
  </si>
  <si>
    <t>Paiement NDF CONCUR/Bamborra</t>
  </si>
  <si>
    <t>Dgfip</t>
  </si>
  <si>
    <t>Change</t>
  </si>
  <si>
    <t>DGFIP</t>
  </si>
  <si>
    <t>SA</t>
  </si>
  <si>
    <t>3,4 m€</t>
  </si>
  <si>
    <t>cash out</t>
  </si>
  <si>
    <t>mvt interne</t>
  </si>
  <si>
    <t>Swile ou 25</t>
  </si>
  <si>
    <t>Relevé NDF concur et paiement 3 jours ouvrés après relevé ou Swile</t>
  </si>
  <si>
    <t>dettes</t>
  </si>
  <si>
    <t>Docustore</t>
  </si>
  <si>
    <t>Yneia (Docushare)</t>
  </si>
  <si>
    <t>le 22 ou entre le 2 et le 4</t>
  </si>
  <si>
    <t>quel montant</t>
  </si>
  <si>
    <t>5 K€/ en oct 10 K€</t>
  </si>
  <si>
    <t>ajouter : Yneia doscutore et imprimante</t>
  </si>
  <si>
    <t>AGA</t>
  </si>
  <si>
    <t>codéis euros</t>
  </si>
  <si>
    <t>Mardi</t>
  </si>
  <si>
    <t>December</t>
  </si>
  <si>
    <t>Fin de saisie banque 11/25</t>
  </si>
  <si>
    <t>Last Invoices Nov</t>
  </si>
  <si>
    <t>Christmas Day</t>
  </si>
  <si>
    <t>Kreos &amp; Claret</t>
  </si>
  <si>
    <t>Jetons de présence</t>
  </si>
  <si>
    <t>urssaf + jetons</t>
  </si>
  <si>
    <t>prélèvement SIE</t>
  </si>
  <si>
    <t>swile</t>
  </si>
  <si>
    <t>Kreos/Claret Repayement</t>
  </si>
  <si>
    <t>4%PV</t>
  </si>
  <si>
    <t>Kreos Calcul</t>
  </si>
  <si>
    <t>Abivax initital Calcul</t>
  </si>
  <si>
    <t>Kreos/Claret</t>
  </si>
  <si>
    <t>en attente</t>
  </si>
  <si>
    <t>-1 m$ wood. assurance</t>
  </si>
  <si>
    <t>MdG&amp;Camila</t>
  </si>
  <si>
    <t>vir urgent DB</t>
  </si>
  <si>
    <t>CAT 3m USD</t>
  </si>
  <si>
    <t>CAT 6m USD</t>
  </si>
  <si>
    <t>CAT 9m USD</t>
  </si>
  <si>
    <t>CAT 12m USD</t>
  </si>
  <si>
    <t>citi</t>
  </si>
  <si>
    <t>sortie codéis USD</t>
  </si>
  <si>
    <t>change</t>
  </si>
  <si>
    <t>à faire avec SG :</t>
  </si>
  <si>
    <t>mouvement codéis euros vendredi 19 - entrée 30 m€</t>
  </si>
  <si>
    <t>paiement dette 34 m€</t>
  </si>
  <si>
    <t xml:space="preserve"> </t>
  </si>
  <si>
    <t>nca</t>
  </si>
  <si>
    <t>NCA usd - &gt; Change</t>
  </si>
  <si>
    <t>Change -NCA eur</t>
  </si>
  <si>
    <t>NCA eur-&gt; CC</t>
  </si>
  <si>
    <t>Lundi</t>
  </si>
  <si>
    <t>NCA usd -&gt; cc</t>
  </si>
  <si>
    <t>Kreos</t>
  </si>
  <si>
    <t>Claret</t>
  </si>
  <si>
    <t>Tranche C</t>
  </si>
  <si>
    <t>Kreos Tranche B</t>
  </si>
  <si>
    <t>Claret Tranche B</t>
  </si>
  <si>
    <t>Claret Tranche C</t>
  </si>
  <si>
    <t>Kreos Tranche C</t>
  </si>
  <si>
    <t>Date</t>
  </si>
  <si>
    <t xml:space="preserve">Tranche B </t>
  </si>
  <si>
    <t>Kreos + Claret</t>
  </si>
  <si>
    <t>Principal Outstanding</t>
  </si>
  <si>
    <t>Deposit</t>
  </si>
  <si>
    <t>Interest discounted</t>
  </si>
  <si>
    <t>Fees</t>
  </si>
  <si>
    <t>As of end of Dec-25</t>
  </si>
  <si>
    <t>Total combined</t>
  </si>
  <si>
    <t>pdf mail Vianney 18/12/2025</t>
  </si>
  <si>
    <t>Tableaux</t>
  </si>
  <si>
    <t>mvt interne-cash in</t>
  </si>
  <si>
    <t>change USD -&gt; EUR</t>
  </si>
  <si>
    <t>NCA usd - &gt; Compte courant</t>
  </si>
  <si>
    <t>Compte courant -&gt; NCA</t>
  </si>
  <si>
    <t>opération faite</t>
  </si>
  <si>
    <t>opération à faire</t>
  </si>
  <si>
    <t>Abivax SA</t>
  </si>
  <si>
    <t>vir Pierre</t>
  </si>
  <si>
    <t>BCE</t>
  </si>
  <si>
    <t>Fin saisie banque</t>
  </si>
  <si>
    <t>TVA 12/25</t>
  </si>
  <si>
    <t>Fin clôture FY 2025</t>
  </si>
  <si>
    <t>Janvier</t>
  </si>
  <si>
    <t>Santé Camilla et MdG</t>
  </si>
  <si>
    <t>Jetons de présence/impots</t>
  </si>
  <si>
    <t xml:space="preserve">mvt codéis usd à fair epour cmapagne du </t>
  </si>
  <si>
    <t>Février</t>
  </si>
  <si>
    <t xml:space="preserve">Last Invoices Jan </t>
  </si>
  <si>
    <t>TVA 01/26</t>
  </si>
  <si>
    <t>mvt codéis eur pour campagne du 10 ou du 25 à faire</t>
  </si>
  <si>
    <t>Havas</t>
  </si>
  <si>
    <t>Campagne n°1</t>
  </si>
  <si>
    <t>Campagne n°2</t>
  </si>
  <si>
    <t>Codeis</t>
  </si>
  <si>
    <t>Taxe sur salaire + jetons</t>
  </si>
  <si>
    <t>APGIS</t>
  </si>
  <si>
    <t>Urssaff</t>
  </si>
  <si>
    <t>Salaire</t>
  </si>
  <si>
    <t>CAT BIL</t>
  </si>
  <si>
    <t>Bamborra</t>
  </si>
  <si>
    <t>NCA - &gt; Codéis</t>
  </si>
  <si>
    <t>Bonus</t>
  </si>
  <si>
    <t>Marc</t>
  </si>
  <si>
    <t>Mars</t>
  </si>
  <si>
    <t>Last Invoices Feb</t>
  </si>
  <si>
    <t>TVA 02/26</t>
  </si>
  <si>
    <t>BSA camila</t>
  </si>
  <si>
    <t>BSA 3 Mark,lifescience</t>
  </si>
  <si>
    <t>SG frais</t>
  </si>
  <si>
    <t>codeis</t>
  </si>
  <si>
    <t>6 m€</t>
  </si>
  <si>
    <t>restera après 25</t>
  </si>
  <si>
    <t>1,8 m$</t>
  </si>
  <si>
    <t>chnage</t>
  </si>
  <si>
    <t>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</si>
</sst>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mmmm"/>
    <numFmt numFmtId="165" formatCode="d"/>
    <numFmt numFmtId="166" formatCode="ddd"/>
    <numFmt numFmtId="167" formatCode="_-[$$-409]* #,##0_ ;_-[$$-409]* \-#,##0\ ;_-[$$-409]* &quot;-&quot;_ ;_-@_ "/>
  </numFmts>
  <fonts count="38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</font>
    <font>
      <sz val="10"/>
      <color theme="6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i/>
      <sz val="10"/>
      <color theme="4" tint="-0.249977111117893"/>
      <name val="Calibri"/>
      <family val="2"/>
      <scheme val="minor"/>
    </font>
    <font>
      <u/>
      <sz val="8"/>
      <color indexed="12"/>
      <name val="Arial"/>
      <family val="2"/>
    </font>
    <font>
      <sz val="10"/>
      <name val="Arial"/>
      <family val="2"/>
    </font>
    <font>
      <b/>
      <i/>
      <sz val="10"/>
      <color rgb="FF00B0F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4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12"/>
      <name val="Calibri"/>
      <family val="2"/>
      <scheme val="minor"/>
    </font>
    <font>
      <sz val="8"/>
      <color rgb="FFDD3724"/>
      <name val="Segoe UI"/>
      <family val="2"/>
    </font>
    <font>
      <sz val="11"/>
      <color theme="1"/>
      <name val="Calibri"/>
      <family val="2"/>
    </font>
    <font>
      <sz val="11"/>
      <color indexed="9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15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theme="8" tint="0.39997558519241921"/>
        <bgColor indexed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8"/>
      </patternFill>
    </fill>
    <fill>
      <patternFill patternType="solid">
        <fgColor rgb="FF92D050"/>
        <bgColor indexed="8"/>
      </patternFill>
    </fill>
    <fill>
      <patternFill patternType="solid">
        <fgColor rgb="FF00B050"/>
        <bgColor indexed="8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gray0625">
        <fgColor indexed="8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8"/>
      </patternFill>
    </fill>
    <fill>
      <patternFill patternType="solid">
        <fgColor rgb="FFFFC000"/>
        <bgColor indexed="8"/>
      </patternFill>
    </fill>
    <fill>
      <patternFill patternType="solid">
        <fgColor rgb="FF00B0F0"/>
        <bgColor indexed="8"/>
      </patternFill>
    </fill>
    <fill>
      <patternFill patternType="solid">
        <fgColor rgb="FFFF0000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theme="5" tint="0.79998168889431442"/>
        <bgColor indexed="8"/>
      </patternFill>
    </fill>
  </fills>
  <borders count="2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0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 applyFill="0" applyProtection="0"/>
    <xf numFmtId="0" fontId="10" fillId="0" borderId="0"/>
    <xf numFmtId="0" fontId="14" fillId="0" borderId="0" applyFill="0" applyProtection="0"/>
    <xf numFmtId="0" fontId="9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5" fillId="0" borderId="0"/>
  </cellStyleXfs>
  <cellXfs count="160">
    <xf numFmtId="0" fontId="0" fillId="0" borderId="0" xfId="0" applyFill="1" applyProtection="1"/>
    <xf numFmtId="165" fontId="12" fillId="6" borderId="3" xfId="1" applyNumberFormat="1" applyFont="1" applyFill="1" applyBorder="1" applyAlignment="1">
      <alignment horizontal="center" vertical="center"/>
    </xf>
    <xf numFmtId="166" fontId="12" fillId="7" borderId="4" xfId="1" applyNumberFormat="1" applyFont="1" applyFill="1" applyBorder="1" applyAlignment="1">
      <alignment horizontal="center" vertical="center"/>
    </xf>
    <xf numFmtId="0" fontId="12" fillId="7" borderId="5" xfId="1" applyFont="1" applyFill="1" applyBorder="1" applyAlignment="1">
      <alignment vertical="center" wrapText="1"/>
    </xf>
    <xf numFmtId="0" fontId="12" fillId="8" borderId="1" xfId="0" applyFont="1" applyFill="1" applyBorder="1" applyAlignment="1" applyProtection="1">
      <alignment horizontal="center" vertical="center"/>
    </xf>
    <xf numFmtId="0" fontId="12" fillId="8" borderId="1" xfId="0" applyFont="1" applyFill="1" applyBorder="1" applyAlignment="1" applyProtection="1">
      <alignment vertical="center"/>
    </xf>
    <xf numFmtId="166" fontId="12" fillId="0" borderId="4" xfId="1" applyNumberFormat="1" applyFont="1" applyBorder="1" applyAlignment="1">
      <alignment horizontal="center" vertical="center"/>
    </xf>
    <xf numFmtId="0" fontId="12" fillId="0" borderId="5" xfId="1" applyFont="1" applyBorder="1" applyAlignment="1">
      <alignment vertical="center" wrapText="1"/>
    </xf>
    <xf numFmtId="0" fontId="12" fillId="9" borderId="1" xfId="0" applyFont="1" applyFill="1" applyBorder="1" applyAlignment="1" applyProtection="1">
      <alignment horizontal="center" vertical="center"/>
    </xf>
    <xf numFmtId="0" fontId="12" fillId="9" borderId="1" xfId="0" applyFont="1" applyFill="1" applyBorder="1" applyAlignment="1" applyProtection="1">
      <alignment vertical="center"/>
    </xf>
    <xf numFmtId="0" fontId="12" fillId="10" borderId="1" xfId="0" applyFont="1" applyFill="1" applyBorder="1" applyAlignment="1" applyProtection="1">
      <alignment horizontal="center" vertical="center"/>
    </xf>
    <xf numFmtId="0" fontId="12" fillId="10" borderId="1" xfId="0" applyFont="1" applyFill="1" applyBorder="1" applyAlignment="1" applyProtection="1">
      <alignment vertical="center"/>
    </xf>
    <xf numFmtId="166" fontId="12" fillId="11" borderId="4" xfId="1" applyNumberFormat="1" applyFont="1" applyFill="1" applyBorder="1" applyAlignment="1">
      <alignment horizontal="center" vertical="center"/>
    </xf>
    <xf numFmtId="0" fontId="12" fillId="11" borderId="5" xfId="1" applyFont="1" applyFill="1" applyBorder="1" applyAlignment="1">
      <alignment vertical="center" wrapText="1"/>
    </xf>
    <xf numFmtId="0" fontId="14" fillId="0" borderId="0" xfId="0" applyFont="1" applyFill="1" applyProtection="1"/>
    <xf numFmtId="166" fontId="12" fillId="7" borderId="7" xfId="1" applyNumberFormat="1" applyFont="1" applyFill="1" applyBorder="1" applyAlignment="1">
      <alignment horizontal="center" vertical="center"/>
    </xf>
    <xf numFmtId="0" fontId="17" fillId="14" borderId="7" xfId="0" applyFont="1" applyFill="1" applyBorder="1" applyAlignment="1" applyProtection="1">
      <alignment horizontal="center" vertical="center"/>
    </xf>
    <xf numFmtId="0" fontId="17" fillId="14" borderId="7" xfId="0" applyFont="1" applyFill="1" applyBorder="1" applyAlignment="1" applyProtection="1">
      <alignment vertical="center"/>
    </xf>
    <xf numFmtId="0" fontId="18" fillId="0" borderId="0" xfId="0" applyFont="1" applyFill="1" applyProtection="1"/>
    <xf numFmtId="3" fontId="0" fillId="0" borderId="0" xfId="0" applyNumberFormat="1" applyFill="1" applyProtection="1"/>
    <xf numFmtId="0" fontId="0" fillId="0" borderId="8" xfId="0" applyBorder="1"/>
    <xf numFmtId="3" fontId="0" fillId="0" borderId="0" xfId="0" applyNumberFormat="1" applyFill="1" applyAlignment="1" applyProtection="1">
      <alignment horizontal="center" vertical="center"/>
    </xf>
    <xf numFmtId="0" fontId="14" fillId="12" borderId="0" xfId="0" applyFont="1" applyFill="1" applyProtection="1"/>
    <xf numFmtId="165" fontId="12" fillId="6" borderId="4" xfId="1" applyNumberFormat="1" applyFont="1" applyFill="1" applyBorder="1" applyAlignment="1">
      <alignment horizontal="center" vertical="center"/>
    </xf>
    <xf numFmtId="0" fontId="12" fillId="0" borderId="10" xfId="1" applyFont="1" applyBorder="1" applyAlignment="1">
      <alignment vertical="center" wrapText="1"/>
    </xf>
    <xf numFmtId="0" fontId="12" fillId="0" borderId="0" xfId="1" applyFont="1" applyAlignment="1">
      <alignment vertical="center" wrapText="1"/>
    </xf>
    <xf numFmtId="3" fontId="14" fillId="0" borderId="0" xfId="0" applyNumberFormat="1" applyFont="1" applyFill="1" applyProtection="1"/>
    <xf numFmtId="3" fontId="12" fillId="0" borderId="5" xfId="1" applyNumberFormat="1" applyFont="1" applyBorder="1" applyAlignment="1">
      <alignment horizontal="center" vertical="center" wrapText="1"/>
    </xf>
    <xf numFmtId="0" fontId="12" fillId="10" borderId="0" xfId="0" applyFont="1" applyFill="1" applyAlignment="1" applyProtection="1">
      <alignment vertical="center"/>
    </xf>
    <xf numFmtId="0" fontId="12" fillId="0" borderId="11" xfId="1" applyFont="1" applyBorder="1" applyAlignment="1">
      <alignment vertical="center" wrapText="1"/>
    </xf>
    <xf numFmtId="0" fontId="12" fillId="7" borderId="11" xfId="1" applyFont="1" applyFill="1" applyBorder="1" applyAlignment="1">
      <alignment vertical="center" wrapText="1"/>
    </xf>
    <xf numFmtId="3" fontId="12" fillId="0" borderId="11" xfId="1" applyNumberFormat="1" applyFont="1" applyBorder="1" applyAlignment="1">
      <alignment horizontal="center" vertical="center" wrapText="1"/>
    </xf>
    <xf numFmtId="3" fontId="12" fillId="7" borderId="11" xfId="1" applyNumberFormat="1" applyFont="1" applyFill="1" applyBorder="1" applyAlignment="1">
      <alignment horizontal="center" vertical="center" wrapText="1"/>
    </xf>
    <xf numFmtId="3" fontId="12" fillId="6" borderId="11" xfId="1" applyNumberFormat="1" applyFont="1" applyFill="1" applyBorder="1" applyAlignment="1">
      <alignment horizontal="center" vertical="center" wrapText="1"/>
    </xf>
    <xf numFmtId="3" fontId="12" fillId="15" borderId="11" xfId="1" applyNumberFormat="1" applyFont="1" applyFill="1" applyBorder="1" applyAlignment="1">
      <alignment horizontal="center" vertical="center" wrapText="1"/>
    </xf>
    <xf numFmtId="166" fontId="12" fillId="7" borderId="12" xfId="1" applyNumberFormat="1" applyFont="1" applyFill="1" applyBorder="1" applyAlignment="1">
      <alignment horizontal="center" vertical="center"/>
    </xf>
    <xf numFmtId="0" fontId="0" fillId="12" borderId="0" xfId="0" applyFill="1" applyProtection="1"/>
    <xf numFmtId="164" fontId="11" fillId="5" borderId="11" xfId="1" applyNumberFormat="1" applyFont="1" applyFill="1" applyBorder="1" applyAlignment="1">
      <alignment horizontal="center" vertical="center"/>
    </xf>
    <xf numFmtId="0" fontId="12" fillId="0" borderId="6" xfId="1" applyFont="1" applyBorder="1" applyAlignment="1">
      <alignment vertical="center" wrapText="1"/>
    </xf>
    <xf numFmtId="0" fontId="17" fillId="14" borderId="1" xfId="0" applyFont="1" applyFill="1" applyBorder="1" applyAlignment="1" applyProtection="1">
      <alignment horizontal="center" vertical="center"/>
    </xf>
    <xf numFmtId="0" fontId="17" fillId="14" borderId="1" xfId="0" applyFont="1" applyFill="1" applyBorder="1" applyAlignment="1" applyProtection="1">
      <alignment vertical="center"/>
    </xf>
    <xf numFmtId="0" fontId="12" fillId="0" borderId="13" xfId="1" applyFont="1" applyBorder="1" applyAlignment="1">
      <alignment vertical="center" wrapText="1"/>
    </xf>
    <xf numFmtId="164" fontId="11" fillId="5" borderId="0" xfId="1" applyNumberFormat="1" applyFont="1" applyFill="1" applyAlignment="1">
      <alignment horizontal="center" vertical="center"/>
    </xf>
    <xf numFmtId="0" fontId="0" fillId="6" borderId="11" xfId="0" applyFill="1" applyBorder="1" applyProtection="1"/>
    <xf numFmtId="0" fontId="14" fillId="6" borderId="11" xfId="0" applyFont="1" applyFill="1" applyBorder="1" applyProtection="1"/>
    <xf numFmtId="0" fontId="0" fillId="6" borderId="14" xfId="0" applyFill="1" applyBorder="1" applyProtection="1"/>
    <xf numFmtId="0" fontId="14" fillId="6" borderId="14" xfId="0" applyFont="1" applyFill="1" applyBorder="1" applyProtection="1"/>
    <xf numFmtId="164" fontId="11" fillId="5" borderId="14" xfId="1" applyNumberFormat="1" applyFont="1" applyFill="1" applyBorder="1" applyAlignment="1">
      <alignment horizontal="center" vertical="center"/>
    </xf>
    <xf numFmtId="0" fontId="12" fillId="0" borderId="14" xfId="1" applyFont="1" applyBorder="1" applyAlignment="1">
      <alignment vertical="center" wrapText="1"/>
    </xf>
    <xf numFmtId="0" fontId="12" fillId="7" borderId="14" xfId="1" applyFont="1" applyFill="1" applyBorder="1" applyAlignment="1">
      <alignment vertical="center" wrapText="1"/>
    </xf>
    <xf numFmtId="3" fontId="20" fillId="0" borderId="11" xfId="1" applyNumberFormat="1" applyFont="1" applyBorder="1" applyAlignment="1">
      <alignment horizontal="center" vertical="center" wrapText="1"/>
    </xf>
    <xf numFmtId="0" fontId="14" fillId="0" borderId="0" xfId="0" quotePrefix="1" applyFont="1" applyFill="1" applyProtection="1"/>
    <xf numFmtId="3" fontId="23" fillId="0" borderId="11" xfId="1" applyNumberFormat="1" applyFont="1" applyBorder="1" applyAlignment="1">
      <alignment horizontal="center" vertical="center" wrapText="1"/>
    </xf>
    <xf numFmtId="0" fontId="24" fillId="0" borderId="0" xfId="0" applyFont="1" applyFill="1" applyProtection="1"/>
    <xf numFmtId="0" fontId="13" fillId="18" borderId="5" xfId="1" applyFont="1" applyFill="1" applyBorder="1" applyAlignment="1">
      <alignment vertical="center" wrapText="1"/>
    </xf>
    <xf numFmtId="3" fontId="23" fillId="16" borderId="11" xfId="1" applyNumberFormat="1" applyFont="1" applyFill="1" applyBorder="1" applyAlignment="1">
      <alignment horizontal="center" vertical="center" wrapText="1"/>
    </xf>
    <xf numFmtId="14" fontId="25" fillId="0" borderId="7" xfId="0" applyNumberFormat="1" applyFont="1" applyBorder="1" applyAlignment="1">
      <alignment horizontal="center"/>
    </xf>
    <xf numFmtId="17" fontId="25" fillId="0" borderId="7" xfId="0" applyNumberFormat="1" applyFont="1" applyBorder="1" applyAlignment="1">
      <alignment horizontal="center"/>
    </xf>
    <xf numFmtId="167" fontId="26" fillId="0" borderId="7" xfId="0" applyNumberFormat="1" applyFont="1" applyBorder="1" applyAlignment="1">
      <alignment horizontal="center" vertical="center"/>
    </xf>
    <xf numFmtId="3" fontId="15" fillId="0" borderId="11" xfId="1" applyNumberFormat="1" applyFont="1" applyBorder="1" applyAlignment="1">
      <alignment horizontal="center" vertical="center" wrapText="1"/>
    </xf>
    <xf numFmtId="4" fontId="14" fillId="12" borderId="0" xfId="0" applyNumberFormat="1" applyFont="1" applyFill="1" applyProtection="1"/>
    <xf numFmtId="17" fontId="25" fillId="0" borderId="0" xfId="0" quotePrefix="1" applyNumberFormat="1" applyFont="1" applyFill="1" applyAlignment="1" applyProtection="1">
      <alignment horizontal="left"/>
    </xf>
    <xf numFmtId="17" fontId="25" fillId="6" borderId="0" xfId="0" applyNumberFormat="1" applyFont="1" applyFill="1" applyAlignment="1" applyProtection="1">
      <alignment horizontal="center"/>
    </xf>
    <xf numFmtId="3" fontId="27" fillId="0" borderId="11" xfId="1" applyNumberFormat="1" applyFont="1" applyBorder="1" applyAlignment="1">
      <alignment horizontal="center" vertical="center" wrapText="1"/>
    </xf>
    <xf numFmtId="3" fontId="12" fillId="17" borderId="11" xfId="1" applyNumberFormat="1" applyFont="1" applyFill="1" applyBorder="1" applyAlignment="1">
      <alignment horizontal="center" vertical="center" wrapText="1"/>
    </xf>
    <xf numFmtId="4" fontId="12" fillId="17" borderId="14" xfId="1" applyNumberFormat="1" applyFont="1" applyFill="1" applyBorder="1" applyAlignment="1">
      <alignment vertical="center" wrapText="1"/>
    </xf>
    <xf numFmtId="3" fontId="12" fillId="17" borderId="14" xfId="1" applyNumberFormat="1" applyFont="1" applyFill="1" applyBorder="1" applyAlignment="1">
      <alignment horizontal="center" vertical="center" wrapText="1"/>
    </xf>
    <xf numFmtId="3" fontId="12" fillId="0" borderId="14" xfId="1" applyNumberFormat="1" applyFont="1" applyBorder="1" applyAlignment="1">
      <alignment horizontal="center" vertical="center" wrapText="1"/>
    </xf>
    <xf numFmtId="3" fontId="12" fillId="7" borderId="14" xfId="1" applyNumberFormat="1" applyFont="1" applyFill="1" applyBorder="1" applyAlignment="1">
      <alignment horizontal="center" vertical="center" wrapText="1"/>
    </xf>
    <xf numFmtId="166" fontId="12" fillId="7" borderId="0" xfId="1" applyNumberFormat="1" applyFont="1" applyFill="1" applyAlignment="1">
      <alignment horizontal="center" vertical="center"/>
    </xf>
    <xf numFmtId="0" fontId="12" fillId="7" borderId="0" xfId="1" applyFont="1" applyFill="1" applyAlignment="1">
      <alignment vertical="center" wrapText="1"/>
    </xf>
    <xf numFmtId="3" fontId="12" fillId="7" borderId="0" xfId="1" applyNumberFormat="1" applyFont="1" applyFill="1" applyAlignment="1">
      <alignment horizontal="center" vertical="center" wrapText="1"/>
    </xf>
    <xf numFmtId="3" fontId="12" fillId="15" borderId="14" xfId="1" applyNumberFormat="1" applyFont="1" applyFill="1" applyBorder="1" applyAlignment="1">
      <alignment horizontal="center" vertical="center" wrapText="1"/>
    </xf>
    <xf numFmtId="3" fontId="12" fillId="15" borderId="11" xfId="1" applyNumberFormat="1" applyFont="1" applyFill="1" applyBorder="1" applyAlignment="1">
      <alignment vertical="center" wrapText="1"/>
    </xf>
    <xf numFmtId="0" fontId="12" fillId="0" borderId="15" xfId="1" applyFont="1" applyBorder="1" applyAlignment="1">
      <alignment vertical="center" wrapText="1"/>
    </xf>
    <xf numFmtId="0" fontId="17" fillId="14" borderId="16" xfId="0" applyFont="1" applyFill="1" applyBorder="1" applyAlignment="1" applyProtection="1">
      <alignment horizontal="center" vertical="center"/>
    </xf>
    <xf numFmtId="0" fontId="15" fillId="0" borderId="7" xfId="0" applyFont="1" applyFill="1" applyBorder="1" applyAlignment="1" applyProtection="1">
      <alignment vertical="center"/>
    </xf>
    <xf numFmtId="3" fontId="12" fillId="17" borderId="11" xfId="1" applyNumberFormat="1" applyFont="1" applyFill="1" applyBorder="1" applyAlignment="1">
      <alignment vertical="center" wrapText="1"/>
    </xf>
    <xf numFmtId="0" fontId="14" fillId="13" borderId="17" xfId="0" applyFont="1" applyFill="1" applyBorder="1" applyProtection="1"/>
    <xf numFmtId="4" fontId="0" fillId="0" borderId="17" xfId="0" applyNumberFormat="1" applyFill="1" applyBorder="1" applyAlignment="1" applyProtection="1">
      <alignment horizontal="center" vertical="center"/>
    </xf>
    <xf numFmtId="4" fontId="0" fillId="0" borderId="19" xfId="0" applyNumberFormat="1" applyFill="1" applyBorder="1" applyAlignment="1" applyProtection="1">
      <alignment horizontal="center" vertical="center"/>
    </xf>
    <xf numFmtId="0" fontId="14" fillId="13" borderId="18" xfId="0" applyFont="1" applyFill="1" applyBorder="1" applyAlignment="1" applyProtection="1">
      <alignment horizontal="center" vertical="center"/>
    </xf>
    <xf numFmtId="14" fontId="0" fillId="0" borderId="19" xfId="0" applyNumberFormat="1" applyFill="1" applyBorder="1" applyAlignment="1" applyProtection="1">
      <alignment horizontal="center" vertical="center"/>
    </xf>
    <xf numFmtId="0" fontId="28" fillId="19" borderId="0" xfId="0" applyFont="1" applyFill="1"/>
    <xf numFmtId="0" fontId="28" fillId="19" borderId="0" xfId="0" applyFont="1" applyFill="1" applyAlignment="1">
      <alignment horizontal="center"/>
    </xf>
    <xf numFmtId="0" fontId="0" fillId="0" borderId="0" xfId="0"/>
    <xf numFmtId="4" fontId="0" fillId="0" borderId="0" xfId="0" applyNumberFormat="1" applyAlignment="1">
      <alignment horizontal="center"/>
    </xf>
    <xf numFmtId="0" fontId="29" fillId="0" borderId="20" xfId="0" applyFont="1" applyBorder="1"/>
    <xf numFmtId="4" fontId="29" fillId="0" borderId="20" xfId="0" applyNumberFormat="1" applyFont="1" applyBorder="1" applyAlignment="1">
      <alignment horizontal="center"/>
    </xf>
    <xf numFmtId="0" fontId="15" fillId="0" borderId="0" xfId="11"/>
    <xf numFmtId="0" fontId="15" fillId="0" borderId="0" xfId="11" applyAlignment="1">
      <alignment horizontal="center"/>
    </xf>
    <xf numFmtId="0" fontId="30" fillId="0" borderId="21" xfId="11" applyFont="1" applyBorder="1"/>
    <xf numFmtId="4" fontId="30" fillId="0" borderId="21" xfId="11" applyNumberFormat="1" applyFont="1" applyBorder="1" applyAlignment="1">
      <alignment horizontal="center"/>
    </xf>
    <xf numFmtId="4" fontId="18" fillId="0" borderId="0" xfId="0" applyNumberFormat="1" applyFont="1" applyFill="1" applyAlignment="1" applyProtection="1">
      <alignment horizontal="center"/>
    </xf>
    <xf numFmtId="0" fontId="31" fillId="0" borderId="0" xfId="0" applyFont="1" applyFill="1" applyProtection="1"/>
    <xf numFmtId="0" fontId="15" fillId="0" borderId="10" xfId="0" applyFont="1" applyFill="1" applyBorder="1" applyAlignment="1" applyProtection="1">
      <alignment vertical="center"/>
    </xf>
    <xf numFmtId="0" fontId="32" fillId="0" borderId="0" xfId="0" applyFont="1" applyFill="1" applyProtection="1"/>
    <xf numFmtId="0" fontId="7" fillId="2" borderId="1" xfId="0" applyFont="1" applyFill="1" applyBorder="1" applyAlignment="1" applyProtection="1">
      <alignment vertical="center"/>
    </xf>
    <xf numFmtId="0" fontId="7" fillId="3" borderId="1" xfId="0" applyFont="1" applyFill="1" applyBorder="1" applyAlignment="1" applyProtection="1">
      <alignment vertical="center"/>
    </xf>
    <xf numFmtId="0" fontId="7" fillId="0" borderId="1" xfId="0" applyFont="1" applyFill="1" applyBorder="1" applyAlignment="1" applyProtection="1">
      <alignment vertical="center"/>
    </xf>
    <xf numFmtId="0" fontId="32" fillId="7" borderId="11" xfId="0" applyFont="1" applyFill="1" applyBorder="1" applyProtection="1"/>
    <xf numFmtId="0" fontId="32" fillId="6" borderId="14" xfId="0" applyFont="1" applyFill="1" applyBorder="1" applyProtection="1"/>
    <xf numFmtId="0" fontId="33" fillId="4" borderId="1" xfId="0" applyFont="1" applyFill="1" applyBorder="1" applyAlignment="1" applyProtection="1">
      <alignment horizontal="center" vertical="center"/>
    </xf>
    <xf numFmtId="0" fontId="34" fillId="20" borderId="1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</xf>
    <xf numFmtId="0" fontId="7" fillId="21" borderId="1" xfId="0" applyFont="1" applyFill="1" applyBorder="1" applyAlignment="1" applyProtection="1">
      <alignment horizontal="center" vertical="center"/>
    </xf>
    <xf numFmtId="0" fontId="7" fillId="21" borderId="1" xfId="0" applyFont="1" applyFill="1" applyBorder="1" applyAlignment="1" applyProtection="1">
      <alignment vertical="center"/>
    </xf>
    <xf numFmtId="0" fontId="7" fillId="0" borderId="1" xfId="0" applyFont="1" applyFill="1" applyBorder="1" applyAlignment="1" applyProtection="1">
      <alignment horizontal="center" vertical="center"/>
    </xf>
    <xf numFmtId="0" fontId="7" fillId="9" borderId="1" xfId="0" applyFont="1" applyFill="1" applyBorder="1" applyAlignment="1" applyProtection="1">
      <alignment horizontal="center" vertical="center"/>
    </xf>
    <xf numFmtId="0" fontId="7" fillId="9" borderId="1" xfId="0" applyFont="1" applyFill="1" applyBorder="1" applyAlignment="1" applyProtection="1">
      <alignment vertical="center"/>
    </xf>
    <xf numFmtId="0" fontId="7" fillId="10" borderId="1" xfId="0" applyFont="1" applyFill="1" applyBorder="1" applyAlignment="1" applyProtection="1">
      <alignment horizontal="center" vertical="center"/>
    </xf>
    <xf numFmtId="0" fontId="7" fillId="10" borderId="1" xfId="0" applyFont="1" applyFill="1" applyBorder="1" applyAlignment="1" applyProtection="1">
      <alignment vertical="center"/>
    </xf>
    <xf numFmtId="0" fontId="7" fillId="22" borderId="1" xfId="0" applyFont="1" applyFill="1" applyBorder="1" applyAlignment="1" applyProtection="1">
      <alignment horizontal="center" vertical="center"/>
    </xf>
    <xf numFmtId="0" fontId="7" fillId="22" borderId="1" xfId="0" applyFont="1" applyFill="1" applyBorder="1" applyAlignment="1" applyProtection="1">
      <alignment vertical="center"/>
    </xf>
    <xf numFmtId="0" fontId="7" fillId="23" borderId="1" xfId="0" applyFont="1" applyFill="1" applyBorder="1" applyAlignment="1" applyProtection="1">
      <alignment horizontal="center" vertical="center"/>
    </xf>
    <xf numFmtId="0" fontId="7" fillId="23" borderId="1" xfId="0" applyFont="1" applyFill="1" applyBorder="1" applyAlignment="1" applyProtection="1">
      <alignment vertical="center"/>
    </xf>
    <xf numFmtId="3" fontId="7" fillId="0" borderId="1" xfId="0" applyNumberFormat="1" applyFont="1" applyFill="1" applyBorder="1" applyAlignment="1" applyProtection="1">
      <alignment horizontal="center" vertical="center"/>
    </xf>
    <xf numFmtId="0" fontId="33" fillId="4" borderId="0" xfId="0" applyFont="1" applyFill="1" applyAlignment="1" applyProtection="1">
      <alignment horizontal="center" vertical="center"/>
    </xf>
    <xf numFmtId="3" fontId="7" fillId="2" borderId="1" xfId="0" applyNumberFormat="1" applyFont="1" applyFill="1" applyBorder="1" applyAlignment="1" applyProtection="1">
      <alignment horizontal="center" vertical="center"/>
    </xf>
    <xf numFmtId="3" fontId="32" fillId="0" borderId="0" xfId="0" applyNumberFormat="1" applyFont="1" applyFill="1" applyAlignment="1" applyProtection="1">
      <alignment horizontal="center" vertical="center"/>
    </xf>
    <xf numFmtId="3" fontId="7" fillId="3" borderId="1" xfId="0" applyNumberFormat="1" applyFont="1" applyFill="1" applyBorder="1" applyAlignment="1" applyProtection="1">
      <alignment horizontal="center" vertical="center"/>
    </xf>
    <xf numFmtId="0" fontId="34" fillId="24" borderId="1" xfId="0" applyFont="1" applyFill="1" applyBorder="1" applyAlignment="1" applyProtection="1">
      <alignment horizontal="center" vertical="center"/>
    </xf>
    <xf numFmtId="3" fontId="7" fillId="2" borderId="16" xfId="0" applyNumberFormat="1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vertical="center"/>
    </xf>
    <xf numFmtId="0" fontId="5" fillId="10" borderId="1" xfId="0" applyFont="1" applyFill="1" applyBorder="1" applyAlignment="1" applyProtection="1">
      <alignment vertical="center"/>
    </xf>
    <xf numFmtId="0" fontId="5" fillId="10" borderId="1" xfId="0" applyFont="1" applyFill="1" applyBorder="1" applyAlignment="1" applyProtection="1">
      <alignment horizontal="center" vertical="center"/>
    </xf>
    <xf numFmtId="3" fontId="5" fillId="3" borderId="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/>
    </xf>
    <xf numFmtId="0" fontId="3" fillId="10" borderId="1" xfId="0" applyFont="1" applyFill="1" applyBorder="1" applyAlignment="1" applyProtection="1">
      <alignment vertical="center"/>
    </xf>
    <xf numFmtId="3" fontId="7" fillId="25" borderId="1" xfId="0" applyNumberFormat="1" applyFont="1" applyFill="1" applyBorder="1" applyAlignment="1" applyProtection="1">
      <alignment horizontal="center" vertical="center"/>
    </xf>
    <xf numFmtId="0" fontId="2" fillId="10" borderId="1" xfId="0" applyFont="1" applyFill="1" applyBorder="1" applyAlignment="1" applyProtection="1">
      <alignment vertical="center"/>
    </xf>
    <xf numFmtId="0" fontId="35" fillId="0" borderId="0" xfId="0" applyFont="1" applyFill="1" applyProtection="1"/>
    <xf numFmtId="0" fontId="2" fillId="3" borderId="1" xfId="0" applyFont="1" applyFill="1" applyBorder="1" applyAlignment="1" applyProtection="1">
      <alignment vertical="center"/>
    </xf>
    <xf numFmtId="0" fontId="1" fillId="3" borderId="1" xfId="0" applyFont="1" applyFill="1" applyBorder="1" applyAlignment="1" applyProtection="1">
      <alignment vertical="center"/>
    </xf>
    <xf numFmtId="3" fontId="14" fillId="0" borderId="1" xfId="0" applyNumberFormat="1" applyFont="1" applyFill="1" applyBorder="1" applyAlignment="1" applyProtection="1">
      <alignment horizontal="center" vertical="center"/>
    </xf>
    <xf numFmtId="0" fontId="36" fillId="2" borderId="1" xfId="0" applyFont="1" applyFill="1" applyBorder="1" applyAlignment="1" applyProtection="1">
      <alignment vertical="center"/>
    </xf>
    <xf numFmtId="3" fontId="36" fillId="2" borderId="1" xfId="0" applyNumberFormat="1" applyFont="1" applyFill="1" applyBorder="1" applyAlignment="1" applyProtection="1">
      <alignment horizontal="center" vertical="center"/>
    </xf>
    <xf numFmtId="3" fontId="36" fillId="3" borderId="1" xfId="0" applyNumberFormat="1" applyFont="1" applyFill="1" applyBorder="1" applyAlignment="1" applyProtection="1">
      <alignment horizontal="center" vertical="center"/>
    </xf>
    <xf numFmtId="0" fontId="36" fillId="3" borderId="1" xfId="0" applyFont="1" applyFill="1" applyBorder="1" applyAlignment="1" applyProtection="1">
      <alignment vertical="center"/>
    </xf>
    <xf numFmtId="0" fontId="36" fillId="2" borderId="1" xfId="0" applyFont="1" applyFill="1" applyBorder="1" applyAlignment="1" applyProtection="1">
      <alignment horizontal="center" vertical="center"/>
    </xf>
    <xf numFmtId="0" fontId="14" fillId="7" borderId="11" xfId="0" applyFont="1" applyFill="1" applyBorder="1" applyProtection="1"/>
    <xf numFmtId="0" fontId="37" fillId="4" borderId="1" xfId="0" applyFont="1" applyFill="1" applyBorder="1" applyAlignment="1" applyProtection="1">
      <alignment horizontal="center" vertical="center"/>
    </xf>
    <xf numFmtId="0" fontId="36" fillId="20" borderId="1" xfId="0" applyFont="1" applyFill="1" applyBorder="1" applyAlignment="1" applyProtection="1">
      <alignment horizontal="center" vertical="center"/>
    </xf>
    <xf numFmtId="0" fontId="36" fillId="3" borderId="1" xfId="0" applyFont="1" applyFill="1" applyBorder="1" applyAlignment="1" applyProtection="1">
      <alignment horizontal="center" vertical="center"/>
    </xf>
    <xf numFmtId="0" fontId="36" fillId="21" borderId="1" xfId="0" applyFont="1" applyFill="1" applyBorder="1" applyAlignment="1" applyProtection="1">
      <alignment horizontal="center" vertical="center"/>
    </xf>
    <xf numFmtId="0" fontId="36" fillId="21" borderId="1" xfId="0" applyFont="1" applyFill="1" applyBorder="1" applyAlignment="1" applyProtection="1">
      <alignment vertical="center"/>
    </xf>
    <xf numFmtId="0" fontId="36" fillId="10" borderId="1" xfId="0" applyFont="1" applyFill="1" applyBorder="1" applyAlignment="1" applyProtection="1">
      <alignment horizontal="center" vertical="center"/>
    </xf>
    <xf numFmtId="0" fontId="36" fillId="10" borderId="1" xfId="0" applyFont="1" applyFill="1" applyBorder="1" applyAlignment="1" applyProtection="1">
      <alignment vertical="center"/>
    </xf>
    <xf numFmtId="0" fontId="36" fillId="9" borderId="1" xfId="0" applyFont="1" applyFill="1" applyBorder="1" applyAlignment="1" applyProtection="1">
      <alignment horizontal="center" vertical="center"/>
    </xf>
    <xf numFmtId="0" fontId="36" fillId="9" borderId="1" xfId="0" applyFont="1" applyFill="1" applyBorder="1" applyAlignment="1" applyProtection="1">
      <alignment vertical="center"/>
    </xf>
    <xf numFmtId="0" fontId="36" fillId="22" borderId="1" xfId="0" applyFont="1" applyFill="1" applyBorder="1" applyAlignment="1" applyProtection="1">
      <alignment horizontal="center" vertical="center"/>
    </xf>
    <xf numFmtId="0" fontId="36" fillId="22" borderId="1" xfId="0" applyFont="1" applyFill="1" applyBorder="1" applyAlignment="1" applyProtection="1">
      <alignment vertical="center"/>
    </xf>
    <xf numFmtId="3" fontId="36" fillId="24" borderId="1" xfId="0" applyNumberFormat="1" applyFont="1" applyFill="1" applyBorder="1" applyAlignment="1" applyProtection="1">
      <alignment horizontal="center" vertical="center"/>
    </xf>
    <xf numFmtId="3" fontId="14" fillId="0" borderId="0" xfId="0" applyNumberFormat="1" applyFont="1" applyFill="1" applyAlignment="1" applyProtection="1">
      <alignment horizontal="center" vertical="center"/>
    </xf>
    <xf numFmtId="0" fontId="37" fillId="4" borderId="1" xfId="0" applyFont="1" applyFill="1" applyBorder="1" applyAlignment="1" applyProtection="1">
      <alignment horizontal="center" vertical="center"/>
    </xf>
    <xf numFmtId="164" fontId="11" fillId="5" borderId="9" xfId="1" applyNumberFormat="1" applyFont="1" applyFill="1" applyBorder="1" applyAlignment="1">
      <alignment horizontal="center" vertical="center"/>
    </xf>
    <xf numFmtId="164" fontId="11" fillId="5" borderId="2" xfId="1" applyNumberFormat="1" applyFont="1" applyFill="1" applyBorder="1" applyAlignment="1">
      <alignment horizontal="center" vertical="center"/>
    </xf>
    <xf numFmtId="164" fontId="11" fillId="5" borderId="0" xfId="1" applyNumberFormat="1" applyFont="1" applyFill="1" applyAlignment="1">
      <alignment horizontal="center" vertical="center"/>
    </xf>
    <xf numFmtId="0" fontId="30" fillId="0" borderId="0" xfId="11" applyFont="1" applyAlignment="1">
      <alignment horizontal="center"/>
    </xf>
  </cellXfs>
  <cellStyles count="12">
    <cellStyle name="Comma 2" xfId="10" xr:uid="{9C15091E-8A84-4169-90FA-BECBA900BEEC}"/>
    <cellStyle name="Hyperlink 3" xfId="7" xr:uid="{28AF219E-286C-406D-B12D-9364C36F30D1}"/>
    <cellStyle name="Milliers 2" xfId="5" xr:uid="{48D6277A-EA3C-4A15-86FC-1F54C02843AA}"/>
    <cellStyle name="Normal" xfId="0" builtinId="0"/>
    <cellStyle name="Normal 2" xfId="1" xr:uid="{DDF467DF-8897-432D-8C8F-D4449BEFC32E}"/>
    <cellStyle name="Normal 2 2" xfId="8" xr:uid="{DFBA3D9A-EA17-4AAA-AC3D-FC1DAAC9B237}"/>
    <cellStyle name="Normal 3" xfId="2" xr:uid="{C1C800AC-C48D-49C0-B5BD-E39F3F76DFC5}"/>
    <cellStyle name="Normal 3 2" xfId="11" xr:uid="{FE84A734-D008-4DF9-B446-39A05EC62670}"/>
    <cellStyle name="Normal 4" xfId="3" xr:uid="{E58B4536-DEA8-46C9-84A8-AC5A3FE8B30C}"/>
    <cellStyle name="Normal 5" xfId="4" xr:uid="{F9CFD8BB-D425-4E05-9648-631877C68E84}"/>
    <cellStyle name="Percent 2" xfId="9" xr:uid="{D1240412-9199-4C34-BE01-36F58FECDEBD}"/>
    <cellStyle name="Pourcentage 2" xfId="6" xr:uid="{9E0DBACF-7EF7-42BC-A6C2-80898DD728FE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7A7A7A"/>
      <rgbColor rgb="007F7F7F"/>
      <rgbColor rgb="004C4C4C"/>
      <rgbColor rgb="00F2F2F2"/>
      <rgbColor rgb="00666666"/>
      <rgbColor rgb="00E5E5E5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2</xdr:row>
      <xdr:rowOff>114300</xdr:rowOff>
    </xdr:from>
    <xdr:to>
      <xdr:col>8</xdr:col>
      <xdr:colOff>0</xdr:colOff>
      <xdr:row>18</xdr:row>
      <xdr:rowOff>47625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F83555B-BE84-EA66-B258-B62E0C490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95300"/>
          <a:ext cx="5781675" cy="2981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598D-B1E7-4F04-9F33-376B15B2AC33}">
  <sheetPr>
    <tabColor theme="3" tint="0.39997558519241921"/>
  </sheetPr>
  <dimension ref="B1:N43"/>
  <sheetViews>
    <sheetView zoomScale="90" zoomScaleNormal="90" workbookViewId="0">
      <selection activeCell="F51" sqref="F51"/>
    </sheetView>
  </sheetViews>
  <sheetFormatPr baseColWidth="10" defaultRowHeight="15" x14ac:dyDescent="0.25"/>
  <cols>
    <col min="4" max="4" width="17.42578125" bestFit="1" customWidth="1"/>
    <col min="5" max="5" width="25.28515625" bestFit="1" customWidth="1"/>
    <col min="6" max="6" width="6.140625" customWidth="1"/>
    <col min="7" max="7" width="14.85546875" customWidth="1"/>
    <col min="8" max="8" width="11" bestFit="1" customWidth="1"/>
  </cols>
  <sheetData>
    <row r="1" spans="2:12" x14ac:dyDescent="0.25">
      <c r="B1" s="96"/>
      <c r="C1" s="96"/>
      <c r="D1" s="96"/>
      <c r="E1" s="96"/>
      <c r="F1" s="96"/>
      <c r="G1" s="100" t="s">
        <v>36</v>
      </c>
      <c r="H1" s="100" t="s">
        <v>36</v>
      </c>
      <c r="I1" s="96"/>
      <c r="J1" s="101" t="s">
        <v>36</v>
      </c>
      <c r="K1" s="101" t="s">
        <v>36</v>
      </c>
    </row>
    <row r="2" spans="2:12" x14ac:dyDescent="0.25">
      <c r="B2" s="102" t="s">
        <v>117</v>
      </c>
      <c r="C2" s="102"/>
      <c r="D2" s="102"/>
      <c r="E2" s="118"/>
      <c r="F2" s="96"/>
      <c r="G2" s="100" t="s">
        <v>24</v>
      </c>
      <c r="H2" s="100" t="s">
        <v>24</v>
      </c>
      <c r="I2" s="96"/>
      <c r="J2" s="101" t="s">
        <v>25</v>
      </c>
      <c r="K2" s="101" t="s">
        <v>25</v>
      </c>
    </row>
    <row r="3" spans="2:12" x14ac:dyDescent="0.25">
      <c r="B3" s="96"/>
      <c r="C3" s="96"/>
      <c r="D3" s="96"/>
      <c r="E3" s="96"/>
      <c r="F3" s="96"/>
      <c r="G3" s="100" t="s">
        <v>39</v>
      </c>
      <c r="H3" s="100" t="s">
        <v>38</v>
      </c>
      <c r="I3" s="96"/>
      <c r="J3" s="101" t="s">
        <v>39</v>
      </c>
      <c r="K3" s="101" t="s">
        <v>38</v>
      </c>
    </row>
    <row r="4" spans="2:12" x14ac:dyDescent="0.25">
      <c r="B4" s="96"/>
      <c r="C4" s="96"/>
      <c r="D4" s="96"/>
      <c r="E4" s="96"/>
      <c r="F4" s="96"/>
      <c r="G4" s="96"/>
      <c r="H4" s="96"/>
      <c r="I4" s="96"/>
      <c r="J4" s="96"/>
      <c r="K4" s="96"/>
    </row>
    <row r="5" spans="2:12" x14ac:dyDescent="0.25">
      <c r="B5" s="103">
        <v>1</v>
      </c>
      <c r="C5" s="104" t="s">
        <v>1</v>
      </c>
      <c r="D5" s="97"/>
      <c r="E5" s="97"/>
      <c r="F5" s="96"/>
      <c r="G5" s="119"/>
      <c r="H5" s="119"/>
      <c r="I5" s="120"/>
      <c r="J5" s="119"/>
      <c r="K5" s="119"/>
    </row>
    <row r="6" spans="2:12" x14ac:dyDescent="0.25">
      <c r="B6" s="103">
        <v>2</v>
      </c>
      <c r="C6" s="105" t="s">
        <v>2</v>
      </c>
      <c r="D6" s="98"/>
      <c r="E6" s="98"/>
      <c r="F6" s="96"/>
      <c r="G6" s="121"/>
      <c r="H6" s="121"/>
      <c r="I6" s="120"/>
      <c r="J6" s="121"/>
      <c r="K6" s="121"/>
    </row>
    <row r="7" spans="2:12" x14ac:dyDescent="0.25">
      <c r="B7" s="103">
        <v>3</v>
      </c>
      <c r="C7" s="104" t="s">
        <v>4</v>
      </c>
      <c r="D7" s="97"/>
      <c r="E7" s="97"/>
      <c r="F7" s="96"/>
      <c r="G7" s="119"/>
      <c r="H7" s="119"/>
      <c r="I7" s="120"/>
      <c r="J7" s="119"/>
      <c r="K7" s="119"/>
    </row>
    <row r="8" spans="2:12" x14ac:dyDescent="0.25">
      <c r="B8" s="103">
        <v>4</v>
      </c>
      <c r="C8" s="104" t="s">
        <v>5</v>
      </c>
      <c r="D8" s="97"/>
      <c r="E8" s="97"/>
      <c r="F8" s="96"/>
      <c r="G8" s="119"/>
      <c r="H8" s="119"/>
      <c r="I8" s="120"/>
      <c r="J8" s="119"/>
      <c r="K8" s="119"/>
    </row>
    <row r="9" spans="2:12" x14ac:dyDescent="0.25">
      <c r="B9" s="103">
        <v>5</v>
      </c>
      <c r="C9" s="106" t="s">
        <v>0</v>
      </c>
      <c r="D9" s="107" t="s">
        <v>114</v>
      </c>
      <c r="E9" s="99"/>
      <c r="F9" s="96"/>
      <c r="G9" s="117"/>
      <c r="H9" s="117"/>
      <c r="I9" s="120"/>
      <c r="J9" s="117"/>
      <c r="K9" s="117"/>
    </row>
    <row r="10" spans="2:12" x14ac:dyDescent="0.25">
      <c r="B10" s="103">
        <v>6</v>
      </c>
      <c r="C10" s="108" t="s">
        <v>3</v>
      </c>
      <c r="D10" s="99"/>
      <c r="E10" s="98" t="s">
        <v>14</v>
      </c>
      <c r="F10" s="96"/>
      <c r="G10" s="117"/>
      <c r="H10" s="117">
        <v>3635.45</v>
      </c>
      <c r="I10" s="120"/>
      <c r="J10" s="117"/>
      <c r="K10" s="117"/>
    </row>
    <row r="11" spans="2:12" x14ac:dyDescent="0.25">
      <c r="B11" s="103">
        <v>7</v>
      </c>
      <c r="C11" s="109" t="s">
        <v>3</v>
      </c>
      <c r="D11" s="110" t="s">
        <v>15</v>
      </c>
      <c r="E11" s="99"/>
      <c r="F11" s="96"/>
      <c r="G11" s="117"/>
      <c r="H11" s="117"/>
      <c r="I11" s="120"/>
      <c r="J11" s="117"/>
      <c r="K11" s="117"/>
    </row>
    <row r="12" spans="2:12" x14ac:dyDescent="0.25">
      <c r="B12" s="103">
        <v>8</v>
      </c>
      <c r="C12" s="105" t="s">
        <v>1</v>
      </c>
      <c r="D12" s="98"/>
      <c r="E12" s="98"/>
      <c r="F12" s="96"/>
      <c r="G12" s="121"/>
      <c r="H12" s="121"/>
      <c r="I12" s="120"/>
      <c r="J12" s="121"/>
      <c r="K12" s="121"/>
    </row>
    <row r="13" spans="2:12" x14ac:dyDescent="0.25">
      <c r="B13" s="103">
        <v>9</v>
      </c>
      <c r="C13" s="105" t="s">
        <v>2</v>
      </c>
      <c r="D13" s="98"/>
      <c r="E13" s="98"/>
      <c r="F13" s="96"/>
      <c r="G13" s="121"/>
      <c r="H13" s="121"/>
      <c r="I13" s="120"/>
      <c r="J13" s="121"/>
      <c r="K13" s="121"/>
    </row>
    <row r="14" spans="2:12" x14ac:dyDescent="0.25">
      <c r="B14" s="103">
        <v>10</v>
      </c>
      <c r="C14" s="104" t="s">
        <v>4</v>
      </c>
      <c r="D14" s="97"/>
      <c r="E14" s="97"/>
      <c r="F14" s="96"/>
      <c r="G14" s="119"/>
      <c r="H14" s="119"/>
      <c r="I14" s="120"/>
      <c r="J14" s="119"/>
      <c r="K14" s="119"/>
    </row>
    <row r="15" spans="2:12" x14ac:dyDescent="0.25">
      <c r="B15" s="103">
        <v>11</v>
      </c>
      <c r="C15" s="104" t="s">
        <v>5</v>
      </c>
      <c r="D15" s="97"/>
      <c r="E15" s="97"/>
      <c r="F15" s="96"/>
      <c r="G15" s="119"/>
      <c r="H15" s="119"/>
      <c r="I15" s="120"/>
      <c r="J15" s="119"/>
      <c r="K15" s="119"/>
    </row>
    <row r="16" spans="2:12" x14ac:dyDescent="0.25">
      <c r="B16" s="122">
        <v>12</v>
      </c>
      <c r="C16" s="111" t="s">
        <v>0</v>
      </c>
      <c r="D16" s="112" t="s">
        <v>11</v>
      </c>
      <c r="E16" s="98"/>
      <c r="F16" s="96"/>
      <c r="G16" s="121"/>
      <c r="H16" s="121">
        <v>2507349.0299999998</v>
      </c>
      <c r="I16" s="120">
        <f>H16+H17</f>
        <v>2513492.0299999998</v>
      </c>
      <c r="J16" s="121"/>
      <c r="K16" s="121">
        <v>788969.16</v>
      </c>
      <c r="L16" s="19">
        <f>K16/1.1919</f>
        <v>661942.41127611382</v>
      </c>
    </row>
    <row r="17" spans="2:13" x14ac:dyDescent="0.25">
      <c r="B17" s="103">
        <v>12</v>
      </c>
      <c r="C17" s="111" t="s">
        <v>0</v>
      </c>
      <c r="D17" s="112"/>
      <c r="E17" s="20" t="s">
        <v>118</v>
      </c>
      <c r="F17" s="96"/>
      <c r="G17" s="121"/>
      <c r="H17" s="117">
        <v>6143</v>
      </c>
      <c r="I17" s="120"/>
      <c r="J17" s="121"/>
      <c r="K17" s="121"/>
      <c r="L17" s="19"/>
    </row>
    <row r="18" spans="2:13" x14ac:dyDescent="0.25">
      <c r="B18" s="103">
        <v>13</v>
      </c>
      <c r="C18" s="105" t="s">
        <v>3</v>
      </c>
      <c r="D18" s="98"/>
      <c r="E18" s="98"/>
      <c r="F18" s="96"/>
      <c r="G18" s="121"/>
      <c r="H18" s="121"/>
      <c r="I18" s="120"/>
      <c r="J18" s="121"/>
      <c r="K18" s="121"/>
      <c r="L18" s="19"/>
    </row>
    <row r="19" spans="2:13" x14ac:dyDescent="0.25">
      <c r="B19" s="103">
        <v>14</v>
      </c>
      <c r="C19" s="113" t="s">
        <v>3</v>
      </c>
      <c r="D19" s="114" t="s">
        <v>115</v>
      </c>
      <c r="E19" s="98"/>
      <c r="F19" s="96"/>
      <c r="G19" s="121"/>
      <c r="H19" s="121"/>
      <c r="I19" s="120"/>
      <c r="J19" s="121"/>
      <c r="K19" s="121"/>
      <c r="L19" s="19"/>
    </row>
    <row r="20" spans="2:13" x14ac:dyDescent="0.25">
      <c r="B20" s="122">
        <v>15</v>
      </c>
      <c r="C20" s="105" t="s">
        <v>1</v>
      </c>
      <c r="D20" s="98"/>
      <c r="E20" s="98" t="s">
        <v>19</v>
      </c>
      <c r="F20" s="96"/>
      <c r="G20" s="121"/>
      <c r="H20" s="117">
        <v>603585.91</v>
      </c>
      <c r="I20" s="120"/>
      <c r="J20" s="121"/>
      <c r="K20" s="121"/>
      <c r="L20" s="19"/>
      <c r="M20" s="19">
        <f>SUM(H20:H22)</f>
        <v>668905.91</v>
      </c>
    </row>
    <row r="21" spans="2:13" x14ac:dyDescent="0.25">
      <c r="B21" s="122"/>
      <c r="C21" s="105"/>
      <c r="D21" s="98"/>
      <c r="E21" s="98" t="s">
        <v>119</v>
      </c>
      <c r="F21" s="96"/>
      <c r="G21" s="121"/>
      <c r="H21" s="121">
        <v>48320</v>
      </c>
      <c r="I21" s="120"/>
      <c r="J21" s="121"/>
      <c r="K21" s="121"/>
      <c r="L21" s="19"/>
    </row>
    <row r="22" spans="2:13" x14ac:dyDescent="0.25">
      <c r="B22" s="122"/>
      <c r="C22" s="105"/>
      <c r="D22" s="98"/>
      <c r="E22" s="124" t="s">
        <v>125</v>
      </c>
      <c r="F22" s="96"/>
      <c r="G22" s="121"/>
      <c r="H22" s="121">
        <v>17000</v>
      </c>
      <c r="I22" s="120"/>
      <c r="J22" s="121"/>
      <c r="K22" s="121"/>
      <c r="L22" s="19"/>
    </row>
    <row r="23" spans="2:13" x14ac:dyDescent="0.25">
      <c r="B23" s="103">
        <v>16</v>
      </c>
      <c r="C23" s="115" t="s">
        <v>2</v>
      </c>
      <c r="D23" s="116" t="s">
        <v>116</v>
      </c>
      <c r="E23" s="98"/>
      <c r="F23" s="96"/>
      <c r="G23" s="121"/>
      <c r="H23" s="121"/>
      <c r="I23" s="120"/>
      <c r="J23" s="121"/>
      <c r="K23" s="121"/>
      <c r="L23" s="19"/>
    </row>
    <row r="24" spans="2:13" x14ac:dyDescent="0.25">
      <c r="B24" s="103">
        <v>17</v>
      </c>
      <c r="C24" s="104" t="s">
        <v>4</v>
      </c>
      <c r="D24" s="97"/>
      <c r="E24" s="97"/>
      <c r="F24" s="96"/>
      <c r="G24" s="119"/>
      <c r="H24" s="119"/>
      <c r="I24" s="120"/>
      <c r="J24" s="119"/>
      <c r="K24" s="119"/>
      <c r="L24" s="19"/>
    </row>
    <row r="25" spans="2:13" x14ac:dyDescent="0.25">
      <c r="B25" s="103">
        <v>18</v>
      </c>
      <c r="C25" s="104" t="s">
        <v>5</v>
      </c>
      <c r="D25" s="97"/>
      <c r="E25" s="97"/>
      <c r="F25" s="96"/>
      <c r="G25" s="119"/>
      <c r="H25" s="119"/>
      <c r="I25" s="120"/>
      <c r="J25" s="119"/>
      <c r="K25" s="119"/>
      <c r="L25" s="19"/>
    </row>
    <row r="26" spans="2:13" x14ac:dyDescent="0.25">
      <c r="B26" s="103">
        <v>19</v>
      </c>
      <c r="C26" s="105" t="s">
        <v>0</v>
      </c>
      <c r="D26" s="98"/>
      <c r="E26" s="98"/>
      <c r="F26" s="96"/>
      <c r="G26" s="121"/>
      <c r="H26" s="121"/>
      <c r="I26" s="120"/>
      <c r="J26" s="121"/>
      <c r="K26" s="121"/>
      <c r="L26" s="19"/>
    </row>
    <row r="27" spans="2:13" x14ac:dyDescent="0.25">
      <c r="B27" s="103">
        <v>20</v>
      </c>
      <c r="C27" s="105" t="s">
        <v>3</v>
      </c>
      <c r="D27" s="98"/>
      <c r="E27" s="128" t="s">
        <v>31</v>
      </c>
      <c r="F27" s="96"/>
      <c r="G27" s="121"/>
      <c r="H27" s="121">
        <v>-518978</v>
      </c>
      <c r="I27" s="120"/>
      <c r="J27" s="121"/>
      <c r="K27" s="121"/>
      <c r="L27" s="19"/>
    </row>
    <row r="28" spans="2:13" x14ac:dyDescent="0.25">
      <c r="B28" s="103">
        <v>21</v>
      </c>
      <c r="C28" s="105" t="s">
        <v>3</v>
      </c>
      <c r="D28" s="98"/>
      <c r="E28" s="98" t="s">
        <v>35</v>
      </c>
      <c r="F28" s="96"/>
      <c r="G28" s="121"/>
      <c r="H28" s="121">
        <v>69813.13</v>
      </c>
      <c r="I28" s="120"/>
      <c r="J28" s="121"/>
      <c r="K28" s="121"/>
      <c r="L28" s="19"/>
    </row>
    <row r="29" spans="2:13" x14ac:dyDescent="0.25">
      <c r="B29" s="103">
        <v>22</v>
      </c>
      <c r="C29" s="105" t="s">
        <v>1</v>
      </c>
      <c r="D29" s="98"/>
      <c r="E29" s="98"/>
      <c r="F29" s="96"/>
      <c r="G29" s="121"/>
      <c r="H29" s="121"/>
      <c r="I29" s="120"/>
      <c r="J29" s="121"/>
      <c r="K29" s="121"/>
      <c r="L29" s="19"/>
      <c r="M29" s="132">
        <v>7319212.7400000002</v>
      </c>
    </row>
    <row r="30" spans="2:13" x14ac:dyDescent="0.25">
      <c r="B30" s="122">
        <v>23</v>
      </c>
      <c r="C30" s="105" t="s">
        <v>2</v>
      </c>
      <c r="D30" s="98"/>
      <c r="E30" s="98"/>
      <c r="F30" s="96"/>
      <c r="G30" s="121"/>
      <c r="H30" s="121"/>
      <c r="I30" s="120"/>
      <c r="J30" s="121"/>
      <c r="K30" s="121"/>
      <c r="L30" s="19"/>
      <c r="M30" s="132">
        <v>4648064.8</v>
      </c>
    </row>
    <row r="31" spans="2:13" x14ac:dyDescent="0.25">
      <c r="B31" s="103">
        <v>24</v>
      </c>
      <c r="C31" s="105" t="s">
        <v>4</v>
      </c>
      <c r="D31" s="98"/>
      <c r="E31" s="98"/>
      <c r="F31" s="96"/>
      <c r="G31" s="121"/>
      <c r="H31" s="121"/>
      <c r="I31" s="120"/>
      <c r="J31" s="121"/>
      <c r="K31" s="121"/>
      <c r="L31" s="19"/>
    </row>
    <row r="32" spans="2:13" x14ac:dyDescent="0.25">
      <c r="B32" s="103">
        <v>25</v>
      </c>
      <c r="C32" s="104" t="s">
        <v>5</v>
      </c>
      <c r="D32" s="97"/>
      <c r="E32" s="97"/>
      <c r="F32" s="96"/>
      <c r="G32" s="119"/>
      <c r="H32" s="119"/>
      <c r="I32" s="120"/>
      <c r="J32" s="119"/>
      <c r="K32" s="119"/>
      <c r="L32" s="19"/>
    </row>
    <row r="33" spans="2:14" x14ac:dyDescent="0.25">
      <c r="B33" s="122">
        <v>26</v>
      </c>
      <c r="C33" s="111" t="s">
        <v>0</v>
      </c>
      <c r="D33" s="131" t="s">
        <v>128</v>
      </c>
      <c r="E33" s="98"/>
      <c r="F33" s="96"/>
      <c r="G33" s="121">
        <v>-19935003.199999999</v>
      </c>
      <c r="H33" s="121"/>
      <c r="I33" s="120"/>
      <c r="J33" s="121"/>
      <c r="K33" s="130">
        <v>1328121.24</v>
      </c>
      <c r="L33" s="19">
        <f>K33/1.1919</f>
        <v>1114289.1517744777</v>
      </c>
    </row>
    <row r="34" spans="2:14" x14ac:dyDescent="0.25">
      <c r="B34" s="122">
        <v>26</v>
      </c>
      <c r="C34" s="111" t="s">
        <v>0</v>
      </c>
      <c r="D34" s="129" t="s">
        <v>126</v>
      </c>
      <c r="E34" s="98"/>
      <c r="F34" s="96"/>
      <c r="G34" s="121"/>
      <c r="H34" s="130">
        <v>1265201.24</v>
      </c>
      <c r="I34" s="120"/>
      <c r="J34" s="121"/>
      <c r="K34" s="121"/>
      <c r="N34">
        <v>15</v>
      </c>
    </row>
    <row r="35" spans="2:14" x14ac:dyDescent="0.25">
      <c r="B35" s="122">
        <v>26</v>
      </c>
      <c r="C35" s="111" t="s">
        <v>0</v>
      </c>
      <c r="D35" s="129" t="s">
        <v>127</v>
      </c>
      <c r="E35" s="98"/>
      <c r="F35" s="96"/>
      <c r="G35" s="121"/>
      <c r="H35" s="130">
        <v>2759645.8</v>
      </c>
      <c r="I35" s="120"/>
      <c r="J35" s="121"/>
      <c r="K35" s="121"/>
    </row>
    <row r="36" spans="2:14" x14ac:dyDescent="0.25">
      <c r="B36" s="122">
        <v>26</v>
      </c>
      <c r="C36" s="126" t="s">
        <v>0</v>
      </c>
      <c r="D36" s="125" t="s">
        <v>12</v>
      </c>
      <c r="E36" s="98"/>
      <c r="F36" s="96"/>
      <c r="G36" s="121"/>
      <c r="H36" s="127">
        <v>11967277.539999999</v>
      </c>
      <c r="I36" s="120"/>
      <c r="J36" s="121"/>
      <c r="K36" s="121"/>
    </row>
    <row r="37" spans="2:14" x14ac:dyDescent="0.25">
      <c r="B37" s="122">
        <v>26</v>
      </c>
      <c r="C37" s="108" t="s">
        <v>0</v>
      </c>
      <c r="D37" s="98"/>
      <c r="E37" s="98" t="s">
        <v>27</v>
      </c>
      <c r="F37" s="96"/>
      <c r="G37" s="121"/>
      <c r="H37" s="121">
        <v>75515.01999999999</v>
      </c>
      <c r="I37" s="120">
        <f>G33+SUM(H34:H37)</f>
        <v>-3867363.6000000015</v>
      </c>
      <c r="J37" s="121"/>
      <c r="K37" s="121"/>
    </row>
    <row r="38" spans="2:14" x14ac:dyDescent="0.25">
      <c r="B38" s="103">
        <v>27</v>
      </c>
      <c r="C38" s="105" t="s">
        <v>3</v>
      </c>
      <c r="D38" s="98"/>
      <c r="E38" s="98" t="s">
        <v>13</v>
      </c>
      <c r="F38" s="96"/>
      <c r="G38" s="121"/>
      <c r="H38" s="121">
        <v>310000</v>
      </c>
      <c r="I38" s="120"/>
      <c r="J38" s="121"/>
      <c r="K38" s="121"/>
    </row>
    <row r="39" spans="2:14" x14ac:dyDescent="0.25">
      <c r="B39" s="103">
        <v>28</v>
      </c>
      <c r="C39" s="105" t="s">
        <v>3</v>
      </c>
      <c r="D39" s="98"/>
      <c r="E39" s="98"/>
      <c r="F39" s="96"/>
      <c r="G39" s="121"/>
      <c r="H39" s="121"/>
      <c r="I39" s="120"/>
      <c r="J39" s="121"/>
      <c r="K39" s="121"/>
    </row>
    <row r="40" spans="2:14" x14ac:dyDescent="0.25">
      <c r="B40" s="103">
        <v>29</v>
      </c>
      <c r="C40" s="105" t="s">
        <v>1</v>
      </c>
      <c r="D40" s="98"/>
      <c r="E40" s="98"/>
      <c r="F40" s="96"/>
      <c r="G40" s="121"/>
      <c r="H40" s="121"/>
      <c r="I40" s="120"/>
      <c r="J40" s="121"/>
      <c r="K40" s="121"/>
    </row>
    <row r="41" spans="2:14" x14ac:dyDescent="0.25">
      <c r="B41" s="122">
        <v>30</v>
      </c>
      <c r="C41" s="105" t="s">
        <v>2</v>
      </c>
      <c r="D41" s="98"/>
      <c r="E41" s="133" t="s">
        <v>129</v>
      </c>
      <c r="F41" s="96"/>
      <c r="G41" s="121"/>
      <c r="H41" s="121">
        <v>51967.46</v>
      </c>
      <c r="I41" s="120"/>
      <c r="J41" s="121"/>
      <c r="K41" s="121"/>
    </row>
    <row r="42" spans="2:14" x14ac:dyDescent="0.25">
      <c r="B42" s="122">
        <v>30</v>
      </c>
      <c r="C42" s="105" t="s">
        <v>2</v>
      </c>
      <c r="D42" s="98"/>
      <c r="E42" s="134" t="s">
        <v>31</v>
      </c>
      <c r="F42" s="96"/>
      <c r="G42" s="121"/>
      <c r="H42" s="121">
        <v>-1563714</v>
      </c>
      <c r="I42" s="120"/>
      <c r="J42" s="121"/>
      <c r="K42" s="121"/>
    </row>
    <row r="43" spans="2:14" x14ac:dyDescent="0.25">
      <c r="B43" s="103">
        <v>31</v>
      </c>
      <c r="C43" s="104" t="s">
        <v>4</v>
      </c>
      <c r="D43" s="97"/>
      <c r="E43" s="97"/>
      <c r="F43" s="96"/>
      <c r="G43" s="119"/>
      <c r="H43" s="123"/>
      <c r="I43" s="120"/>
      <c r="J43" s="119"/>
      <c r="K43" s="119"/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E9F2-99F7-493E-804E-54D4CB10AA44}">
  <sheetPr>
    <tabColor theme="3" tint="0.39997558519241921"/>
  </sheetPr>
  <dimension ref="B1:P41"/>
  <sheetViews>
    <sheetView zoomScaleNormal="100" workbookViewId="0">
      <selection activeCell="H33" sqref="H33:H38"/>
    </sheetView>
  </sheetViews>
  <sheetFormatPr baseColWidth="10" defaultRowHeight="15" x14ac:dyDescent="0.25"/>
  <cols>
    <col min="4" max="4" width="16.42578125" bestFit="1" customWidth="1"/>
    <col min="5" max="5" width="21" bestFit="1" customWidth="1"/>
  </cols>
  <sheetData>
    <row r="1" spans="2:16" x14ac:dyDescent="0.25">
      <c r="B1" s="14"/>
      <c r="C1" s="14"/>
      <c r="D1" s="14"/>
      <c r="E1" s="14"/>
      <c r="F1" s="14"/>
      <c r="G1" s="141" t="s">
        <v>36</v>
      </c>
      <c r="H1" s="141" t="s">
        <v>36</v>
      </c>
      <c r="I1" s="14"/>
      <c r="J1" s="46" t="s">
        <v>36</v>
      </c>
      <c r="K1" s="46" t="s">
        <v>36</v>
      </c>
    </row>
    <row r="2" spans="2:16" x14ac:dyDescent="0.25">
      <c r="B2" s="142" t="s">
        <v>121</v>
      </c>
      <c r="C2" s="142"/>
      <c r="D2" s="142"/>
      <c r="E2" s="142"/>
      <c r="F2" s="14"/>
      <c r="G2" s="141" t="s">
        <v>24</v>
      </c>
      <c r="H2" s="141" t="s">
        <v>24</v>
      </c>
      <c r="I2" s="14"/>
      <c r="J2" s="46" t="s">
        <v>25</v>
      </c>
      <c r="K2" s="46" t="s">
        <v>25</v>
      </c>
    </row>
    <row r="3" spans="2:16" x14ac:dyDescent="0.25">
      <c r="B3" s="14"/>
      <c r="C3" s="14"/>
      <c r="D3" s="14"/>
      <c r="E3" s="14"/>
      <c r="F3" s="14"/>
      <c r="G3" s="141" t="s">
        <v>39</v>
      </c>
      <c r="H3" s="141" t="s">
        <v>38</v>
      </c>
      <c r="I3" s="14"/>
      <c r="J3" s="46" t="s">
        <v>39</v>
      </c>
      <c r="K3" s="46" t="s">
        <v>38</v>
      </c>
    </row>
    <row r="4" spans="2:16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2:16" x14ac:dyDescent="0.25">
      <c r="B5" s="143">
        <v>1</v>
      </c>
      <c r="C5" s="140" t="s">
        <v>5</v>
      </c>
      <c r="D5" s="136"/>
      <c r="E5" s="136"/>
      <c r="F5" s="14"/>
      <c r="G5" s="136"/>
      <c r="H5" s="136"/>
      <c r="I5" s="14"/>
      <c r="J5" s="137"/>
      <c r="K5" s="137"/>
      <c r="P5" s="18" t="s">
        <v>120</v>
      </c>
    </row>
    <row r="6" spans="2:16" x14ac:dyDescent="0.25">
      <c r="B6" s="143">
        <v>2</v>
      </c>
      <c r="C6" s="144" t="s">
        <v>0</v>
      </c>
      <c r="D6" s="139"/>
      <c r="E6" s="139" t="s">
        <v>130</v>
      </c>
      <c r="F6" s="14"/>
      <c r="G6" s="138"/>
      <c r="H6" s="138">
        <v>38197.9</v>
      </c>
      <c r="I6" s="14"/>
      <c r="J6" s="138"/>
      <c r="K6" s="138"/>
      <c r="P6" s="18" t="s">
        <v>124</v>
      </c>
    </row>
    <row r="7" spans="2:16" x14ac:dyDescent="0.25">
      <c r="B7" s="143">
        <v>3</v>
      </c>
      <c r="C7" s="145" t="s">
        <v>3</v>
      </c>
      <c r="D7" s="146" t="s">
        <v>114</v>
      </c>
      <c r="E7" s="146" t="s">
        <v>114</v>
      </c>
      <c r="F7" s="14"/>
      <c r="G7" s="139"/>
      <c r="H7" s="138"/>
      <c r="I7" s="14"/>
      <c r="J7" s="138"/>
      <c r="K7" s="138"/>
    </row>
    <row r="8" spans="2:16" x14ac:dyDescent="0.25">
      <c r="B8" s="143">
        <v>4</v>
      </c>
      <c r="C8" s="144" t="s">
        <v>3</v>
      </c>
      <c r="D8" s="139"/>
      <c r="E8" s="139" t="s">
        <v>133</v>
      </c>
      <c r="F8" s="14"/>
      <c r="G8" s="139"/>
      <c r="H8" s="138"/>
      <c r="I8" s="14"/>
      <c r="J8" s="138">
        <v>-5000000</v>
      </c>
      <c r="K8" s="138"/>
    </row>
    <row r="9" spans="2:16" x14ac:dyDescent="0.25">
      <c r="B9" s="143">
        <v>5</v>
      </c>
      <c r="C9" s="144" t="s">
        <v>1</v>
      </c>
      <c r="D9" s="139"/>
      <c r="E9" s="139"/>
      <c r="F9" s="14"/>
      <c r="G9" s="139"/>
      <c r="H9" s="138"/>
      <c r="I9" s="14"/>
      <c r="J9" s="138"/>
      <c r="K9" s="138"/>
    </row>
    <row r="10" spans="2:16" x14ac:dyDescent="0.25">
      <c r="B10" s="143">
        <v>6</v>
      </c>
      <c r="C10" s="144" t="s">
        <v>2</v>
      </c>
      <c r="D10" s="139"/>
      <c r="E10" s="139"/>
      <c r="F10" s="14"/>
      <c r="G10" s="139"/>
      <c r="H10" s="138"/>
      <c r="I10" s="14"/>
      <c r="J10" s="138"/>
      <c r="K10" s="138"/>
    </row>
    <row r="11" spans="2:16" x14ac:dyDescent="0.25">
      <c r="B11" s="143">
        <v>6</v>
      </c>
      <c r="C11" s="144" t="s">
        <v>2</v>
      </c>
      <c r="D11" s="139"/>
      <c r="E11" s="139" t="s">
        <v>135</v>
      </c>
      <c r="F11" s="14"/>
      <c r="G11" s="139"/>
      <c r="H11" s="138"/>
      <c r="I11" s="14"/>
      <c r="J11" s="138">
        <v>4535590.4000000004</v>
      </c>
      <c r="K11" s="138"/>
    </row>
    <row r="12" spans="2:16" x14ac:dyDescent="0.25">
      <c r="B12" s="143">
        <v>7</v>
      </c>
      <c r="C12" s="140" t="s">
        <v>4</v>
      </c>
      <c r="D12" s="136"/>
      <c r="E12" s="136"/>
      <c r="F12" s="14"/>
      <c r="G12" s="136"/>
      <c r="H12" s="137"/>
      <c r="I12" s="14"/>
      <c r="J12" s="137"/>
      <c r="K12" s="137"/>
    </row>
    <row r="13" spans="2:16" x14ac:dyDescent="0.25">
      <c r="B13" s="143">
        <v>8</v>
      </c>
      <c r="C13" s="140" t="s">
        <v>5</v>
      </c>
      <c r="D13" s="136"/>
      <c r="E13" s="136"/>
      <c r="F13" s="14"/>
      <c r="G13" s="136"/>
      <c r="H13" s="137"/>
      <c r="I13" s="14"/>
      <c r="J13" s="137"/>
      <c r="K13" s="137"/>
    </row>
    <row r="14" spans="2:16" x14ac:dyDescent="0.25">
      <c r="B14" s="143">
        <v>9</v>
      </c>
      <c r="C14" s="144" t="s">
        <v>0</v>
      </c>
      <c r="D14" s="139"/>
      <c r="E14" s="139"/>
      <c r="F14" s="14"/>
      <c r="G14" s="139"/>
      <c r="H14" s="138"/>
      <c r="I14" s="14"/>
      <c r="J14" s="138"/>
      <c r="K14" s="138"/>
    </row>
    <row r="15" spans="2:16" x14ac:dyDescent="0.25">
      <c r="B15" s="143">
        <v>10</v>
      </c>
      <c r="C15" s="147" t="s">
        <v>3</v>
      </c>
      <c r="D15" s="148" t="s">
        <v>11</v>
      </c>
      <c r="E15" s="148" t="s">
        <v>11</v>
      </c>
      <c r="F15" s="14"/>
      <c r="G15" s="139"/>
      <c r="H15" s="138">
        <v>2257817.7200000002</v>
      </c>
      <c r="I15" s="14"/>
      <c r="J15" s="138"/>
      <c r="K15" s="138">
        <v>480654.55</v>
      </c>
    </row>
    <row r="16" spans="2:16" x14ac:dyDescent="0.25">
      <c r="B16" s="143">
        <v>11</v>
      </c>
      <c r="C16" s="144" t="s">
        <v>3</v>
      </c>
      <c r="D16" s="139"/>
      <c r="E16" s="139"/>
      <c r="F16" s="14"/>
      <c r="G16" s="139"/>
      <c r="H16" s="138"/>
      <c r="I16" s="14"/>
      <c r="J16" s="138"/>
      <c r="K16" s="138"/>
    </row>
    <row r="17" spans="2:14" x14ac:dyDescent="0.25">
      <c r="B17" s="143">
        <v>12</v>
      </c>
      <c r="C17" s="149" t="s">
        <v>1</v>
      </c>
      <c r="D17" s="150" t="s">
        <v>122</v>
      </c>
      <c r="E17" s="150" t="s">
        <v>122</v>
      </c>
      <c r="F17" s="14"/>
      <c r="G17" s="139"/>
      <c r="H17" s="138"/>
      <c r="I17" s="14"/>
      <c r="J17" s="138"/>
      <c r="K17" s="138">
        <v>53827.58</v>
      </c>
    </row>
    <row r="18" spans="2:14" x14ac:dyDescent="0.25">
      <c r="B18" s="143">
        <v>13</v>
      </c>
      <c r="C18" s="144" t="s">
        <v>2</v>
      </c>
      <c r="D18" s="139" t="s">
        <v>134</v>
      </c>
      <c r="E18" s="139"/>
      <c r="F18" s="14"/>
      <c r="G18" s="139"/>
      <c r="H18" s="138">
        <v>9000</v>
      </c>
      <c r="I18" s="14"/>
      <c r="J18" s="138"/>
      <c r="K18" s="138"/>
    </row>
    <row r="19" spans="2:14" x14ac:dyDescent="0.25">
      <c r="B19" s="143">
        <v>14</v>
      </c>
      <c r="C19" s="140" t="s">
        <v>4</v>
      </c>
      <c r="D19" s="136"/>
      <c r="E19" s="136"/>
      <c r="F19" s="14"/>
      <c r="G19" s="136"/>
      <c r="H19" s="137"/>
      <c r="I19" s="14"/>
      <c r="J19" s="137"/>
      <c r="K19" s="137"/>
      <c r="M19">
        <f>1.93+0.15</f>
        <v>2.08</v>
      </c>
      <c r="N19">
        <v>3.77</v>
      </c>
    </row>
    <row r="20" spans="2:14" x14ac:dyDescent="0.25">
      <c r="B20" s="143">
        <v>15</v>
      </c>
      <c r="C20" s="140" t="s">
        <v>5</v>
      </c>
      <c r="D20" s="136"/>
      <c r="E20" s="136"/>
      <c r="F20" s="14"/>
      <c r="G20" s="136"/>
      <c r="H20" s="137"/>
      <c r="I20" s="14"/>
      <c r="J20" s="137"/>
      <c r="K20" s="137"/>
      <c r="M20">
        <f>M19-1.75</f>
        <v>0.33000000000000007</v>
      </c>
      <c r="N20">
        <f>N19-3.15</f>
        <v>0.62000000000000011</v>
      </c>
    </row>
    <row r="21" spans="2:14" x14ac:dyDescent="0.25">
      <c r="B21" s="143">
        <v>16</v>
      </c>
      <c r="C21" s="144" t="s">
        <v>0</v>
      </c>
      <c r="D21" s="139" t="s">
        <v>125</v>
      </c>
      <c r="E21" s="139"/>
      <c r="F21" s="14"/>
      <c r="G21" s="139"/>
      <c r="H21" s="138">
        <f>16000</f>
        <v>16000</v>
      </c>
      <c r="I21" s="14"/>
      <c r="J21" s="138"/>
      <c r="K21" s="138"/>
      <c r="M21">
        <f>M20%*1*10^6/360</f>
        <v>9.1666666666666696</v>
      </c>
      <c r="N21">
        <f>N20%*1*10^6/360</f>
        <v>17.222222222222225</v>
      </c>
    </row>
    <row r="22" spans="2:14" x14ac:dyDescent="0.25">
      <c r="B22" s="143">
        <v>16</v>
      </c>
      <c r="C22" s="151" t="s">
        <v>0</v>
      </c>
      <c r="D22" s="152" t="s">
        <v>123</v>
      </c>
      <c r="E22" s="152" t="s">
        <v>131</v>
      </c>
      <c r="F22" s="14"/>
      <c r="G22" s="138"/>
      <c r="H22" s="138">
        <v>190422.15</v>
      </c>
      <c r="I22" s="14"/>
      <c r="J22" s="138"/>
      <c r="K22" s="138"/>
    </row>
    <row r="23" spans="2:14" x14ac:dyDescent="0.25">
      <c r="B23" s="143">
        <v>16</v>
      </c>
      <c r="C23" s="151" t="s">
        <v>0</v>
      </c>
      <c r="D23" s="152"/>
      <c r="E23" s="152" t="s">
        <v>141</v>
      </c>
      <c r="F23" s="14"/>
      <c r="G23" s="138"/>
      <c r="H23" s="138">
        <v>-155000</v>
      </c>
      <c r="I23" s="14"/>
      <c r="J23" s="138"/>
      <c r="K23" s="138"/>
    </row>
    <row r="24" spans="2:14" x14ac:dyDescent="0.25">
      <c r="B24" s="143">
        <v>17</v>
      </c>
      <c r="C24" s="144" t="s">
        <v>3</v>
      </c>
      <c r="D24" s="139"/>
      <c r="E24" s="139" t="s">
        <v>142</v>
      </c>
      <c r="F24" s="14"/>
      <c r="G24" s="139"/>
      <c r="H24" s="138">
        <v>-200000</v>
      </c>
      <c r="I24" s="14"/>
      <c r="J24" s="138"/>
      <c r="K24" s="138"/>
    </row>
    <row r="25" spans="2:14" x14ac:dyDescent="0.25">
      <c r="B25" s="143">
        <v>17</v>
      </c>
      <c r="C25" s="144" t="s">
        <v>3</v>
      </c>
      <c r="D25" s="139"/>
      <c r="E25" s="139" t="s">
        <v>143</v>
      </c>
      <c r="F25" s="14"/>
      <c r="G25" s="139"/>
      <c r="H25" s="138">
        <v>100000</v>
      </c>
      <c r="I25" s="14"/>
      <c r="J25" s="138"/>
      <c r="K25" s="138"/>
    </row>
    <row r="26" spans="2:14" x14ac:dyDescent="0.25">
      <c r="B26" s="143">
        <v>18</v>
      </c>
      <c r="C26" s="144" t="s">
        <v>3</v>
      </c>
      <c r="D26" s="139"/>
      <c r="E26" s="139"/>
      <c r="F26" s="14"/>
      <c r="G26" s="139"/>
      <c r="H26" s="138"/>
      <c r="I26" s="14"/>
      <c r="J26" s="138"/>
      <c r="K26" s="138"/>
    </row>
    <row r="27" spans="2:14" x14ac:dyDescent="0.25">
      <c r="B27" s="143">
        <v>19</v>
      </c>
      <c r="C27" s="144" t="s">
        <v>1</v>
      </c>
      <c r="D27" s="139"/>
      <c r="E27" s="139"/>
      <c r="F27" s="14"/>
      <c r="G27" s="139"/>
      <c r="H27" s="138"/>
      <c r="I27" s="14"/>
      <c r="J27" s="138"/>
      <c r="K27" s="138"/>
    </row>
    <row r="28" spans="2:14" x14ac:dyDescent="0.25">
      <c r="B28" s="143">
        <v>20</v>
      </c>
      <c r="C28" s="144" t="s">
        <v>2</v>
      </c>
      <c r="D28" s="139"/>
      <c r="E28" s="139"/>
      <c r="F28" s="14"/>
      <c r="G28" s="139"/>
      <c r="H28" s="138"/>
      <c r="I28" s="14"/>
      <c r="J28" s="138"/>
      <c r="K28" s="138"/>
    </row>
    <row r="29" spans="2:14" x14ac:dyDescent="0.25">
      <c r="B29" s="143">
        <v>21</v>
      </c>
      <c r="C29" s="143" t="s">
        <v>4</v>
      </c>
      <c r="D29" s="140"/>
      <c r="E29" s="140"/>
      <c r="F29" s="14"/>
      <c r="G29" s="140"/>
      <c r="H29" s="137"/>
      <c r="I29" s="14"/>
      <c r="J29" s="137"/>
      <c r="K29" s="137"/>
    </row>
    <row r="30" spans="2:14" x14ac:dyDescent="0.25">
      <c r="B30" s="143">
        <v>22</v>
      </c>
      <c r="C30" s="140" t="s">
        <v>5</v>
      </c>
      <c r="D30" s="136"/>
      <c r="E30" s="136"/>
      <c r="F30" s="14"/>
      <c r="G30" s="136"/>
      <c r="H30" s="137"/>
      <c r="I30" s="14"/>
      <c r="J30" s="137"/>
      <c r="K30" s="137"/>
    </row>
    <row r="31" spans="2:14" x14ac:dyDescent="0.25">
      <c r="B31" s="143">
        <v>23</v>
      </c>
      <c r="C31" s="144" t="s">
        <v>0</v>
      </c>
      <c r="D31" s="139"/>
      <c r="E31" s="139" t="s">
        <v>35</v>
      </c>
      <c r="F31" s="14"/>
      <c r="G31" s="139"/>
      <c r="H31" s="138">
        <v>69876.91</v>
      </c>
      <c r="I31" s="14"/>
      <c r="J31" s="138"/>
      <c r="K31" s="138"/>
    </row>
    <row r="32" spans="2:14" x14ac:dyDescent="0.25">
      <c r="B32" s="143">
        <v>24</v>
      </c>
      <c r="C32" s="144" t="s">
        <v>3</v>
      </c>
      <c r="D32" s="139"/>
      <c r="E32" s="139"/>
      <c r="F32" s="14"/>
      <c r="G32" s="139"/>
      <c r="H32" s="138"/>
      <c r="I32" s="14"/>
      <c r="J32" s="138"/>
      <c r="K32" s="138"/>
    </row>
    <row r="33" spans="2:16" x14ac:dyDescent="0.25">
      <c r="B33" s="143">
        <v>25</v>
      </c>
      <c r="C33" s="147" t="s">
        <v>3</v>
      </c>
      <c r="D33" s="148" t="s">
        <v>11</v>
      </c>
      <c r="E33" s="148" t="s">
        <v>11</v>
      </c>
      <c r="F33" s="14"/>
      <c r="G33" s="138">
        <v>-6011256.2999999998</v>
      </c>
      <c r="H33" s="153">
        <v>1458787.14</v>
      </c>
      <c r="I33" s="154">
        <f>SUM(G33:H38)</f>
        <v>764437.55</v>
      </c>
      <c r="J33" s="138">
        <v>-1859160.6</v>
      </c>
      <c r="K33" s="138">
        <v>753598.41</v>
      </c>
      <c r="L33" s="154">
        <f>SUM(J33:K38)</f>
        <v>-1083642.19</v>
      </c>
      <c r="N33" s="14" t="s">
        <v>144</v>
      </c>
      <c r="P33" t="s">
        <v>146</v>
      </c>
    </row>
    <row r="34" spans="2:16" x14ac:dyDescent="0.25">
      <c r="B34" s="143"/>
      <c r="C34" s="147"/>
      <c r="D34" s="148"/>
      <c r="E34" s="148" t="s">
        <v>12</v>
      </c>
      <c r="F34" s="14"/>
      <c r="G34" s="138"/>
      <c r="H34" s="135">
        <v>3372502.18</v>
      </c>
      <c r="I34" s="154"/>
      <c r="J34" s="138"/>
      <c r="K34" s="138">
        <v>21920</v>
      </c>
      <c r="N34" s="14" t="s">
        <v>25</v>
      </c>
      <c r="O34" s="14" t="s">
        <v>147</v>
      </c>
      <c r="P34">
        <f>1.8-0.8</f>
        <v>1</v>
      </c>
    </row>
    <row r="35" spans="2:16" x14ac:dyDescent="0.25">
      <c r="B35" s="143">
        <v>25</v>
      </c>
      <c r="C35" s="147" t="s">
        <v>3</v>
      </c>
      <c r="D35" s="148"/>
      <c r="E35" s="148" t="s">
        <v>23</v>
      </c>
      <c r="F35" s="14"/>
      <c r="G35" s="138"/>
      <c r="H35" s="135">
        <v>82755</v>
      </c>
      <c r="I35" s="154"/>
      <c r="J35" s="138"/>
      <c r="K35" s="138"/>
      <c r="N35" s="14" t="s">
        <v>24</v>
      </c>
      <c r="O35" s="14" t="s">
        <v>145</v>
      </c>
      <c r="P35">
        <f>6+5-6.7</f>
        <v>4.3</v>
      </c>
    </row>
    <row r="36" spans="2:16" x14ac:dyDescent="0.25">
      <c r="B36" s="143">
        <v>25</v>
      </c>
      <c r="C36" s="147" t="s">
        <v>3</v>
      </c>
      <c r="D36" s="148"/>
      <c r="E36" s="148" t="s">
        <v>132</v>
      </c>
      <c r="F36" s="14"/>
      <c r="G36" s="138"/>
      <c r="H36" s="135">
        <v>310000</v>
      </c>
      <c r="I36" s="154"/>
      <c r="J36" s="138"/>
      <c r="K36" s="138"/>
    </row>
    <row r="37" spans="2:16" x14ac:dyDescent="0.25">
      <c r="B37" s="143">
        <v>25</v>
      </c>
      <c r="C37" s="147" t="s">
        <v>3</v>
      </c>
      <c r="D37" s="148"/>
      <c r="E37" s="148" t="s">
        <v>136</v>
      </c>
      <c r="F37" s="14"/>
      <c r="G37" s="138"/>
      <c r="H37" s="135">
        <v>1003000</v>
      </c>
      <c r="I37" s="154"/>
      <c r="J37" s="138"/>
      <c r="K37" s="138"/>
    </row>
    <row r="38" spans="2:16" x14ac:dyDescent="0.25">
      <c r="B38" s="143">
        <v>25</v>
      </c>
      <c r="C38" s="147" t="s">
        <v>3</v>
      </c>
      <c r="D38" s="148"/>
      <c r="E38" s="148" t="s">
        <v>137</v>
      </c>
      <c r="F38" s="14"/>
      <c r="G38" s="138"/>
      <c r="H38" s="135">
        <f>498772.3*1.1</f>
        <v>548649.53</v>
      </c>
      <c r="I38" s="154"/>
      <c r="J38" s="138"/>
      <c r="K38" s="138"/>
    </row>
    <row r="39" spans="2:16" x14ac:dyDescent="0.25">
      <c r="B39" s="143">
        <v>26</v>
      </c>
      <c r="C39" s="144" t="s">
        <v>1</v>
      </c>
      <c r="D39" s="139"/>
      <c r="E39" s="139"/>
      <c r="F39" s="14"/>
      <c r="G39" s="139"/>
      <c r="H39" s="138"/>
      <c r="I39" s="14"/>
      <c r="J39" s="138"/>
      <c r="K39" s="138"/>
    </row>
    <row r="40" spans="2:16" x14ac:dyDescent="0.25">
      <c r="B40" s="143">
        <v>27</v>
      </c>
      <c r="C40" s="144" t="s">
        <v>2</v>
      </c>
      <c r="D40" s="139"/>
      <c r="E40" s="139"/>
      <c r="F40" s="14"/>
      <c r="G40" s="139"/>
      <c r="H40" s="138"/>
      <c r="I40" s="14"/>
      <c r="J40" s="138"/>
      <c r="K40" s="138"/>
    </row>
    <row r="41" spans="2:16" x14ac:dyDescent="0.25">
      <c r="B41" s="143">
        <v>28</v>
      </c>
      <c r="C41" s="143" t="s">
        <v>4</v>
      </c>
      <c r="D41" s="140"/>
      <c r="E41" s="140"/>
      <c r="F41" s="14"/>
      <c r="G41" s="140"/>
      <c r="H41" s="137"/>
      <c r="I41" s="14"/>
      <c r="J41" s="137"/>
      <c r="K41" s="13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7E4E-C5BB-41C3-A268-8A3449D64C41}">
  <sheetPr>
    <tabColor theme="3" tint="0.39997558519241921"/>
  </sheetPr>
  <dimension ref="B1:K40"/>
  <sheetViews>
    <sheetView tabSelected="1" topLeftCell="A7" workbookViewId="0">
      <selection activeCell="S19" sqref="S19"/>
    </sheetView>
  </sheetViews>
  <sheetFormatPr baseColWidth="10" defaultRowHeight="15" x14ac:dyDescent="0.25"/>
  <cols>
    <col min="4" max="4" width="16.42578125" bestFit="1" customWidth="1"/>
  </cols>
  <sheetData>
    <row r="1" spans="2:11" x14ac:dyDescent="0.25">
      <c r="B1" s="14"/>
      <c r="C1" s="14"/>
      <c r="D1" s="14"/>
      <c r="E1" s="14"/>
      <c r="F1" s="141" t="s">
        <v>36</v>
      </c>
      <c r="G1" s="141" t="s">
        <v>36</v>
      </c>
      <c r="H1" s="14"/>
      <c r="I1" s="46" t="s">
        <v>36</v>
      </c>
      <c r="J1" s="46" t="s">
        <v>36</v>
      </c>
    </row>
    <row r="2" spans="2:11" x14ac:dyDescent="0.25">
      <c r="B2" s="14"/>
      <c r="C2" s="14"/>
      <c r="D2" s="14"/>
      <c r="E2" s="14"/>
      <c r="F2" s="141" t="s">
        <v>24</v>
      </c>
      <c r="G2" s="141" t="s">
        <v>24</v>
      </c>
      <c r="H2" s="14"/>
      <c r="I2" s="46" t="s">
        <v>25</v>
      </c>
      <c r="J2" s="46" t="s">
        <v>25</v>
      </c>
    </row>
    <row r="3" spans="2:11" x14ac:dyDescent="0.25">
      <c r="B3" s="155" t="s">
        <v>138</v>
      </c>
      <c r="C3" s="155"/>
      <c r="D3" s="155"/>
      <c r="E3" s="14"/>
      <c r="F3" s="141" t="s">
        <v>39</v>
      </c>
      <c r="G3" s="141" t="s">
        <v>38</v>
      </c>
      <c r="H3" s="14"/>
      <c r="I3" s="46" t="s">
        <v>39</v>
      </c>
      <c r="J3" s="46" t="s">
        <v>38</v>
      </c>
    </row>
    <row r="4" spans="2:11" x14ac:dyDescent="0.25">
      <c r="B4" s="14"/>
      <c r="C4" s="14"/>
      <c r="D4" s="14"/>
      <c r="E4" s="14"/>
      <c r="F4" s="14"/>
      <c r="G4" s="14"/>
      <c r="H4" s="14"/>
      <c r="I4" s="14"/>
      <c r="J4" s="14"/>
    </row>
    <row r="5" spans="2:11" x14ac:dyDescent="0.25">
      <c r="B5" s="143">
        <v>1</v>
      </c>
      <c r="C5" s="140" t="s">
        <v>5</v>
      </c>
      <c r="D5" s="136"/>
      <c r="E5" s="14"/>
      <c r="F5" s="137"/>
      <c r="G5" s="137"/>
      <c r="H5" s="14"/>
      <c r="I5" s="136"/>
      <c r="J5" s="136"/>
    </row>
    <row r="6" spans="2:11" x14ac:dyDescent="0.25">
      <c r="B6" s="143">
        <v>2</v>
      </c>
      <c r="C6" s="144" t="s">
        <v>0</v>
      </c>
      <c r="D6" s="139"/>
      <c r="E6" s="14"/>
      <c r="F6" s="138"/>
      <c r="G6" s="138"/>
      <c r="H6" s="14"/>
      <c r="I6" s="139"/>
      <c r="J6" s="139"/>
    </row>
    <row r="7" spans="2:11" x14ac:dyDescent="0.25">
      <c r="B7" s="143">
        <v>3</v>
      </c>
      <c r="C7" s="145" t="s">
        <v>3</v>
      </c>
      <c r="D7" s="146" t="s">
        <v>114</v>
      </c>
      <c r="E7" s="14"/>
      <c r="F7" s="138"/>
      <c r="G7" s="138"/>
      <c r="H7" s="14"/>
      <c r="I7" s="139"/>
      <c r="J7" s="139"/>
    </row>
    <row r="8" spans="2:11" x14ac:dyDescent="0.25">
      <c r="B8" s="143">
        <v>4</v>
      </c>
      <c r="C8" s="144" t="s">
        <v>3</v>
      </c>
      <c r="D8" s="139" t="s">
        <v>148</v>
      </c>
      <c r="E8" s="14"/>
      <c r="F8" s="138">
        <v>15000000</v>
      </c>
      <c r="G8" s="138"/>
      <c r="H8" s="154"/>
      <c r="I8" s="138">
        <v>-17625000</v>
      </c>
      <c r="J8" s="138"/>
    </row>
    <row r="9" spans="2:11" x14ac:dyDescent="0.25">
      <c r="B9" s="143">
        <v>4</v>
      </c>
      <c r="C9" s="144" t="s">
        <v>3</v>
      </c>
      <c r="D9" s="139" t="s">
        <v>76</v>
      </c>
      <c r="E9" s="14"/>
      <c r="F9" s="138">
        <v>15000000</v>
      </c>
      <c r="G9" s="138"/>
      <c r="H9" s="154"/>
      <c r="I9" s="138">
        <v>-17550000</v>
      </c>
      <c r="J9" s="138"/>
    </row>
    <row r="10" spans="2:11" x14ac:dyDescent="0.25">
      <c r="B10" s="143">
        <v>4</v>
      </c>
      <c r="C10" s="144" t="s">
        <v>3</v>
      </c>
      <c r="D10" s="139" t="s">
        <v>149</v>
      </c>
      <c r="E10" s="14"/>
      <c r="F10" s="138">
        <v>-30000000</v>
      </c>
      <c r="G10" s="138"/>
      <c r="H10" s="154"/>
      <c r="I10" s="138">
        <v>35349940.799999997</v>
      </c>
      <c r="J10" s="138"/>
      <c r="K10" s="19">
        <f>SUM(I8:I10)</f>
        <v>174940.79999999702</v>
      </c>
    </row>
    <row r="11" spans="2:11" x14ac:dyDescent="0.25">
      <c r="B11" s="143">
        <v>5</v>
      </c>
      <c r="C11" s="144" t="s">
        <v>1</v>
      </c>
      <c r="D11" s="139"/>
      <c r="E11" s="14"/>
      <c r="F11" s="138"/>
      <c r="G11" s="138"/>
      <c r="H11" s="14"/>
      <c r="I11" s="139"/>
      <c r="J11" s="139"/>
    </row>
    <row r="12" spans="2:11" x14ac:dyDescent="0.25">
      <c r="B12" s="143">
        <v>6</v>
      </c>
      <c r="C12" s="144" t="s">
        <v>2</v>
      </c>
      <c r="D12" s="139"/>
      <c r="E12" s="14"/>
      <c r="F12" s="138"/>
      <c r="G12" s="138"/>
      <c r="H12" s="14"/>
      <c r="I12" s="139"/>
      <c r="J12" s="139"/>
    </row>
    <row r="13" spans="2:11" x14ac:dyDescent="0.25">
      <c r="B13" s="143">
        <v>7</v>
      </c>
      <c r="C13" s="143" t="s">
        <v>4</v>
      </c>
      <c r="D13" s="140"/>
      <c r="E13" s="14"/>
      <c r="F13" s="137"/>
      <c r="G13" s="137"/>
      <c r="H13" s="14"/>
      <c r="I13" s="140"/>
      <c r="J13" s="140"/>
    </row>
    <row r="14" spans="2:11" x14ac:dyDescent="0.25">
      <c r="B14" s="143">
        <v>8</v>
      </c>
      <c r="C14" s="140" t="s">
        <v>5</v>
      </c>
      <c r="D14" s="136"/>
      <c r="E14" s="14"/>
      <c r="F14" s="137"/>
      <c r="G14" s="137"/>
      <c r="H14" s="14"/>
      <c r="I14" s="136"/>
      <c r="J14" s="136"/>
    </row>
    <row r="15" spans="2:11" x14ac:dyDescent="0.25">
      <c r="B15" s="143">
        <v>9</v>
      </c>
      <c r="C15" s="144" t="s">
        <v>0</v>
      </c>
      <c r="D15" s="139"/>
      <c r="E15" s="14"/>
      <c r="F15" s="138"/>
      <c r="G15" s="138"/>
      <c r="H15" s="14"/>
      <c r="I15" s="139"/>
      <c r="J15" s="139"/>
    </row>
    <row r="16" spans="2:11" x14ac:dyDescent="0.25">
      <c r="B16" s="143">
        <v>10</v>
      </c>
      <c r="C16" s="147" t="s">
        <v>3</v>
      </c>
      <c r="D16" s="148" t="s">
        <v>11</v>
      </c>
      <c r="E16" s="14"/>
      <c r="F16" s="138"/>
      <c r="G16" s="138">
        <v>2095473.84</v>
      </c>
      <c r="H16" s="26">
        <f>G16+G17</f>
        <v>4752205.8499999996</v>
      </c>
      <c r="I16" s="139"/>
      <c r="J16" s="138">
        <v>900877.68</v>
      </c>
    </row>
    <row r="17" spans="2:10" x14ac:dyDescent="0.25">
      <c r="B17" s="143">
        <v>10</v>
      </c>
      <c r="C17" s="147" t="s">
        <v>3</v>
      </c>
      <c r="D17" s="148" t="s">
        <v>12</v>
      </c>
      <c r="E17" s="14"/>
      <c r="F17" s="138"/>
      <c r="G17" s="138">
        <v>2656732.0099999998</v>
      </c>
      <c r="H17" s="14"/>
      <c r="I17" s="139"/>
      <c r="J17" s="139"/>
    </row>
    <row r="18" spans="2:10" x14ac:dyDescent="0.25">
      <c r="B18" s="143">
        <v>11</v>
      </c>
      <c r="C18" s="149" t="s">
        <v>3</v>
      </c>
      <c r="D18" s="150" t="s">
        <v>139</v>
      </c>
      <c r="E18" s="14"/>
      <c r="F18" s="138"/>
      <c r="G18" s="138"/>
      <c r="H18" s="14"/>
      <c r="I18" s="139"/>
      <c r="J18" s="139"/>
    </row>
    <row r="19" spans="2:10" x14ac:dyDescent="0.25">
      <c r="B19" s="143">
        <v>12</v>
      </c>
      <c r="C19" s="144" t="s">
        <v>1</v>
      </c>
      <c r="D19" s="139"/>
      <c r="E19" s="14"/>
      <c r="F19" s="138"/>
      <c r="G19" s="138"/>
      <c r="H19" s="14"/>
      <c r="I19" s="139"/>
      <c r="J19" s="139"/>
    </row>
    <row r="20" spans="2:10" x14ac:dyDescent="0.25">
      <c r="B20" s="143">
        <v>13</v>
      </c>
      <c r="C20" s="144" t="s">
        <v>2</v>
      </c>
      <c r="D20" s="139"/>
      <c r="E20" s="14"/>
      <c r="F20" s="138"/>
      <c r="G20" s="138"/>
      <c r="H20" s="14"/>
      <c r="I20" s="139"/>
      <c r="J20" s="139"/>
    </row>
    <row r="21" spans="2:10" x14ac:dyDescent="0.25">
      <c r="B21" s="143">
        <v>14</v>
      </c>
      <c r="C21" s="143" t="s">
        <v>4</v>
      </c>
      <c r="D21" s="140"/>
      <c r="E21" s="14"/>
      <c r="F21" s="137"/>
      <c r="G21" s="137"/>
      <c r="H21" s="14"/>
      <c r="I21" s="140"/>
      <c r="J21" s="140"/>
    </row>
    <row r="22" spans="2:10" x14ac:dyDescent="0.25">
      <c r="B22" s="143">
        <v>15</v>
      </c>
      <c r="C22" s="143" t="s">
        <v>5</v>
      </c>
      <c r="D22" s="140"/>
      <c r="E22" s="14"/>
      <c r="F22" s="137"/>
      <c r="G22" s="137"/>
      <c r="H22" s="14"/>
      <c r="I22" s="140"/>
      <c r="J22" s="140"/>
    </row>
    <row r="23" spans="2:10" x14ac:dyDescent="0.25">
      <c r="B23" s="143">
        <v>16</v>
      </c>
      <c r="C23" s="151" t="s">
        <v>0</v>
      </c>
      <c r="D23" s="152" t="s">
        <v>140</v>
      </c>
      <c r="E23" s="14"/>
      <c r="F23" s="138"/>
      <c r="G23" s="138">
        <v>697510.66</v>
      </c>
      <c r="H23" s="14"/>
      <c r="I23" s="139"/>
      <c r="J23" s="139"/>
    </row>
    <row r="24" spans="2:10" x14ac:dyDescent="0.25">
      <c r="B24" s="143">
        <v>17</v>
      </c>
      <c r="C24" s="144" t="s">
        <v>3</v>
      </c>
      <c r="D24" s="139"/>
      <c r="E24" s="14"/>
      <c r="F24" s="138"/>
      <c r="G24" s="138"/>
      <c r="H24" s="14"/>
      <c r="I24" s="139"/>
      <c r="J24" s="139"/>
    </row>
    <row r="25" spans="2:10" x14ac:dyDescent="0.25">
      <c r="B25" s="143">
        <v>18</v>
      </c>
      <c r="C25" s="144" t="s">
        <v>3</v>
      </c>
      <c r="D25" s="139"/>
      <c r="E25" s="14"/>
      <c r="F25" s="138"/>
      <c r="G25" s="138"/>
      <c r="H25" s="14"/>
      <c r="I25" s="139"/>
      <c r="J25" s="139"/>
    </row>
    <row r="26" spans="2:10" x14ac:dyDescent="0.25">
      <c r="B26" s="143">
        <v>19</v>
      </c>
      <c r="C26" s="144" t="s">
        <v>1</v>
      </c>
      <c r="D26" s="139"/>
      <c r="E26" s="14"/>
      <c r="F26" s="138"/>
      <c r="G26" s="138"/>
      <c r="H26" s="14"/>
      <c r="I26" s="139"/>
      <c r="J26" s="139"/>
    </row>
    <row r="27" spans="2:10" x14ac:dyDescent="0.25">
      <c r="B27" s="143">
        <v>20</v>
      </c>
      <c r="C27" s="144" t="s">
        <v>2</v>
      </c>
      <c r="D27" s="139"/>
      <c r="E27" s="14"/>
      <c r="F27" s="138"/>
      <c r="G27" s="138"/>
      <c r="H27" s="14"/>
      <c r="I27" s="139"/>
      <c r="J27" s="139"/>
    </row>
    <row r="28" spans="2:10" x14ac:dyDescent="0.25">
      <c r="B28" s="143">
        <v>21</v>
      </c>
      <c r="C28" s="143" t="s">
        <v>4</v>
      </c>
      <c r="D28" s="140"/>
      <c r="E28" s="14"/>
      <c r="F28" s="137"/>
      <c r="G28" s="137"/>
      <c r="H28" s="14"/>
      <c r="I28" s="140"/>
      <c r="J28" s="140"/>
    </row>
    <row r="29" spans="2:10" x14ac:dyDescent="0.25">
      <c r="B29" s="143">
        <v>22</v>
      </c>
      <c r="C29" s="140" t="s">
        <v>5</v>
      </c>
      <c r="D29" s="136"/>
      <c r="E29" s="14"/>
      <c r="F29" s="137"/>
      <c r="G29" s="137"/>
      <c r="H29" s="14"/>
      <c r="I29" s="136"/>
      <c r="J29" s="136"/>
    </row>
    <row r="30" spans="2:10" x14ac:dyDescent="0.25">
      <c r="B30" s="143">
        <v>23</v>
      </c>
      <c r="C30" s="144" t="s">
        <v>0</v>
      </c>
      <c r="D30" s="139" t="s">
        <v>35</v>
      </c>
      <c r="E30" s="14"/>
      <c r="F30" s="138"/>
      <c r="G30" s="138">
        <v>337595.81</v>
      </c>
      <c r="H30" s="14"/>
      <c r="I30" s="139"/>
      <c r="J30" s="139"/>
    </row>
    <row r="31" spans="2:10" x14ac:dyDescent="0.25">
      <c r="B31" s="143">
        <v>24</v>
      </c>
      <c r="C31" s="144" t="s">
        <v>3</v>
      </c>
      <c r="D31" s="139"/>
      <c r="E31" s="14"/>
      <c r="F31" s="138"/>
      <c r="G31" s="138"/>
      <c r="H31" s="14"/>
      <c r="I31" s="139"/>
      <c r="J31" s="139"/>
    </row>
    <row r="32" spans="2:10" x14ac:dyDescent="0.25">
      <c r="B32" s="143">
        <v>25</v>
      </c>
      <c r="C32" s="144" t="s">
        <v>3</v>
      </c>
      <c r="D32" s="139" t="s">
        <v>23</v>
      </c>
      <c r="E32" s="14"/>
      <c r="F32" s="138"/>
      <c r="G32" s="138">
        <v>255333.12</v>
      </c>
      <c r="H32" s="14"/>
      <c r="I32" s="139"/>
      <c r="J32" s="139"/>
    </row>
    <row r="33" spans="2:10" x14ac:dyDescent="0.25">
      <c r="B33" s="143">
        <v>25</v>
      </c>
      <c r="C33" s="147" t="s">
        <v>3</v>
      </c>
      <c r="D33" s="148" t="s">
        <v>11</v>
      </c>
      <c r="E33" s="14"/>
      <c r="F33" s="138"/>
      <c r="G33" s="138">
        <v>255333.12</v>
      </c>
      <c r="H33" s="14"/>
      <c r="I33" s="139"/>
      <c r="J33" s="139"/>
    </row>
    <row r="34" spans="2:10" x14ac:dyDescent="0.25">
      <c r="B34" s="143">
        <v>25</v>
      </c>
      <c r="C34" s="144" t="s">
        <v>3</v>
      </c>
      <c r="D34" s="139"/>
      <c r="E34" s="14"/>
      <c r="F34" s="138"/>
      <c r="G34" s="138"/>
      <c r="H34" s="14"/>
      <c r="I34" s="139"/>
      <c r="J34" s="139"/>
    </row>
    <row r="35" spans="2:10" x14ac:dyDescent="0.25">
      <c r="B35" s="143">
        <v>26</v>
      </c>
      <c r="C35" s="144" t="s">
        <v>1</v>
      </c>
      <c r="D35" s="139"/>
      <c r="E35" s="14"/>
      <c r="F35" s="138"/>
      <c r="G35" s="138"/>
      <c r="H35" s="14"/>
      <c r="I35" s="139"/>
      <c r="J35" s="139"/>
    </row>
    <row r="36" spans="2:10" x14ac:dyDescent="0.25">
      <c r="B36" s="143">
        <v>27</v>
      </c>
      <c r="C36" s="144" t="s">
        <v>2</v>
      </c>
      <c r="D36" s="139" t="s">
        <v>26</v>
      </c>
      <c r="E36" s="14"/>
      <c r="F36" s="138"/>
      <c r="G36" s="138">
        <v>310000</v>
      </c>
      <c r="H36" s="14"/>
      <c r="I36" s="139"/>
      <c r="J36" s="139"/>
    </row>
    <row r="37" spans="2:10" x14ac:dyDescent="0.25">
      <c r="B37" s="143">
        <v>28</v>
      </c>
      <c r="C37" s="143" t="s">
        <v>4</v>
      </c>
      <c r="D37" s="140"/>
      <c r="E37" s="14"/>
      <c r="F37" s="137"/>
      <c r="G37" s="137"/>
      <c r="H37" s="14"/>
      <c r="I37" s="140"/>
      <c r="J37" s="140"/>
    </row>
    <row r="38" spans="2:10" x14ac:dyDescent="0.25">
      <c r="B38" s="143">
        <v>29</v>
      </c>
      <c r="C38" s="140" t="s">
        <v>5</v>
      </c>
      <c r="D38" s="136"/>
      <c r="E38" s="14"/>
      <c r="F38" s="137"/>
      <c r="G38" s="137"/>
      <c r="H38" s="14"/>
      <c r="I38" s="136"/>
      <c r="J38" s="136"/>
    </row>
    <row r="39" spans="2:10" x14ac:dyDescent="0.25">
      <c r="B39" s="143">
        <v>30</v>
      </c>
      <c r="C39" s="144" t="s">
        <v>0</v>
      </c>
      <c r="D39" s="139"/>
      <c r="E39" s="14"/>
      <c r="F39" s="138"/>
      <c r="G39" s="138"/>
      <c r="H39" s="14"/>
      <c r="I39" s="139"/>
      <c r="J39" s="139"/>
    </row>
    <row r="40" spans="2:10" x14ac:dyDescent="0.25">
      <c r="B40" s="143">
        <v>31</v>
      </c>
      <c r="C40" s="144" t="s">
        <v>3</v>
      </c>
      <c r="D40" s="139"/>
      <c r="E40" s="14"/>
      <c r="F40" s="138"/>
      <c r="G40" s="138"/>
      <c r="H40" s="14"/>
      <c r="I40" s="139"/>
      <c r="J40" s="139"/>
    </row>
  </sheetData>
  <mergeCells count="1"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74902-37B8-4F9A-BADE-E912BF653D0A}">
  <sheetPr>
    <tabColor theme="7" tint="0.39997558519241921"/>
  </sheetPr>
  <dimension ref="A3:Q58"/>
  <sheetViews>
    <sheetView showGridLines="0" topLeftCell="A7" zoomScale="120" zoomScaleNormal="120" workbookViewId="0">
      <selection activeCell="G19" sqref="G19"/>
    </sheetView>
  </sheetViews>
  <sheetFormatPr baseColWidth="10" defaultRowHeight="15" x14ac:dyDescent="0.25"/>
  <cols>
    <col min="3" max="3" width="2.5703125" bestFit="1" customWidth="1"/>
    <col min="4" max="4" width="14.42578125" customWidth="1"/>
    <col min="5" max="5" width="17.85546875" customWidth="1"/>
    <col min="6" max="6" width="5.7109375" customWidth="1"/>
    <col min="7" max="7" width="13.28515625" customWidth="1"/>
    <col min="8" max="8" width="9.140625" customWidth="1"/>
    <col min="9" max="9" width="10.5703125" bestFit="1" customWidth="1"/>
    <col min="10" max="11" width="13" customWidth="1"/>
    <col min="12" max="12" width="12.85546875" bestFit="1" customWidth="1"/>
    <col min="13" max="13" width="12.42578125" bestFit="1" customWidth="1"/>
    <col min="14" max="14" width="13.28515625" bestFit="1" customWidth="1"/>
    <col min="15" max="15" width="27.28515625" bestFit="1" customWidth="1"/>
    <col min="16" max="16" width="12.5703125" bestFit="1" customWidth="1"/>
    <col min="17" max="18" width="14" bestFit="1" customWidth="1"/>
    <col min="20" max="20" width="14" bestFit="1" customWidth="1"/>
  </cols>
  <sheetData>
    <row r="3" spans="2:17" x14ac:dyDescent="0.25">
      <c r="G3" s="43" t="s">
        <v>36</v>
      </c>
      <c r="H3" s="43" t="s">
        <v>36</v>
      </c>
      <c r="L3" s="45" t="s">
        <v>36</v>
      </c>
      <c r="M3" s="45" t="s">
        <v>36</v>
      </c>
    </row>
    <row r="4" spans="2:17" x14ac:dyDescent="0.25">
      <c r="G4" s="44" t="s">
        <v>24</v>
      </c>
      <c r="H4" s="44" t="s">
        <v>24</v>
      </c>
      <c r="L4" s="46" t="s">
        <v>25</v>
      </c>
      <c r="M4" s="46" t="s">
        <v>25</v>
      </c>
      <c r="O4" s="14" t="s">
        <v>66</v>
      </c>
    </row>
    <row r="5" spans="2:17" x14ac:dyDescent="0.25">
      <c r="G5" s="44" t="s">
        <v>39</v>
      </c>
      <c r="H5" s="44" t="s">
        <v>38</v>
      </c>
      <c r="L5" s="46" t="s">
        <v>39</v>
      </c>
      <c r="M5" s="46" t="s">
        <v>38</v>
      </c>
      <c r="O5" s="51" t="s">
        <v>67</v>
      </c>
    </row>
    <row r="6" spans="2:17" x14ac:dyDescent="0.25">
      <c r="B6" s="156" t="s">
        <v>52</v>
      </c>
      <c r="C6" s="157"/>
      <c r="D6" s="158"/>
      <c r="E6" s="42"/>
      <c r="G6" s="37"/>
      <c r="H6" s="37"/>
      <c r="L6" s="47"/>
      <c r="M6" s="47"/>
      <c r="O6" t="s">
        <v>49</v>
      </c>
      <c r="P6" s="14" t="s">
        <v>37</v>
      </c>
    </row>
    <row r="7" spans="2:17" x14ac:dyDescent="0.25">
      <c r="B7" s="23">
        <v>1</v>
      </c>
      <c r="C7" s="6" t="s">
        <v>0</v>
      </c>
      <c r="D7" s="38"/>
      <c r="E7" s="38" t="s">
        <v>29</v>
      </c>
      <c r="G7" s="29" t="s">
        <v>10</v>
      </c>
      <c r="H7" s="31">
        <v>1289450.99</v>
      </c>
      <c r="L7" s="48" t="s">
        <v>10</v>
      </c>
      <c r="M7" s="67" t="s">
        <v>10</v>
      </c>
    </row>
    <row r="8" spans="2:17" x14ac:dyDescent="0.25">
      <c r="B8" s="23"/>
      <c r="C8" s="6" t="s">
        <v>0</v>
      </c>
      <c r="D8" s="41"/>
      <c r="E8" s="41" t="s">
        <v>56</v>
      </c>
      <c r="G8" s="29"/>
      <c r="H8" s="31">
        <v>2128992.8000000003</v>
      </c>
      <c r="I8" s="19">
        <f>H8+H7</f>
        <v>3418443.79</v>
      </c>
      <c r="L8" s="48"/>
      <c r="M8" s="67"/>
      <c r="P8" s="27" t="s">
        <v>65</v>
      </c>
    </row>
    <row r="9" spans="2:17" x14ac:dyDescent="0.25">
      <c r="B9" s="23">
        <v>2</v>
      </c>
      <c r="C9" s="6" t="s">
        <v>3</v>
      </c>
      <c r="D9" s="7" t="s">
        <v>10</v>
      </c>
      <c r="E9" s="7" t="s">
        <v>10</v>
      </c>
      <c r="G9" s="29" t="s">
        <v>10</v>
      </c>
      <c r="H9" s="31" t="s">
        <v>10</v>
      </c>
      <c r="L9" s="48" t="s">
        <v>10</v>
      </c>
      <c r="M9" s="67" t="s">
        <v>10</v>
      </c>
      <c r="O9" s="14" t="s">
        <v>64</v>
      </c>
      <c r="P9" s="27">
        <v>32635105.213767216</v>
      </c>
    </row>
    <row r="10" spans="2:17" x14ac:dyDescent="0.25">
      <c r="B10" s="23">
        <v>3</v>
      </c>
      <c r="C10" s="6" t="s">
        <v>3</v>
      </c>
      <c r="D10" s="7" t="s">
        <v>10</v>
      </c>
      <c r="E10" s="53" t="s">
        <v>69</v>
      </c>
      <c r="G10" s="29" t="s">
        <v>10</v>
      </c>
      <c r="H10" s="31">
        <v>83000.399999999994</v>
      </c>
      <c r="L10" s="48" t="s">
        <v>10</v>
      </c>
      <c r="M10" s="67">
        <v>-1400000</v>
      </c>
      <c r="N10" s="14" t="s">
        <v>74</v>
      </c>
      <c r="O10" s="14" t="s">
        <v>62</v>
      </c>
      <c r="P10" s="27">
        <f>H56+H55</f>
        <v>0</v>
      </c>
    </row>
    <row r="11" spans="2:17" x14ac:dyDescent="0.25">
      <c r="B11" s="23">
        <v>4</v>
      </c>
      <c r="C11" s="6" t="s">
        <v>1</v>
      </c>
      <c r="D11" s="7" t="s">
        <v>10</v>
      </c>
      <c r="E11" s="7" t="s">
        <v>10</v>
      </c>
      <c r="G11" s="29" t="s">
        <v>10</v>
      </c>
      <c r="H11" s="31" t="s">
        <v>10</v>
      </c>
      <c r="J11" s="19"/>
      <c r="K11" s="19"/>
      <c r="L11" s="48" t="s">
        <v>10</v>
      </c>
      <c r="M11" s="67" t="s">
        <v>10</v>
      </c>
      <c r="O11" s="14" t="s">
        <v>63</v>
      </c>
      <c r="P11" s="27">
        <v>33822957.278683111</v>
      </c>
    </row>
    <row r="12" spans="2:17" x14ac:dyDescent="0.25">
      <c r="B12" s="23">
        <v>5</v>
      </c>
      <c r="C12" s="4" t="s">
        <v>2</v>
      </c>
      <c r="D12" s="5" t="s">
        <v>53</v>
      </c>
      <c r="E12" s="7" t="s">
        <v>10</v>
      </c>
      <c r="G12" s="29" t="s">
        <v>10</v>
      </c>
      <c r="H12" s="31" t="s">
        <v>10</v>
      </c>
      <c r="J12" s="19"/>
      <c r="K12" s="19"/>
      <c r="L12" s="48" t="s">
        <v>10</v>
      </c>
      <c r="M12" s="67" t="s">
        <v>10</v>
      </c>
      <c r="P12" s="19"/>
    </row>
    <row r="13" spans="2:17" ht="15.75" x14ac:dyDescent="0.25">
      <c r="B13" s="23">
        <v>6</v>
      </c>
      <c r="C13" s="2" t="s">
        <v>4</v>
      </c>
      <c r="D13" s="3" t="s">
        <v>10</v>
      </c>
      <c r="E13" s="3" t="s">
        <v>10</v>
      </c>
      <c r="G13" s="30" t="s">
        <v>10</v>
      </c>
      <c r="H13" s="32" t="s">
        <v>10</v>
      </c>
      <c r="L13" s="49" t="s">
        <v>10</v>
      </c>
      <c r="M13" s="68" t="s">
        <v>10</v>
      </c>
      <c r="O13" s="57" t="s">
        <v>70</v>
      </c>
      <c r="P13" s="56">
        <v>46057</v>
      </c>
      <c r="Q13" s="58">
        <v>5000000</v>
      </c>
    </row>
    <row r="14" spans="2:17" ht="15.75" x14ac:dyDescent="0.25">
      <c r="B14" s="23">
        <v>7</v>
      </c>
      <c r="C14" s="2" t="s">
        <v>5</v>
      </c>
      <c r="D14" s="3" t="s">
        <v>10</v>
      </c>
      <c r="E14" s="3" t="s">
        <v>10</v>
      </c>
      <c r="G14" s="30" t="s">
        <v>10</v>
      </c>
      <c r="H14" s="32" t="s">
        <v>10</v>
      </c>
      <c r="L14" s="49" t="s">
        <v>10</v>
      </c>
      <c r="M14" s="68" t="s">
        <v>10</v>
      </c>
      <c r="O14" s="57" t="s">
        <v>71</v>
      </c>
      <c r="P14" s="56">
        <v>46146</v>
      </c>
      <c r="Q14" s="58">
        <v>5000000</v>
      </c>
    </row>
    <row r="15" spans="2:17" ht="15.75" x14ac:dyDescent="0.25">
      <c r="B15" s="23">
        <v>8</v>
      </c>
      <c r="C15" s="6" t="s">
        <v>0</v>
      </c>
      <c r="D15" s="7" t="s">
        <v>10</v>
      </c>
      <c r="E15" s="7" t="s">
        <v>31</v>
      </c>
      <c r="G15" s="29" t="s">
        <v>10</v>
      </c>
      <c r="H15" s="31">
        <v>-2690000</v>
      </c>
      <c r="L15" s="48" t="s">
        <v>10</v>
      </c>
      <c r="M15" s="67" t="s">
        <v>10</v>
      </c>
      <c r="O15" s="57" t="s">
        <v>72</v>
      </c>
      <c r="P15" s="56">
        <v>46238</v>
      </c>
      <c r="Q15" s="58">
        <v>10000000</v>
      </c>
    </row>
    <row r="16" spans="2:17" ht="15.75" x14ac:dyDescent="0.25">
      <c r="B16" s="23">
        <v>9</v>
      </c>
      <c r="C16" s="8" t="s">
        <v>3</v>
      </c>
      <c r="D16" s="9" t="s">
        <v>54</v>
      </c>
      <c r="G16" s="29" t="s">
        <v>10</v>
      </c>
      <c r="H16" s="31" t="s">
        <v>10</v>
      </c>
      <c r="L16" s="48" t="s">
        <v>10</v>
      </c>
      <c r="M16" s="67" t="s">
        <v>10</v>
      </c>
      <c r="O16" s="57" t="s">
        <v>73</v>
      </c>
      <c r="P16" s="56">
        <v>46330</v>
      </c>
      <c r="Q16" s="58">
        <v>6000000</v>
      </c>
    </row>
    <row r="17" spans="2:15" x14ac:dyDescent="0.25">
      <c r="B17" s="23">
        <v>10</v>
      </c>
      <c r="C17" s="8" t="s">
        <v>3</v>
      </c>
      <c r="D17" s="9"/>
      <c r="E17" s="7"/>
      <c r="G17" s="29"/>
      <c r="H17" s="31"/>
      <c r="L17" s="48"/>
      <c r="M17" s="67"/>
    </row>
    <row r="18" spans="2:15" x14ac:dyDescent="0.25">
      <c r="B18" s="23">
        <v>10</v>
      </c>
      <c r="C18" s="10" t="s">
        <v>3</v>
      </c>
      <c r="D18" s="11" t="s">
        <v>11</v>
      </c>
      <c r="E18" s="7" t="s">
        <v>10</v>
      </c>
      <c r="G18" s="29" t="s">
        <v>10</v>
      </c>
      <c r="H18" s="55">
        <v>2287754.63</v>
      </c>
      <c r="J18" s="19"/>
      <c r="K18" s="19"/>
      <c r="L18" s="48" t="s">
        <v>10</v>
      </c>
      <c r="M18" s="55">
        <v>928629.88</v>
      </c>
    </row>
    <row r="19" spans="2:15" ht="15.75" x14ac:dyDescent="0.25">
      <c r="B19" s="23">
        <v>11</v>
      </c>
      <c r="C19" s="6" t="s">
        <v>1</v>
      </c>
      <c r="D19" s="7" t="s">
        <v>10</v>
      </c>
      <c r="E19" s="7" t="s">
        <v>10</v>
      </c>
      <c r="G19" s="33">
        <f>I19+I20-6000000</f>
        <v>14107397.120602056</v>
      </c>
      <c r="H19" s="31" t="s">
        <v>10</v>
      </c>
      <c r="I19" s="21">
        <v>20071927.550000001</v>
      </c>
      <c r="L19" s="48" t="s">
        <v>10</v>
      </c>
      <c r="M19" s="67" t="s">
        <v>10</v>
      </c>
      <c r="O19" s="62" t="s">
        <v>77</v>
      </c>
    </row>
    <row r="20" spans="2:15" ht="15.75" x14ac:dyDescent="0.25">
      <c r="B20" s="23">
        <v>12</v>
      </c>
      <c r="C20" s="6" t="s">
        <v>2</v>
      </c>
      <c r="D20" s="7" t="s">
        <v>10</v>
      </c>
      <c r="E20" s="7" t="s">
        <v>10</v>
      </c>
      <c r="G20" s="29" t="s">
        <v>10</v>
      </c>
      <c r="H20" s="31" t="s">
        <v>10</v>
      </c>
      <c r="I20" s="21">
        <v>35469.570602054766</v>
      </c>
      <c r="L20" s="48" t="s">
        <v>10</v>
      </c>
      <c r="M20" s="67" t="s">
        <v>10</v>
      </c>
      <c r="O20" s="61" t="s">
        <v>78</v>
      </c>
    </row>
    <row r="21" spans="2:15" x14ac:dyDescent="0.25">
      <c r="B21" s="23">
        <v>13</v>
      </c>
      <c r="C21" s="2" t="s">
        <v>4</v>
      </c>
      <c r="D21" s="3" t="s">
        <v>10</v>
      </c>
      <c r="E21" s="3" t="s">
        <v>10</v>
      </c>
      <c r="G21" s="30" t="s">
        <v>10</v>
      </c>
      <c r="H21" s="32" t="s">
        <v>10</v>
      </c>
      <c r="L21" s="49" t="s">
        <v>10</v>
      </c>
      <c r="M21" s="68" t="s">
        <v>10</v>
      </c>
      <c r="O21" s="18" t="s">
        <v>79</v>
      </c>
    </row>
    <row r="22" spans="2:15" x14ac:dyDescent="0.25">
      <c r="B22" s="23">
        <v>14</v>
      </c>
      <c r="C22" s="2" t="s">
        <v>5</v>
      </c>
      <c r="D22" s="3" t="s">
        <v>10</v>
      </c>
      <c r="E22" s="3" t="s">
        <v>10</v>
      </c>
      <c r="G22" s="30" t="s">
        <v>10</v>
      </c>
      <c r="H22" s="32" t="s">
        <v>10</v>
      </c>
      <c r="L22" s="49" t="s">
        <v>10</v>
      </c>
      <c r="M22" s="68" t="s">
        <v>10</v>
      </c>
    </row>
    <row r="23" spans="2:15" x14ac:dyDescent="0.25">
      <c r="B23" s="23">
        <v>15</v>
      </c>
      <c r="C23" s="12" t="s">
        <v>0</v>
      </c>
      <c r="D23" s="13"/>
      <c r="E23" s="7" t="s">
        <v>58</v>
      </c>
      <c r="G23" s="29" t="s">
        <v>10</v>
      </c>
      <c r="H23" s="27">
        <v>3716014.4799999995</v>
      </c>
      <c r="L23" s="48" t="s">
        <v>10</v>
      </c>
      <c r="M23" s="67" t="s">
        <v>10</v>
      </c>
    </row>
    <row r="24" spans="2:15" x14ac:dyDescent="0.25">
      <c r="B24" s="23">
        <v>15</v>
      </c>
      <c r="C24" s="12" t="s">
        <v>0</v>
      </c>
      <c r="D24" s="13"/>
      <c r="E24" s="7" t="s">
        <v>57</v>
      </c>
      <c r="G24" s="29"/>
      <c r="H24" s="31">
        <v>319315.8</v>
      </c>
      <c r="I24" s="19">
        <f>H24+H23</f>
        <v>4035330.2799999993</v>
      </c>
      <c r="L24" s="48"/>
      <c r="M24" s="67"/>
    </row>
    <row r="25" spans="2:15" x14ac:dyDescent="0.25">
      <c r="B25" s="23">
        <v>16</v>
      </c>
      <c r="C25" s="6" t="s">
        <v>3</v>
      </c>
      <c r="D25" s="7"/>
      <c r="E25" s="7" t="s">
        <v>59</v>
      </c>
      <c r="G25" s="29" t="s">
        <v>10</v>
      </c>
      <c r="H25" s="31">
        <v>15255</v>
      </c>
      <c r="L25" s="48" t="s">
        <v>10</v>
      </c>
      <c r="M25" s="67" t="s">
        <v>10</v>
      </c>
    </row>
    <row r="26" spans="2:15" x14ac:dyDescent="0.25">
      <c r="B26" s="23">
        <v>17</v>
      </c>
      <c r="C26" s="6" t="s">
        <v>3</v>
      </c>
      <c r="D26" s="7"/>
      <c r="E26" s="7"/>
      <c r="G26" s="29"/>
      <c r="H26" s="31"/>
      <c r="L26" s="48"/>
      <c r="M26" s="67"/>
    </row>
    <row r="27" spans="2:15" x14ac:dyDescent="0.25">
      <c r="B27" s="23">
        <v>18</v>
      </c>
      <c r="C27" s="6" t="s">
        <v>3</v>
      </c>
      <c r="D27" s="54" t="s">
        <v>12</v>
      </c>
      <c r="E27" s="7"/>
      <c r="G27" s="29" t="s">
        <v>10</v>
      </c>
      <c r="H27" s="31">
        <v>6149997.3600000003</v>
      </c>
      <c r="L27" s="48" t="s">
        <v>10</v>
      </c>
      <c r="M27" s="67" t="s">
        <v>10</v>
      </c>
    </row>
    <row r="28" spans="2:15" x14ac:dyDescent="0.25">
      <c r="B28" s="23">
        <v>18</v>
      </c>
      <c r="C28" s="6" t="s">
        <v>1</v>
      </c>
      <c r="D28" s="11" t="s">
        <v>11</v>
      </c>
      <c r="E28" s="7" t="s">
        <v>10</v>
      </c>
      <c r="G28" s="29"/>
      <c r="H28" s="63">
        <v>2408448.84</v>
      </c>
      <c r="L28" s="48"/>
      <c r="M28" s="67">
        <v>1529357.33</v>
      </c>
    </row>
    <row r="29" spans="2:15" x14ac:dyDescent="0.25">
      <c r="B29" s="23">
        <v>18</v>
      </c>
      <c r="C29" s="6" t="s">
        <v>1</v>
      </c>
      <c r="D29" s="11" t="s">
        <v>11</v>
      </c>
      <c r="E29" s="7"/>
      <c r="G29" s="29"/>
      <c r="H29" s="52"/>
      <c r="L29" s="48"/>
      <c r="M29" s="67">
        <v>860113.35</v>
      </c>
    </row>
    <row r="30" spans="2:15" x14ac:dyDescent="0.25">
      <c r="B30" s="23">
        <v>18</v>
      </c>
      <c r="C30" s="6" t="s">
        <v>1</v>
      </c>
      <c r="D30" s="28" t="s">
        <v>68</v>
      </c>
      <c r="E30" s="7"/>
      <c r="G30" s="29"/>
      <c r="H30" s="59">
        <v>142711.32999999999</v>
      </c>
      <c r="I30" s="26">
        <f>SUM(H27:H30)</f>
        <v>8701157.5299999993</v>
      </c>
      <c r="L30" s="48"/>
      <c r="M30" s="67"/>
      <c r="N30" s="26">
        <f>SUM(M27:M30)</f>
        <v>2389470.6800000002</v>
      </c>
    </row>
    <row r="31" spans="2:15" x14ac:dyDescent="0.25">
      <c r="B31" s="23">
        <v>19</v>
      </c>
      <c r="C31" s="6" t="s">
        <v>2</v>
      </c>
      <c r="D31" s="7" t="s">
        <v>10</v>
      </c>
      <c r="E31" s="7" t="s">
        <v>10</v>
      </c>
      <c r="G31" s="29" t="s">
        <v>10</v>
      </c>
      <c r="H31" s="31" t="s">
        <v>10</v>
      </c>
      <c r="L31" s="65">
        <v>71172267.799999997</v>
      </c>
      <c r="M31" s="67" t="s">
        <v>10</v>
      </c>
      <c r="N31" s="14" t="s">
        <v>75</v>
      </c>
    </row>
    <row r="32" spans="2:15" x14ac:dyDescent="0.25">
      <c r="B32" s="23">
        <v>19</v>
      </c>
      <c r="C32" s="6" t="s">
        <v>2</v>
      </c>
      <c r="D32" s="7" t="s">
        <v>76</v>
      </c>
      <c r="E32" s="7"/>
      <c r="G32" s="64">
        <f>15*10^6</f>
        <v>15000000</v>
      </c>
      <c r="H32" s="31"/>
      <c r="L32" s="65">
        <f>-15*10^6*1.1756</f>
        <v>-17634000</v>
      </c>
      <c r="M32" s="67"/>
      <c r="N32" s="60">
        <f>L31+L32</f>
        <v>53538267.799999997</v>
      </c>
      <c r="O32">
        <f>-L32/G32</f>
        <v>1.1756</v>
      </c>
    </row>
    <row r="33" spans="1:15" x14ac:dyDescent="0.25">
      <c r="B33" s="23">
        <v>19</v>
      </c>
      <c r="C33" s="6" t="s">
        <v>2</v>
      </c>
      <c r="D33" s="7" t="s">
        <v>76</v>
      </c>
      <c r="E33" s="7"/>
      <c r="G33" s="64">
        <f>15*10^6</f>
        <v>15000000</v>
      </c>
      <c r="H33" s="31"/>
      <c r="L33" s="65">
        <f>-15*10^6*1.1756</f>
        <v>-17634000</v>
      </c>
      <c r="M33" s="67"/>
      <c r="O33">
        <f>-L33/G33</f>
        <v>1.1756</v>
      </c>
    </row>
    <row r="34" spans="1:15" x14ac:dyDescent="0.25">
      <c r="B34" s="23">
        <v>19</v>
      </c>
      <c r="C34" s="6" t="s">
        <v>2</v>
      </c>
      <c r="D34" s="7" t="s">
        <v>50</v>
      </c>
      <c r="E34" s="7"/>
      <c r="G34" s="64">
        <v>-30039885.600000001</v>
      </c>
      <c r="H34" s="31"/>
      <c r="I34" s="19">
        <f>SUM(G32:G34)</f>
        <v>-39885.60000000149</v>
      </c>
      <c r="K34" s="14" t="s">
        <v>81</v>
      </c>
      <c r="L34" s="65">
        <v>-35900000</v>
      </c>
      <c r="M34" s="67">
        <f>-SUM(L31:L34)</f>
        <v>-4267.7999999970198</v>
      </c>
    </row>
    <row r="35" spans="1:15" x14ac:dyDescent="0.25">
      <c r="B35" s="23">
        <v>20</v>
      </c>
      <c r="C35" s="2" t="s">
        <v>4</v>
      </c>
      <c r="D35" s="3" t="s">
        <v>10</v>
      </c>
      <c r="E35" s="3" t="s">
        <v>10</v>
      </c>
      <c r="G35" s="30" t="s">
        <v>10</v>
      </c>
      <c r="H35" s="32" t="s">
        <v>10</v>
      </c>
      <c r="L35" s="49" t="s">
        <v>10</v>
      </c>
      <c r="M35" s="68" t="s">
        <v>10</v>
      </c>
    </row>
    <row r="36" spans="1:15" x14ac:dyDescent="0.25">
      <c r="B36" s="23">
        <v>21</v>
      </c>
      <c r="C36" s="2" t="s">
        <v>5</v>
      </c>
      <c r="D36" s="3"/>
      <c r="E36" s="3"/>
      <c r="G36" s="70"/>
      <c r="H36" s="71"/>
      <c r="L36" s="49"/>
      <c r="M36" s="68"/>
    </row>
    <row r="37" spans="1:15" ht="15.75" x14ac:dyDescent="0.25">
      <c r="A37" s="14" t="s">
        <v>85</v>
      </c>
      <c r="B37" s="23">
        <v>22</v>
      </c>
      <c r="C37" s="2" t="s">
        <v>0</v>
      </c>
      <c r="D37" s="7" t="s">
        <v>113</v>
      </c>
      <c r="E37" s="7"/>
      <c r="G37" s="29"/>
      <c r="H37" s="31">
        <f>-249364.28-212000</f>
        <v>-461364.28</v>
      </c>
      <c r="I37" s="21"/>
      <c r="L37" s="48"/>
      <c r="M37" s="67"/>
      <c r="O37" s="61"/>
    </row>
    <row r="38" spans="1:15" x14ac:dyDescent="0.25">
      <c r="A38" s="14"/>
      <c r="B38" s="23">
        <v>22</v>
      </c>
      <c r="C38" s="2" t="s">
        <v>0</v>
      </c>
      <c r="D38" s="7" t="s">
        <v>76</v>
      </c>
      <c r="E38" s="7"/>
      <c r="G38" s="66">
        <v>10000000</v>
      </c>
      <c r="H38" s="48" t="s">
        <v>10</v>
      </c>
      <c r="L38" s="66">
        <f>-G38*1.1728</f>
        <v>-11728000</v>
      </c>
      <c r="M38" s="67" t="s">
        <v>10</v>
      </c>
      <c r="O38">
        <f>-L38/G38</f>
        <v>1.1728000000000001</v>
      </c>
    </row>
    <row r="39" spans="1:15" ht="25.5" x14ac:dyDescent="0.25">
      <c r="B39" s="23">
        <v>22</v>
      </c>
      <c r="C39" s="69" t="s">
        <v>0</v>
      </c>
      <c r="D39" s="25" t="s">
        <v>82</v>
      </c>
      <c r="E39" s="7"/>
      <c r="G39" s="67"/>
      <c r="H39" s="48" t="s">
        <v>10</v>
      </c>
      <c r="L39" s="72">
        <v>-11720000</v>
      </c>
      <c r="M39" s="67"/>
    </row>
    <row r="40" spans="1:15" x14ac:dyDescent="0.25">
      <c r="B40" s="23">
        <v>22</v>
      </c>
      <c r="C40" s="69" t="s">
        <v>0</v>
      </c>
      <c r="D40" s="25" t="s">
        <v>83</v>
      </c>
      <c r="E40" s="7"/>
      <c r="G40" s="66">
        <f>G38</f>
        <v>10000000</v>
      </c>
      <c r="H40" s="48" t="s">
        <v>10</v>
      </c>
      <c r="L40" s="48" t="s">
        <v>10</v>
      </c>
      <c r="M40" s="67"/>
    </row>
    <row r="41" spans="1:15" x14ac:dyDescent="0.25">
      <c r="B41" s="23">
        <v>22</v>
      </c>
      <c r="C41" s="16" t="s">
        <v>0</v>
      </c>
      <c r="D41" s="17"/>
      <c r="E41" s="74" t="s">
        <v>60</v>
      </c>
      <c r="G41" s="29" t="s">
        <v>10</v>
      </c>
      <c r="H41" s="31">
        <v>6000</v>
      </c>
      <c r="L41" s="48" t="s">
        <v>10</v>
      </c>
      <c r="M41" s="67" t="s">
        <v>10</v>
      </c>
    </row>
    <row r="42" spans="1:15" x14ac:dyDescent="0.25">
      <c r="B42" s="23">
        <v>22</v>
      </c>
      <c r="C42" s="16" t="s">
        <v>0</v>
      </c>
      <c r="D42" s="17"/>
      <c r="E42" s="74"/>
      <c r="G42" s="29"/>
      <c r="H42" s="31"/>
      <c r="L42" s="48" t="s">
        <v>10</v>
      </c>
      <c r="M42" s="67" t="s">
        <v>10</v>
      </c>
    </row>
    <row r="43" spans="1:15" x14ac:dyDescent="0.25">
      <c r="A43" s="14" t="s">
        <v>51</v>
      </c>
      <c r="B43" s="23">
        <v>23</v>
      </c>
      <c r="C43" s="15" t="s">
        <v>3</v>
      </c>
      <c r="D43" s="76" t="s">
        <v>84</v>
      </c>
      <c r="E43" s="74"/>
      <c r="G43" s="73">
        <v>14300000</v>
      </c>
      <c r="H43" s="31"/>
      <c r="L43" s="48"/>
      <c r="M43" s="67"/>
    </row>
    <row r="44" spans="1:15" x14ac:dyDescent="0.25">
      <c r="B44" s="23">
        <v>23</v>
      </c>
      <c r="C44" s="15" t="s">
        <v>3</v>
      </c>
      <c r="D44" s="76" t="s">
        <v>34</v>
      </c>
      <c r="E44" s="74"/>
      <c r="G44" s="77">
        <v>20000000</v>
      </c>
      <c r="H44" s="31"/>
      <c r="L44" s="66">
        <v>-23430000</v>
      </c>
      <c r="M44" s="67"/>
    </row>
    <row r="45" spans="1:15" x14ac:dyDescent="0.25">
      <c r="B45" s="23">
        <v>23</v>
      </c>
      <c r="C45" s="15" t="s">
        <v>3</v>
      </c>
      <c r="D45" s="76" t="s">
        <v>86</v>
      </c>
      <c r="E45" s="74"/>
      <c r="G45" s="29" t="s">
        <v>10</v>
      </c>
      <c r="H45" s="31"/>
      <c r="L45" s="72">
        <v>-23430000</v>
      </c>
      <c r="M45" s="67"/>
    </row>
    <row r="46" spans="1:15" x14ac:dyDescent="0.25">
      <c r="B46" s="23">
        <v>23</v>
      </c>
      <c r="C46" s="75" t="s">
        <v>3</v>
      </c>
      <c r="D46" s="41"/>
      <c r="E46" s="7" t="s">
        <v>33</v>
      </c>
      <c r="G46" s="29" t="s">
        <v>10</v>
      </c>
      <c r="H46" s="31">
        <v>66107.360000000001</v>
      </c>
      <c r="L46" s="48" t="s">
        <v>10</v>
      </c>
      <c r="M46" s="67" t="s">
        <v>10</v>
      </c>
      <c r="N46" s="14" t="s">
        <v>80</v>
      </c>
    </row>
    <row r="47" spans="1:15" x14ac:dyDescent="0.25">
      <c r="B47" s="23">
        <v>23</v>
      </c>
      <c r="C47" s="39"/>
      <c r="D47" s="7" t="s">
        <v>26</v>
      </c>
      <c r="E47" s="7" t="s">
        <v>26</v>
      </c>
      <c r="G47" s="29"/>
      <c r="H47" s="50">
        <v>281000</v>
      </c>
      <c r="L47" s="48"/>
      <c r="M47" s="67"/>
    </row>
    <row r="48" spans="1:15" ht="25.5" x14ac:dyDescent="0.25">
      <c r="B48" s="23">
        <v>23</v>
      </c>
      <c r="C48" s="39"/>
      <c r="D48" s="7" t="s">
        <v>42</v>
      </c>
      <c r="E48" s="7" t="s">
        <v>61</v>
      </c>
      <c r="G48" s="29"/>
      <c r="H48" s="31">
        <v>33822957.280000001</v>
      </c>
      <c r="I48" s="19">
        <f>SUM(H46:H49)</f>
        <v>34422064.640000001</v>
      </c>
      <c r="L48" s="48"/>
      <c r="M48" s="67"/>
    </row>
    <row r="49" spans="2:13" x14ac:dyDescent="0.25">
      <c r="B49" s="23">
        <v>23</v>
      </c>
      <c r="C49" s="39"/>
      <c r="D49" s="7" t="s">
        <v>112</v>
      </c>
      <c r="E49" s="7"/>
      <c r="G49" s="29"/>
      <c r="H49" s="31">
        <v>252000</v>
      </c>
      <c r="L49" s="48"/>
      <c r="M49" s="67"/>
    </row>
    <row r="50" spans="2:13" x14ac:dyDescent="0.25">
      <c r="B50" s="23">
        <v>24</v>
      </c>
      <c r="C50" s="39" t="s">
        <v>3</v>
      </c>
      <c r="D50" s="40"/>
      <c r="E50" s="7" t="s">
        <v>10</v>
      </c>
      <c r="G50" s="29" t="s">
        <v>10</v>
      </c>
      <c r="H50" s="31" t="s">
        <v>10</v>
      </c>
      <c r="L50" s="48" t="s">
        <v>10</v>
      </c>
      <c r="M50" s="67" t="s">
        <v>10</v>
      </c>
    </row>
    <row r="51" spans="2:13" x14ac:dyDescent="0.25">
      <c r="B51" s="23">
        <v>25</v>
      </c>
      <c r="C51" s="2" t="s">
        <v>1</v>
      </c>
      <c r="D51" s="3" t="s">
        <v>55</v>
      </c>
      <c r="E51" s="3" t="s">
        <v>55</v>
      </c>
      <c r="G51" s="30" t="s">
        <v>55</v>
      </c>
      <c r="H51" s="32"/>
      <c r="L51" s="49" t="s">
        <v>55</v>
      </c>
      <c r="M51" s="49" t="s">
        <v>55</v>
      </c>
    </row>
    <row r="52" spans="2:13" x14ac:dyDescent="0.25">
      <c r="B52" s="23">
        <v>26</v>
      </c>
      <c r="C52" s="39" t="s">
        <v>2</v>
      </c>
      <c r="D52" s="40"/>
      <c r="E52" s="7" t="s">
        <v>23</v>
      </c>
      <c r="G52" s="29" t="s">
        <v>10</v>
      </c>
      <c r="H52" s="34">
        <v>77164.67</v>
      </c>
      <c r="L52" s="48" t="s">
        <v>10</v>
      </c>
      <c r="M52" s="48" t="s">
        <v>10</v>
      </c>
    </row>
    <row r="53" spans="2:13" x14ac:dyDescent="0.25">
      <c r="B53" s="23">
        <v>27</v>
      </c>
      <c r="C53" s="2" t="s">
        <v>4</v>
      </c>
      <c r="D53" s="3" t="s">
        <v>10</v>
      </c>
      <c r="E53" s="3" t="s">
        <v>10</v>
      </c>
      <c r="G53" s="30" t="s">
        <v>10</v>
      </c>
      <c r="H53" s="32" t="s">
        <v>10</v>
      </c>
      <c r="L53" s="49" t="s">
        <v>10</v>
      </c>
      <c r="M53" s="49" t="s">
        <v>10</v>
      </c>
    </row>
    <row r="54" spans="2:13" x14ac:dyDescent="0.25">
      <c r="B54" s="23">
        <v>28</v>
      </c>
      <c r="C54" s="2" t="s">
        <v>5</v>
      </c>
      <c r="D54" s="3" t="s">
        <v>10</v>
      </c>
      <c r="E54" s="3" t="s">
        <v>10</v>
      </c>
      <c r="G54" s="30" t="s">
        <v>10</v>
      </c>
      <c r="H54" s="32" t="s">
        <v>10</v>
      </c>
      <c r="L54" s="49" t="s">
        <v>10</v>
      </c>
      <c r="M54" s="49" t="s">
        <v>10</v>
      </c>
    </row>
    <row r="55" spans="2:13" x14ac:dyDescent="0.25">
      <c r="B55" s="23">
        <v>29</v>
      </c>
      <c r="C55" s="39" t="s">
        <v>0</v>
      </c>
      <c r="D55" s="40"/>
      <c r="E55" s="7"/>
      <c r="G55" s="29"/>
      <c r="H55" s="31"/>
      <c r="L55" s="48" t="s">
        <v>10</v>
      </c>
      <c r="M55" s="48" t="s">
        <v>10</v>
      </c>
    </row>
    <row r="56" spans="2:13" x14ac:dyDescent="0.25">
      <c r="B56" s="23">
        <v>29</v>
      </c>
      <c r="C56" s="39" t="s">
        <v>0</v>
      </c>
      <c r="D56" s="40"/>
      <c r="E56" s="7"/>
      <c r="G56" s="29"/>
      <c r="H56" s="31"/>
      <c r="L56" s="48"/>
      <c r="M56" s="48"/>
    </row>
    <row r="57" spans="2:13" x14ac:dyDescent="0.25">
      <c r="B57" s="23">
        <v>30</v>
      </c>
      <c r="C57" s="39" t="s">
        <v>3</v>
      </c>
      <c r="D57" s="40"/>
      <c r="E57" s="7" t="s">
        <v>10</v>
      </c>
      <c r="G57" s="29" t="s">
        <v>10</v>
      </c>
      <c r="H57" s="31" t="s">
        <v>10</v>
      </c>
      <c r="L57" s="48" t="s">
        <v>10</v>
      </c>
      <c r="M57" s="48" t="s">
        <v>10</v>
      </c>
    </row>
    <row r="58" spans="2:13" x14ac:dyDescent="0.25">
      <c r="B58" s="1">
        <v>31</v>
      </c>
      <c r="C58" s="39" t="s">
        <v>3</v>
      </c>
      <c r="D58" s="40"/>
      <c r="E58" s="7" t="s">
        <v>10</v>
      </c>
      <c r="G58" s="29" t="s">
        <v>10</v>
      </c>
      <c r="H58" s="31" t="s">
        <v>10</v>
      </c>
      <c r="L58" s="48" t="s">
        <v>10</v>
      </c>
      <c r="M58" s="48" t="s">
        <v>10</v>
      </c>
    </row>
  </sheetData>
  <mergeCells count="1">
    <mergeCell ref="B6:D6"/>
  </mergeCells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7522-D610-4958-B292-9BE6FD29FEE9}">
  <sheetPr>
    <tabColor theme="7" tint="0.39997558519241921"/>
  </sheetPr>
  <dimension ref="A2:M15"/>
  <sheetViews>
    <sheetView showGridLines="0" zoomScale="120" zoomScaleNormal="120" workbookViewId="0">
      <selection activeCell="G19" sqref="G19"/>
    </sheetView>
  </sheetViews>
  <sheetFormatPr baseColWidth="10" defaultRowHeight="15" x14ac:dyDescent="0.25"/>
  <cols>
    <col min="3" max="3" width="2.5703125" bestFit="1" customWidth="1"/>
    <col min="4" max="4" width="22.85546875" bestFit="1" customWidth="1"/>
    <col min="5" max="5" width="17.85546875" customWidth="1"/>
    <col min="6" max="6" width="5.7109375" customWidth="1"/>
    <col min="7" max="7" width="18.28515625" bestFit="1" customWidth="1"/>
    <col min="8" max="8" width="9.85546875" bestFit="1" customWidth="1"/>
    <col min="9" max="9" width="10.5703125" bestFit="1" customWidth="1"/>
    <col min="10" max="10" width="12.85546875" bestFit="1" customWidth="1"/>
    <col min="11" max="11" width="12.42578125" bestFit="1" customWidth="1"/>
    <col min="12" max="12" width="13.28515625" bestFit="1" customWidth="1"/>
    <col min="13" max="13" width="27.28515625" bestFit="1" customWidth="1"/>
    <col min="14" max="14" width="12.5703125" bestFit="1" customWidth="1"/>
    <col min="15" max="16" width="14" bestFit="1" customWidth="1"/>
    <col min="18" max="18" width="14" bestFit="1" customWidth="1"/>
  </cols>
  <sheetData>
    <row r="2" spans="1:13" x14ac:dyDescent="0.25">
      <c r="D2" s="66" t="s">
        <v>109</v>
      </c>
    </row>
    <row r="3" spans="1:13" x14ac:dyDescent="0.25">
      <c r="D3" s="72" t="s">
        <v>110</v>
      </c>
      <c r="G3" s="44" t="s">
        <v>111</v>
      </c>
      <c r="H3" s="44" t="s">
        <v>111</v>
      </c>
      <c r="J3" s="44" t="s">
        <v>111</v>
      </c>
    </row>
    <row r="4" spans="1:13" x14ac:dyDescent="0.25">
      <c r="G4" s="44" t="s">
        <v>24</v>
      </c>
      <c r="H4" s="44" t="s">
        <v>24</v>
      </c>
      <c r="J4" s="46" t="s">
        <v>25</v>
      </c>
      <c r="M4" s="14"/>
    </row>
    <row r="5" spans="1:13" x14ac:dyDescent="0.25">
      <c r="G5" s="44" t="s">
        <v>105</v>
      </c>
      <c r="H5" s="44" t="s">
        <v>38</v>
      </c>
      <c r="J5" s="46" t="s">
        <v>39</v>
      </c>
      <c r="M5" s="51"/>
    </row>
    <row r="6" spans="1:13" x14ac:dyDescent="0.25">
      <c r="A6" s="14" t="s">
        <v>85</v>
      </c>
      <c r="B6" s="23">
        <v>22</v>
      </c>
      <c r="C6" s="2" t="s">
        <v>0</v>
      </c>
      <c r="D6" s="24" t="s">
        <v>106</v>
      </c>
      <c r="E6" s="24"/>
      <c r="G6" s="66">
        <v>10000000</v>
      </c>
      <c r="H6" s="48" t="s">
        <v>10</v>
      </c>
      <c r="J6" s="66">
        <f>-G6*1.1728</f>
        <v>-11728000</v>
      </c>
    </row>
    <row r="7" spans="1:13" x14ac:dyDescent="0.25">
      <c r="B7" s="23">
        <v>22</v>
      </c>
      <c r="C7" s="69" t="s">
        <v>0</v>
      </c>
      <c r="D7" s="24" t="s">
        <v>107</v>
      </c>
      <c r="E7" s="24"/>
      <c r="G7" s="67"/>
      <c r="H7" s="48" t="s">
        <v>10</v>
      </c>
      <c r="J7" s="66">
        <v>-11720000</v>
      </c>
    </row>
    <row r="8" spans="1:13" x14ac:dyDescent="0.25">
      <c r="B8" s="23">
        <v>22</v>
      </c>
      <c r="C8" s="69" t="s">
        <v>0</v>
      </c>
      <c r="D8" s="24" t="s">
        <v>108</v>
      </c>
      <c r="E8" s="24"/>
      <c r="G8" s="66">
        <f>G6</f>
        <v>10000000</v>
      </c>
      <c r="H8" s="48" t="s">
        <v>10</v>
      </c>
      <c r="J8" s="48" t="s">
        <v>10</v>
      </c>
    </row>
    <row r="10" spans="1:13" x14ac:dyDescent="0.25">
      <c r="A10" s="14" t="s">
        <v>51</v>
      </c>
      <c r="B10" s="23">
        <v>23</v>
      </c>
      <c r="C10" s="35" t="s">
        <v>3</v>
      </c>
      <c r="D10" s="95" t="s">
        <v>84</v>
      </c>
      <c r="E10" s="24"/>
      <c r="G10" s="73">
        <v>14200000</v>
      </c>
      <c r="H10" s="31"/>
      <c r="J10" s="48"/>
    </row>
    <row r="11" spans="1:13" x14ac:dyDescent="0.25">
      <c r="B11" s="23">
        <v>23</v>
      </c>
      <c r="C11" s="35" t="s">
        <v>3</v>
      </c>
      <c r="D11" s="95" t="s">
        <v>34</v>
      </c>
      <c r="E11" s="24"/>
      <c r="G11" s="77">
        <v>20000000</v>
      </c>
      <c r="H11" s="31"/>
      <c r="J11" s="66">
        <v>-23430000</v>
      </c>
    </row>
    <row r="12" spans="1:13" x14ac:dyDescent="0.25">
      <c r="B12" s="23">
        <v>23</v>
      </c>
      <c r="C12" s="35" t="s">
        <v>3</v>
      </c>
      <c r="D12" s="95" t="s">
        <v>86</v>
      </c>
      <c r="E12" s="24"/>
      <c r="G12" s="29" t="s">
        <v>10</v>
      </c>
      <c r="H12" s="31"/>
      <c r="J12" s="66">
        <v>-23430000</v>
      </c>
    </row>
    <row r="13" spans="1:13" x14ac:dyDescent="0.25">
      <c r="B13" s="23">
        <v>23</v>
      </c>
      <c r="C13" s="35" t="s">
        <v>3</v>
      </c>
      <c r="D13" s="24"/>
      <c r="E13" s="24" t="s">
        <v>33</v>
      </c>
      <c r="G13" s="29" t="s">
        <v>10</v>
      </c>
      <c r="H13" s="31">
        <v>66107.360000000001</v>
      </c>
      <c r="J13" s="48" t="s">
        <v>10</v>
      </c>
      <c r="L13" s="14" t="s">
        <v>80</v>
      </c>
    </row>
    <row r="14" spans="1:13" x14ac:dyDescent="0.25">
      <c r="B14" s="23">
        <v>23</v>
      </c>
      <c r="C14" s="35" t="s">
        <v>3</v>
      </c>
      <c r="D14" s="24" t="s">
        <v>26</v>
      </c>
      <c r="E14" s="24" t="s">
        <v>26</v>
      </c>
      <c r="G14" s="29"/>
      <c r="H14" s="50">
        <v>281000</v>
      </c>
      <c r="J14" s="48"/>
    </row>
    <row r="15" spans="1:13" ht="25.5" x14ac:dyDescent="0.25">
      <c r="B15" s="23">
        <v>23</v>
      </c>
      <c r="C15" s="35" t="s">
        <v>3</v>
      </c>
      <c r="D15" s="24" t="s">
        <v>42</v>
      </c>
      <c r="E15" s="24" t="s">
        <v>61</v>
      </c>
      <c r="G15" s="29"/>
      <c r="H15" s="31">
        <v>33822957.280000001</v>
      </c>
      <c r="I15" s="19">
        <f>SUM(H13:H15)</f>
        <v>34170064.640000001</v>
      </c>
      <c r="J15" s="4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3C5F-D44A-4CD7-87E6-F87067F5BB7A}">
  <sheetPr>
    <tabColor theme="7" tint="0.39997558519241921"/>
  </sheetPr>
  <dimension ref="B2:M25"/>
  <sheetViews>
    <sheetView workbookViewId="0">
      <selection activeCell="G19" sqref="G19"/>
    </sheetView>
  </sheetViews>
  <sheetFormatPr baseColWidth="10" defaultRowHeight="15" x14ac:dyDescent="0.25"/>
  <cols>
    <col min="3" max="3" width="15" bestFit="1" customWidth="1"/>
    <col min="4" max="4" width="12.42578125" bestFit="1" customWidth="1"/>
    <col min="5" max="5" width="11.5703125" bestFit="1" customWidth="1"/>
    <col min="6" max="6" width="12.42578125" bestFit="1" customWidth="1"/>
    <col min="11" max="11" width="20.140625" bestFit="1" customWidth="1"/>
    <col min="12" max="12" width="18.28515625" bestFit="1" customWidth="1"/>
    <col min="13" max="13" width="13.140625" bestFit="1" customWidth="1"/>
  </cols>
  <sheetData>
    <row r="2" spans="2:13" x14ac:dyDescent="0.25">
      <c r="B2" s="94" t="s">
        <v>103</v>
      </c>
      <c r="K2" s="14" t="s">
        <v>104</v>
      </c>
    </row>
    <row r="4" spans="2:13" x14ac:dyDescent="0.25">
      <c r="K4" s="83" t="s">
        <v>95</v>
      </c>
      <c r="L4" s="84" t="s">
        <v>87</v>
      </c>
      <c r="M4" s="83" t="s">
        <v>88</v>
      </c>
    </row>
    <row r="5" spans="2:13" x14ac:dyDescent="0.25">
      <c r="K5" s="85" t="s">
        <v>97</v>
      </c>
      <c r="L5" s="86">
        <v>9967593.8000000007</v>
      </c>
      <c r="M5" s="86">
        <v>4983796.9000000004</v>
      </c>
    </row>
    <row r="6" spans="2:13" x14ac:dyDescent="0.25">
      <c r="K6" s="85" t="s">
        <v>98</v>
      </c>
      <c r="L6" s="86">
        <v>-360173.7</v>
      </c>
      <c r="M6" s="86">
        <v>-180086.85</v>
      </c>
    </row>
    <row r="7" spans="2:13" x14ac:dyDescent="0.25">
      <c r="K7" s="85" t="s">
        <v>99</v>
      </c>
      <c r="L7" s="86">
        <v>666898.99</v>
      </c>
      <c r="M7" s="86">
        <v>333449.5</v>
      </c>
    </row>
    <row r="8" spans="2:13" x14ac:dyDescent="0.25">
      <c r="K8" s="85" t="s">
        <v>100</v>
      </c>
      <c r="L8" s="86">
        <v>1000000</v>
      </c>
      <c r="M8" s="86">
        <v>500000</v>
      </c>
    </row>
    <row r="9" spans="2:13" x14ac:dyDescent="0.25">
      <c r="K9" s="87" t="s">
        <v>28</v>
      </c>
      <c r="L9" s="88">
        <f>SUM(L5:L8)</f>
        <v>11274319.090000002</v>
      </c>
      <c r="M9" s="88">
        <f>SUM(M5:M8)</f>
        <v>5637159.5500000007</v>
      </c>
    </row>
    <row r="10" spans="2:13" x14ac:dyDescent="0.25">
      <c r="K10" s="89"/>
      <c r="L10" s="89"/>
      <c r="M10" s="89"/>
    </row>
    <row r="11" spans="2:13" x14ac:dyDescent="0.25">
      <c r="K11" s="89"/>
      <c r="L11" s="89"/>
      <c r="M11" s="89"/>
    </row>
    <row r="12" spans="2:13" x14ac:dyDescent="0.25">
      <c r="K12" s="89"/>
      <c r="L12" s="159" t="s">
        <v>101</v>
      </c>
      <c r="M12" s="159"/>
    </row>
    <row r="13" spans="2:13" x14ac:dyDescent="0.25">
      <c r="K13" s="83" t="s">
        <v>89</v>
      </c>
      <c r="L13" s="84" t="s">
        <v>87</v>
      </c>
      <c r="M13" s="83" t="s">
        <v>96</v>
      </c>
    </row>
    <row r="14" spans="2:13" x14ac:dyDescent="0.25">
      <c r="K14" s="85" t="s">
        <v>97</v>
      </c>
      <c r="L14" s="86">
        <v>9967593.8000000007</v>
      </c>
      <c r="M14" s="86">
        <v>4983796.9000000004</v>
      </c>
    </row>
    <row r="15" spans="2:13" x14ac:dyDescent="0.25">
      <c r="K15" s="85" t="s">
        <v>98</v>
      </c>
      <c r="L15" s="86">
        <v>-360173.7</v>
      </c>
      <c r="M15" s="86">
        <v>-180086.85</v>
      </c>
    </row>
    <row r="16" spans="2:13" x14ac:dyDescent="0.25">
      <c r="K16" s="85" t="s">
        <v>99</v>
      </c>
      <c r="L16" s="86">
        <v>666898.99</v>
      </c>
      <c r="M16" s="86">
        <v>333449.5</v>
      </c>
    </row>
    <row r="17" spans="3:13" x14ac:dyDescent="0.25">
      <c r="K17" s="85" t="s">
        <v>100</v>
      </c>
      <c r="L17" s="86">
        <v>1000000</v>
      </c>
      <c r="M17" s="86">
        <v>500000</v>
      </c>
    </row>
    <row r="18" spans="3:13" x14ac:dyDescent="0.25">
      <c r="K18" s="87" t="s">
        <v>28</v>
      </c>
      <c r="L18" s="88">
        <f>SUM(L14:L17)</f>
        <v>11274319.090000002</v>
      </c>
      <c r="M18" s="88">
        <f>SUM(M14:M17)</f>
        <v>5637159.5500000007</v>
      </c>
    </row>
    <row r="19" spans="3:13" x14ac:dyDescent="0.25">
      <c r="K19" s="89"/>
      <c r="L19" s="90"/>
      <c r="M19" s="90"/>
    </row>
    <row r="20" spans="3:13" ht="15.75" thickBot="1" x14ac:dyDescent="0.3">
      <c r="K20" s="91" t="s">
        <v>102</v>
      </c>
      <c r="L20" s="92">
        <f>SUM(L18,L9)</f>
        <v>22548638.180000003</v>
      </c>
      <c r="M20" s="92">
        <f>SUM(M18,M9)</f>
        <v>11274319.100000001</v>
      </c>
    </row>
    <row r="21" spans="3:13" x14ac:dyDescent="0.25">
      <c r="D21" s="81" t="s">
        <v>24</v>
      </c>
      <c r="E21" s="81" t="s">
        <v>94</v>
      </c>
      <c r="L21" s="93">
        <f>L20+M20</f>
        <v>33822957.280000001</v>
      </c>
    </row>
    <row r="22" spans="3:13" x14ac:dyDescent="0.25">
      <c r="C22" s="78" t="s">
        <v>90</v>
      </c>
      <c r="D22" s="80">
        <v>11274319.09</v>
      </c>
      <c r="E22" s="82">
        <v>46014</v>
      </c>
    </row>
    <row r="23" spans="3:13" x14ac:dyDescent="0.25">
      <c r="C23" s="78" t="s">
        <v>93</v>
      </c>
      <c r="D23" s="79">
        <v>11274319.09</v>
      </c>
      <c r="E23" s="82">
        <v>46014</v>
      </c>
    </row>
    <row r="24" spans="3:13" x14ac:dyDescent="0.25">
      <c r="C24" s="78" t="s">
        <v>91</v>
      </c>
      <c r="D24" s="80">
        <v>5637159.5499999998</v>
      </c>
      <c r="E24" s="82">
        <v>46014</v>
      </c>
    </row>
    <row r="25" spans="3:13" x14ac:dyDescent="0.25">
      <c r="C25" s="78" t="s">
        <v>92</v>
      </c>
      <c r="D25" s="79">
        <v>5637159.5499999998</v>
      </c>
      <c r="E25" s="82">
        <v>46014</v>
      </c>
    </row>
  </sheetData>
  <mergeCells count="1">
    <mergeCell ref="L12:M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1BCE-1B98-4FA8-9CC8-23203E2616EC}">
  <sheetPr>
    <tabColor rgb="FF0070C0"/>
  </sheetPr>
  <dimension ref="C2:M35"/>
  <sheetViews>
    <sheetView workbookViewId="0">
      <selection activeCell="H12" sqref="H12"/>
    </sheetView>
  </sheetViews>
  <sheetFormatPr baseColWidth="10" defaultRowHeight="15" x14ac:dyDescent="0.25"/>
  <cols>
    <col min="4" max="4" width="57" bestFit="1" customWidth="1"/>
  </cols>
  <sheetData>
    <row r="2" spans="3:13" x14ac:dyDescent="0.25">
      <c r="D2" t="s">
        <v>8</v>
      </c>
    </row>
    <row r="4" spans="3:13" x14ac:dyDescent="0.25">
      <c r="C4" t="s">
        <v>6</v>
      </c>
    </row>
    <row r="5" spans="3:13" x14ac:dyDescent="0.25">
      <c r="K5" s="14" t="s">
        <v>48</v>
      </c>
    </row>
    <row r="6" spans="3:13" x14ac:dyDescent="0.25">
      <c r="C6">
        <v>1</v>
      </c>
      <c r="K6" s="14"/>
    </row>
    <row r="7" spans="3:13" x14ac:dyDescent="0.25">
      <c r="C7">
        <v>2</v>
      </c>
      <c r="D7" t="s">
        <v>20</v>
      </c>
      <c r="G7" s="14" t="s">
        <v>43</v>
      </c>
      <c r="K7" s="36" t="s">
        <v>44</v>
      </c>
      <c r="L7" s="36" t="s">
        <v>45</v>
      </c>
      <c r="M7" s="36"/>
    </row>
    <row r="8" spans="3:13" x14ac:dyDescent="0.25">
      <c r="C8">
        <v>3</v>
      </c>
      <c r="G8" s="14" t="s">
        <v>43</v>
      </c>
      <c r="K8" s="36" t="s">
        <v>46</v>
      </c>
      <c r="L8" s="36"/>
      <c r="M8" s="36"/>
    </row>
    <row r="9" spans="3:13" x14ac:dyDescent="0.25">
      <c r="C9">
        <v>4</v>
      </c>
      <c r="G9" s="14" t="s">
        <v>43</v>
      </c>
      <c r="K9" s="14" t="s">
        <v>47</v>
      </c>
    </row>
    <row r="10" spans="3:13" x14ac:dyDescent="0.25">
      <c r="C10" s="36">
        <v>5</v>
      </c>
      <c r="D10" s="36" t="s">
        <v>7</v>
      </c>
      <c r="E10" t="s">
        <v>9</v>
      </c>
    </row>
    <row r="11" spans="3:13" x14ac:dyDescent="0.25">
      <c r="C11">
        <v>6</v>
      </c>
    </row>
    <row r="12" spans="3:13" x14ac:dyDescent="0.25">
      <c r="C12">
        <v>7</v>
      </c>
    </row>
    <row r="13" spans="3:13" x14ac:dyDescent="0.25">
      <c r="C13">
        <v>8</v>
      </c>
    </row>
    <row r="14" spans="3:13" x14ac:dyDescent="0.25">
      <c r="C14">
        <v>9</v>
      </c>
    </row>
    <row r="15" spans="3:13" x14ac:dyDescent="0.25">
      <c r="C15">
        <v>10</v>
      </c>
      <c r="D15" s="14" t="s">
        <v>30</v>
      </c>
    </row>
    <row r="16" spans="3:13" x14ac:dyDescent="0.25">
      <c r="C16">
        <v>11</v>
      </c>
    </row>
    <row r="17" spans="3:5" x14ac:dyDescent="0.25">
      <c r="C17">
        <v>12</v>
      </c>
    </row>
    <row r="18" spans="3:5" x14ac:dyDescent="0.25">
      <c r="C18">
        <v>13</v>
      </c>
      <c r="D18" t="s">
        <v>32</v>
      </c>
    </row>
    <row r="19" spans="3:5" x14ac:dyDescent="0.25">
      <c r="C19">
        <v>14</v>
      </c>
    </row>
    <row r="20" spans="3:5" x14ac:dyDescent="0.25">
      <c r="C20" s="36">
        <v>15</v>
      </c>
      <c r="D20" s="22" t="s">
        <v>21</v>
      </c>
    </row>
    <row r="21" spans="3:5" x14ac:dyDescent="0.25">
      <c r="C21">
        <v>16</v>
      </c>
    </row>
    <row r="22" spans="3:5" x14ac:dyDescent="0.25">
      <c r="C22">
        <v>17</v>
      </c>
    </row>
    <row r="23" spans="3:5" x14ac:dyDescent="0.25">
      <c r="C23">
        <v>18</v>
      </c>
    </row>
    <row r="24" spans="3:5" x14ac:dyDescent="0.25">
      <c r="C24">
        <v>19</v>
      </c>
    </row>
    <row r="25" spans="3:5" x14ac:dyDescent="0.25">
      <c r="C25">
        <v>20</v>
      </c>
    </row>
    <row r="26" spans="3:5" x14ac:dyDescent="0.25">
      <c r="C26">
        <v>21</v>
      </c>
      <c r="D26" s="14" t="s">
        <v>18</v>
      </c>
      <c r="E26" t="s">
        <v>22</v>
      </c>
    </row>
    <row r="27" spans="3:5" x14ac:dyDescent="0.25">
      <c r="C27">
        <v>22</v>
      </c>
      <c r="D27" s="14"/>
    </row>
    <row r="28" spans="3:5" x14ac:dyDescent="0.25">
      <c r="C28">
        <v>23</v>
      </c>
    </row>
    <row r="29" spans="3:5" x14ac:dyDescent="0.25">
      <c r="C29">
        <v>24</v>
      </c>
      <c r="D29" s="14" t="s">
        <v>40</v>
      </c>
    </row>
    <row r="30" spans="3:5" x14ac:dyDescent="0.25">
      <c r="C30">
        <v>25</v>
      </c>
      <c r="D30" s="14" t="s">
        <v>41</v>
      </c>
    </row>
    <row r="31" spans="3:5" x14ac:dyDescent="0.25">
      <c r="C31">
        <v>26</v>
      </c>
      <c r="D31" s="14" t="s">
        <v>17</v>
      </c>
    </row>
    <row r="32" spans="3:5" x14ac:dyDescent="0.25">
      <c r="C32">
        <v>27</v>
      </c>
    </row>
    <row r="33" spans="3:4" x14ac:dyDescent="0.25">
      <c r="C33">
        <v>28</v>
      </c>
      <c r="D33" t="s">
        <v>32</v>
      </c>
    </row>
    <row r="34" spans="3:4" x14ac:dyDescent="0.25">
      <c r="C34">
        <v>29</v>
      </c>
    </row>
    <row r="35" spans="3:4" x14ac:dyDescent="0.25">
      <c r="C35">
        <v>30</v>
      </c>
      <c r="D35" s="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Janvier</vt:lpstr>
      <vt:lpstr>février</vt:lpstr>
      <vt:lpstr>mars</vt:lpstr>
      <vt:lpstr>dec</vt:lpstr>
      <vt:lpstr>dec (2)</vt:lpstr>
      <vt:lpstr>dette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Calendrier 2024</dc:title>
  <dc:creator>iCalendrier.fr</dc:creator>
  <cp:lastModifiedBy>Roxandra Sturdza</cp:lastModifiedBy>
  <dcterms:created xsi:type="dcterms:W3CDTF">2023-06-28T08:24:26Z</dcterms:created>
  <dcterms:modified xsi:type="dcterms:W3CDTF">2026-03-05T14:56:51Z</dcterms:modified>
</cp:coreProperties>
</file>