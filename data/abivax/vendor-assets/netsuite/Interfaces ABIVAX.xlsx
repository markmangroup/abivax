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dechall/Downloads/"/>
    </mc:Choice>
  </mc:AlternateContent>
  <xr:revisionPtr revIDLastSave="0" documentId="8_{7369EBA7-6427-7842-AE9B-6E40C9306C74}" xr6:coauthVersionLast="47" xr6:coauthVersionMax="47" xr10:uidLastSave="{00000000-0000-0000-0000-000000000000}"/>
  <bookViews>
    <workbookView xWindow="4700" yWindow="5320" windowWidth="24440" windowHeight="12940" xr2:uid="{C09C9255-DDCF-794E-88EF-3010CAB19B4A}"/>
  </bookViews>
  <sheets>
    <sheet name="Interfaces detail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 s="1"/>
  <c r="B24" i="1" s="1"/>
  <c r="B22" i="1"/>
  <c r="C19" i="1"/>
  <c r="B19" i="1" s="1"/>
  <c r="C18" i="1"/>
  <c r="B18" i="1"/>
  <c r="B17" i="1"/>
  <c r="B16" i="1"/>
  <c r="B15" i="1"/>
  <c r="B14" i="1"/>
  <c r="B13" i="1"/>
  <c r="B23" i="1" l="1"/>
  <c r="C20" i="1"/>
  <c r="B20" i="1" s="1"/>
</calcChain>
</file>

<file path=xl/sharedStrings.xml><?xml version="1.0" encoding="utf-8"?>
<sst xmlns="http://schemas.openxmlformats.org/spreadsheetml/2006/main" count="59" uniqueCount="45">
  <si>
    <t>Company name</t>
  </si>
  <si>
    <t>Oracle Corporation UK Limited</t>
  </si>
  <si>
    <t xml:space="preserve">Solution name </t>
  </si>
  <si>
    <t>NetSuite</t>
  </si>
  <si>
    <t>INTERFACES DETAILS</t>
  </si>
  <si>
    <t>Fields to be completed by applicant</t>
  </si>
  <si>
    <t>ID</t>
  </si>
  <si>
    <t>No.</t>
  </si>
  <si>
    <t>Application name (t obe interfaced with the future ERP system</t>
  </si>
  <si>
    <t>Business objects exchanged</t>
  </si>
  <si>
    <t>Estimation in number of days</t>
  </si>
  <si>
    <t>Integration model</t>
  </si>
  <si>
    <t>Licence</t>
  </si>
  <si>
    <t>Interfaces with existing solutions</t>
  </si>
  <si>
    <t>Trust Pair</t>
  </si>
  <si>
    <t>Supplier database verification (vendor master data, risk scoring, validation status)</t>
  </si>
  <si>
    <t>NS IP: API (Mid interface)</t>
  </si>
  <si>
    <t>Included in NS IP (Integration Platform)</t>
  </si>
  <si>
    <t>Agicap</t>
  </si>
  <si>
    <t>Treasury &amp; cash management (cash positions, bank transactions, forecasts)</t>
  </si>
  <si>
    <t>Native SuiteApp</t>
  </si>
  <si>
    <t>Free SuiteApp</t>
  </si>
  <si>
    <t>E-invoicing platform (TBD)</t>
  </si>
  <si>
    <t>E-invoicing management (customer &amp; supplier invoices, statuses, legal archiving references)</t>
  </si>
  <si>
    <t>Included in NS E-Invoicing</t>
  </si>
  <si>
    <t>ADP</t>
  </si>
  <si>
    <t>Payroll data, HR master data</t>
  </si>
  <si>
    <t xml:space="preserve">NS IP: CSV </t>
  </si>
  <si>
    <t>Lucca</t>
  </si>
  <si>
    <t>People management</t>
  </si>
  <si>
    <t>Workday Adaptive Planning</t>
  </si>
  <si>
    <t>Budget data, forecasts, analytical structures</t>
  </si>
  <si>
    <t>Workiva</t>
  </si>
  <si>
    <t>Financial reporting data (journals, adjustments, disclosure items)</t>
  </si>
  <si>
    <t>SuiteAnalytics Connect</t>
  </si>
  <si>
    <t>SuiteAnalytics Connect (3,200 € / year)</t>
  </si>
  <si>
    <t>SAP Concur</t>
  </si>
  <si>
    <t>Expense report</t>
  </si>
  <si>
    <t>Interfaces with possible future solutions</t>
  </si>
  <si>
    <t>3PL</t>
  </si>
  <si>
    <t>Inventory, shipment, and logistics data</t>
  </si>
  <si>
    <t>Order to cash partner</t>
  </si>
  <si>
    <t>Order-to-cash information, including orders, billing, and customer transactions</t>
  </si>
  <si>
    <t>Production partner</t>
  </si>
  <si>
    <t>Production data such as manufacturing orders, consumption, and outputs with the production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</si>
</sst>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_-* #,##0.00\ [$€-40C]_-;\-* #,##0.00\ [$€-40C]_-;_-* &quot;-&quot;??\ [$€-40C]_-;_-@_-"/>
    <numFmt numFmtId="166" formatCode="_-* #,##0.00\ &quot;F&quot;_-;\-* #,##0.00\ &quot;F&quot;_-;_-* &quot;-&quot;??\ &quot;F&quot;_-;_-@_-"/>
    <numFmt numFmtId="167" formatCode="#,##0\ &quot;€&quot;;\-#,##0\ &quot;€&quot;"/>
    <numFmt numFmtId="168" formatCode="_-* #,##0.00_-;\-* #,##0.00_-;_-* &quot;-&quot;??_-;_-@_-"/>
    <numFmt numFmtId="169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24ED4"/>
        <bgColor indexed="64"/>
      </patternFill>
    </fill>
    <fill>
      <patternFill patternType="solid">
        <fgColor rgb="FFF3E2F6"/>
        <bgColor indexed="64"/>
      </patternFill>
    </fill>
    <fill>
      <patternFill patternType="solid">
        <fgColor theme="0" tint="-4.9989318521683403E-2"/>
        <bgColor rgb="FF00000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7" fillId="0" borderId="0"/>
    <xf numFmtId="166" fontId="7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0" fillId="2" borderId="0" xfId="0" applyFill="1"/>
    <xf numFmtId="165" fontId="0" fillId="2" borderId="0" xfId="2" applyNumberFormat="1" applyFont="1" applyFill="1" applyBorder="1"/>
    <xf numFmtId="0" fontId="2" fillId="2" borderId="2" xfId="0" applyFont="1" applyFill="1" applyBorder="1"/>
    <xf numFmtId="0" fontId="3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2" fillId="2" borderId="4" xfId="0" applyFont="1" applyFill="1" applyBorder="1"/>
    <xf numFmtId="0" fontId="6" fillId="3" borderId="3" xfId="3" applyFont="1" applyFill="1" applyBorder="1" applyAlignment="1">
      <alignment horizontal="left" vertical="top" wrapText="1"/>
    </xf>
    <xf numFmtId="0" fontId="2" fillId="0" borderId="5" xfId="0" applyFont="1" applyBorder="1"/>
    <xf numFmtId="0" fontId="2" fillId="2" borderId="0" xfId="0" applyFont="1" applyFill="1" applyProtection="1">
      <protection locked="0"/>
    </xf>
    <xf numFmtId="0" fontId="3" fillId="5" borderId="6" xfId="3" applyFont="1" applyFill="1" applyBorder="1" applyAlignment="1" applyProtection="1">
      <alignment horizontal="center" vertical="center" wrapText="1"/>
      <protection locked="0"/>
    </xf>
    <xf numFmtId="0" fontId="3" fillId="5" borderId="0" xfId="3" applyFont="1" applyFill="1" applyAlignment="1" applyProtection="1">
      <alignment horizontal="center" vertical="center" wrapText="1"/>
      <protection locked="0"/>
    </xf>
    <xf numFmtId="0" fontId="3" fillId="2" borderId="0" xfId="3" applyFont="1" applyFill="1" applyAlignment="1" applyProtection="1">
      <alignment vertical="center" wrapText="1"/>
      <protection locked="0"/>
    </xf>
    <xf numFmtId="0" fontId="0" fillId="2" borderId="0" xfId="0" applyFill="1" applyProtection="1">
      <protection locked="0"/>
    </xf>
    <xf numFmtId="0" fontId="3" fillId="5" borderId="0" xfId="3" applyFont="1" applyFill="1" applyAlignment="1" applyProtection="1">
      <alignment horizontal="center" vertical="center" wrapText="1"/>
      <protection locked="0"/>
    </xf>
    <xf numFmtId="0" fontId="7" fillId="2" borderId="0" xfId="4" applyFill="1" applyProtection="1">
      <protection locked="0"/>
    </xf>
    <xf numFmtId="0" fontId="8" fillId="6" borderId="3" xfId="0" applyFont="1" applyFill="1" applyBorder="1" applyAlignment="1" applyProtection="1">
      <alignment horizontal="center" vertical="center" wrapText="1"/>
      <protection locked="0"/>
    </xf>
    <xf numFmtId="0" fontId="7" fillId="0" borderId="7" xfId="4" applyBorder="1" applyProtection="1">
      <protection locked="0"/>
    </xf>
    <xf numFmtId="0" fontId="7" fillId="0" borderId="8" xfId="4" applyBorder="1" applyProtection="1">
      <protection locked="0"/>
    </xf>
    <xf numFmtId="0" fontId="7" fillId="0" borderId="9" xfId="4" applyBorder="1" applyProtection="1">
      <protection locked="0"/>
    </xf>
    <xf numFmtId="0" fontId="7" fillId="0" borderId="0" xfId="4" applyProtection="1">
      <protection locked="0"/>
    </xf>
    <xf numFmtId="167" fontId="7" fillId="2" borderId="0" xfId="5" applyNumberFormat="1" applyFont="1" applyFill="1" applyBorder="1" applyAlignment="1" applyProtection="1">
      <alignment horizontal="right"/>
      <protection locked="0"/>
    </xf>
    <xf numFmtId="167" fontId="7" fillId="2" borderId="0" xfId="5" applyNumberFormat="1" applyFont="1" applyFill="1" applyBorder="1" applyProtection="1">
      <protection locked="0"/>
    </xf>
    <xf numFmtId="169" fontId="7" fillId="2" borderId="0" xfId="1" applyNumberFormat="1" applyFont="1" applyFill="1" applyBorder="1" applyProtection="1">
      <protection locked="0"/>
    </xf>
    <xf numFmtId="165" fontId="7" fillId="2" borderId="0" xfId="2" applyNumberFormat="1" applyFont="1" applyFill="1" applyBorder="1" applyProtection="1">
      <protection locked="0"/>
    </xf>
    <xf numFmtId="14" fontId="9" fillId="4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4" fontId="10" fillId="4" borderId="10" xfId="0" applyNumberFormat="1" applyFont="1" applyFill="1" applyBorder="1" applyAlignment="1">
      <alignment horizontal="center" vertical="center" wrapText="1"/>
    </xf>
    <xf numFmtId="14" fontId="9" fillId="4" borderId="11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4" fontId="10" fillId="4" borderId="11" xfId="0" applyNumberFormat="1" applyFont="1" applyFill="1" applyBorder="1" applyAlignment="1">
      <alignment horizontal="center" vertical="center" wrapText="1"/>
    </xf>
    <xf numFmtId="14" fontId="11" fillId="5" borderId="12" xfId="0" applyNumberFormat="1" applyFont="1" applyFill="1" applyBorder="1" applyAlignment="1">
      <alignment vertical="center" wrapText="1"/>
    </xf>
    <xf numFmtId="0" fontId="11" fillId="5" borderId="13" xfId="0" applyFont="1" applyFill="1" applyBorder="1" applyAlignment="1">
      <alignment horizontal="center" vertical="center" wrapText="1"/>
    </xf>
    <xf numFmtId="14" fontId="12" fillId="5" borderId="13" xfId="0" applyNumberFormat="1" applyFont="1" applyFill="1" applyBorder="1" applyAlignment="1">
      <alignment horizontal="center" vertical="center" wrapText="1"/>
    </xf>
    <xf numFmtId="1" fontId="11" fillId="5" borderId="13" xfId="0" applyNumberFormat="1" applyFont="1" applyFill="1" applyBorder="1" applyAlignment="1">
      <alignment horizontal="center" vertical="center" wrapText="1"/>
    </xf>
    <xf numFmtId="1" fontId="11" fillId="5" borderId="14" xfId="0" applyNumberFormat="1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1" fontId="14" fillId="4" borderId="12" xfId="0" applyNumberFormat="1" applyFont="1" applyFill="1" applyBorder="1" applyAlignment="1">
      <alignment horizontal="left" vertical="center" wrapText="1"/>
    </xf>
    <xf numFmtId="0" fontId="0" fillId="6" borderId="3" xfId="0" applyFill="1" applyBorder="1"/>
    <xf numFmtId="0" fontId="0" fillId="6" borderId="3" xfId="0" applyFill="1" applyBorder="1" applyAlignment="1">
      <alignment wrapText="1"/>
    </xf>
    <xf numFmtId="0" fontId="8" fillId="4" borderId="11" xfId="0" applyFont="1" applyFill="1" applyBorder="1" applyAlignment="1">
      <alignment horizontal="left" vertical="center" wrapText="1"/>
    </xf>
    <xf numFmtId="1" fontId="11" fillId="5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vertical="center" wrapText="1"/>
    </xf>
    <xf numFmtId="0" fontId="15" fillId="2" borderId="0" xfId="0" applyFont="1" applyFill="1"/>
    <xf numFmtId="0" fontId="15" fillId="2" borderId="1" xfId="0" applyFont="1" applyFill="1" applyBorder="1"/>
    <xf numFmtId="0" fontId="0" fillId="2" borderId="1" xfId="0" applyFill="1" applyBorder="1"/>
  </cellXfs>
  <cellStyles count="6">
    <cellStyle name="Milliers" xfId="1" builtinId="3"/>
    <cellStyle name="Monétaire" xfId="2" builtinId="4"/>
    <cellStyle name="Monétaire 2" xfId="5" xr:uid="{088600A4-159C-F743-823B-5262B5E34E9D}"/>
    <cellStyle name="Normal" xfId="0" builtinId="0"/>
    <cellStyle name="Normal 2" xfId="4" xr:uid="{991E810E-1904-104B-83C9-032D8CA2DD99}"/>
    <cellStyle name="Normal 6" xfId="3" xr:uid="{DA3B682C-FD21-EF4D-B2B6-375240318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38100</xdr:rowOff>
    </xdr:from>
    <xdr:to>
      <xdr:col>1</xdr:col>
      <xdr:colOff>1202055</xdr:colOff>
      <xdr:row>2</xdr:row>
      <xdr:rowOff>136778</xdr:rowOff>
    </xdr:to>
    <xdr:pic>
      <xdr:nvPicPr>
        <xdr:cNvPr id="2" name="Image 1" descr="A purple letter v on a black background&#10;&#10;AI-generated content may be incorrect.">
          <a:extLst>
            <a:ext uri="{FF2B5EF4-FFF2-40B4-BE49-F238E27FC236}">
              <a16:creationId xmlns:a16="http://schemas.microsoft.com/office/drawing/2014/main" id="{0CBFDE55-F648-DD4E-BA57-EAEB9E73C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8600"/>
          <a:ext cx="1868805" cy="289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A73F-1B58-C448-BBC9-1172A8200DDF}">
  <dimension ref="A1:V27"/>
  <sheetViews>
    <sheetView tabSelected="1" topLeftCell="A3" workbookViewId="0">
      <selection activeCell="B31" sqref="B31"/>
    </sheetView>
  </sheetViews>
  <sheetFormatPr baseColWidth="10" defaultColWidth="11.5" defaultRowHeight="15" x14ac:dyDescent="0.2"/>
  <cols>
    <col min="1" max="1" width="11.5" style="3"/>
    <col min="2" max="2" width="61.83203125" style="3" customWidth="1"/>
    <col min="3" max="3" width="11.5" style="3"/>
    <col min="4" max="4" width="30.1640625" style="3" customWidth="1"/>
    <col min="5" max="5" width="30.5" style="3" customWidth="1"/>
    <col min="6" max="6" width="15.33203125" style="49" customWidth="1"/>
    <col min="7" max="7" width="32.33203125" style="3" customWidth="1"/>
    <col min="8" max="8" width="34.5" style="3" customWidth="1"/>
    <col min="9" max="16384" width="11.5" style="3"/>
  </cols>
  <sheetData>
    <row r="1" spans="1:22" x14ac:dyDescent="0.2">
      <c r="A1" s="1"/>
      <c r="B1" s="1"/>
      <c r="C1" s="1"/>
      <c r="D1" s="1"/>
      <c r="E1" s="1"/>
      <c r="F1" s="2"/>
      <c r="G1" s="1"/>
      <c r="H1" s="1"/>
      <c r="I1" s="1"/>
      <c r="M1" s="4"/>
    </row>
    <row r="2" spans="1:22" x14ac:dyDescent="0.2">
      <c r="A2" s="1"/>
      <c r="B2" s="1"/>
      <c r="C2" s="1"/>
      <c r="D2" s="1"/>
      <c r="E2" s="1"/>
      <c r="F2" s="2"/>
      <c r="G2" s="1"/>
      <c r="H2" s="1"/>
      <c r="I2" s="1"/>
      <c r="M2" s="4"/>
    </row>
    <row r="3" spans="1:22" x14ac:dyDescent="0.2">
      <c r="A3" s="1"/>
      <c r="B3" s="5"/>
      <c r="C3" s="1"/>
      <c r="D3" s="6" t="s">
        <v>0</v>
      </c>
      <c r="E3" s="7" t="s">
        <v>1</v>
      </c>
      <c r="F3" s="7"/>
      <c r="G3" s="8"/>
      <c r="H3" s="1"/>
      <c r="I3" s="1"/>
      <c r="M3" s="4"/>
    </row>
    <row r="4" spans="1:22" x14ac:dyDescent="0.2">
      <c r="A4" s="1"/>
      <c r="B4" s="1"/>
      <c r="C4" s="9"/>
      <c r="D4" s="10" t="s">
        <v>2</v>
      </c>
      <c r="E4" s="7" t="s">
        <v>3</v>
      </c>
      <c r="F4" s="7"/>
      <c r="G4" s="8"/>
      <c r="H4" s="1"/>
      <c r="I4" s="1"/>
      <c r="M4" s="4"/>
    </row>
    <row r="5" spans="1:22" x14ac:dyDescent="0.2">
      <c r="A5" s="1"/>
      <c r="B5" s="1"/>
      <c r="C5" s="1"/>
      <c r="D5" s="11"/>
      <c r="E5" s="1"/>
      <c r="F5" s="2"/>
      <c r="G5" s="1"/>
      <c r="H5" s="1"/>
      <c r="I5" s="1"/>
      <c r="M5" s="4"/>
    </row>
    <row r="6" spans="1:22" s="16" customFormat="1" ht="14.5" customHeight="1" x14ac:dyDescent="0.2">
      <c r="A6" s="12"/>
      <c r="B6" s="13" t="s">
        <v>4</v>
      </c>
      <c r="C6" s="13"/>
      <c r="D6" s="13"/>
      <c r="E6" s="13"/>
      <c r="F6" s="13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s="16" customFormat="1" ht="14.5" customHeight="1" x14ac:dyDescent="0.2">
      <c r="A7" s="12"/>
      <c r="B7" s="17"/>
      <c r="C7" s="17"/>
      <c r="D7" s="17"/>
      <c r="E7" s="17"/>
      <c r="F7" s="17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s="16" customFormat="1" ht="14.5" customHeight="1" x14ac:dyDescent="0.2">
      <c r="A8" s="12"/>
      <c r="B8" s="17"/>
      <c r="C8" s="17"/>
      <c r="D8" s="17"/>
      <c r="E8" s="17"/>
      <c r="F8" s="17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s="18" customFormat="1" ht="24" customHeight="1" x14ac:dyDescent="0.15">
      <c r="B9" s="19" t="s">
        <v>5</v>
      </c>
      <c r="C9" s="19"/>
      <c r="D9" s="20"/>
      <c r="E9" s="21"/>
      <c r="F9" s="22"/>
      <c r="G9" s="23"/>
      <c r="H9" s="24"/>
      <c r="I9" s="25"/>
      <c r="L9" s="26"/>
      <c r="M9" s="27"/>
    </row>
    <row r="10" spans="1:22" x14ac:dyDescent="0.2">
      <c r="B10" s="28" t="s">
        <v>6</v>
      </c>
      <c r="C10" s="29" t="s">
        <v>7</v>
      </c>
      <c r="D10" s="30" t="s">
        <v>8</v>
      </c>
      <c r="E10" s="28" t="s">
        <v>9</v>
      </c>
      <c r="F10" s="28" t="s">
        <v>10</v>
      </c>
      <c r="G10" s="28" t="s">
        <v>11</v>
      </c>
      <c r="H10" s="28" t="s">
        <v>12</v>
      </c>
    </row>
    <row r="11" spans="1:22" x14ac:dyDescent="0.2">
      <c r="B11" s="31"/>
      <c r="C11" s="32"/>
      <c r="D11" s="33"/>
      <c r="E11" s="31"/>
      <c r="F11" s="31"/>
      <c r="G11" s="31"/>
      <c r="H11" s="31"/>
    </row>
    <row r="12" spans="1:22" x14ac:dyDescent="0.2">
      <c r="B12" s="34"/>
      <c r="C12" s="35"/>
      <c r="D12" s="36" t="s">
        <v>13</v>
      </c>
      <c r="E12" s="37"/>
      <c r="F12" s="38"/>
      <c r="G12" s="38"/>
      <c r="H12" s="38"/>
    </row>
    <row r="13" spans="1:22" ht="39" x14ac:dyDescent="0.2">
      <c r="B13" s="39" t="str">
        <f t="shared" ref="B13:B20" si="0">IF(LEN(C13)=1,$B$11&amp;"00"&amp;C13,IF(LEN(C13)=2,$B$11&amp;"0"&amp;C13,$B$11&amp;C13))</f>
        <v>001</v>
      </c>
      <c r="C13" s="39">
        <v>1</v>
      </c>
      <c r="D13" s="40" t="s">
        <v>14</v>
      </c>
      <c r="E13" s="41" t="s">
        <v>15</v>
      </c>
      <c r="F13" s="42">
        <v>5</v>
      </c>
      <c r="G13" s="42" t="s">
        <v>16</v>
      </c>
      <c r="H13" s="43" t="s">
        <v>17</v>
      </c>
    </row>
    <row r="14" spans="1:22" ht="26" x14ac:dyDescent="0.2">
      <c r="B14" s="39" t="str">
        <f t="shared" si="0"/>
        <v>002</v>
      </c>
      <c r="C14" s="39">
        <v>2</v>
      </c>
      <c r="D14" s="40" t="s">
        <v>18</v>
      </c>
      <c r="E14" s="41" t="s">
        <v>19</v>
      </c>
      <c r="F14" s="42">
        <v>3</v>
      </c>
      <c r="G14" s="42" t="s">
        <v>20</v>
      </c>
      <c r="H14" s="43" t="s">
        <v>21</v>
      </c>
    </row>
    <row r="15" spans="1:22" ht="39" x14ac:dyDescent="0.2">
      <c r="B15" s="39" t="str">
        <f t="shared" si="0"/>
        <v>003</v>
      </c>
      <c r="C15" s="39">
        <v>3</v>
      </c>
      <c r="D15" s="40" t="s">
        <v>22</v>
      </c>
      <c r="E15" s="41" t="s">
        <v>23</v>
      </c>
      <c r="F15" s="42">
        <v>3</v>
      </c>
      <c r="G15" s="42" t="s">
        <v>20</v>
      </c>
      <c r="H15" s="43" t="s">
        <v>24</v>
      </c>
    </row>
    <row r="16" spans="1:22" ht="16" x14ac:dyDescent="0.2">
      <c r="B16" s="39" t="str">
        <f t="shared" si="0"/>
        <v>004</v>
      </c>
      <c r="C16" s="39">
        <v>4</v>
      </c>
      <c r="D16" s="40" t="s">
        <v>25</v>
      </c>
      <c r="E16" s="41" t="s">
        <v>26</v>
      </c>
      <c r="F16" s="42">
        <v>4</v>
      </c>
      <c r="G16" s="42" t="s">
        <v>27</v>
      </c>
      <c r="H16" s="43" t="s">
        <v>17</v>
      </c>
    </row>
    <row r="17" spans="2:8" ht="16" x14ac:dyDescent="0.2">
      <c r="B17" s="39" t="str">
        <f t="shared" si="0"/>
        <v>005</v>
      </c>
      <c r="C17" s="39">
        <v>5</v>
      </c>
      <c r="D17" s="40" t="s">
        <v>28</v>
      </c>
      <c r="E17" s="41" t="s">
        <v>29</v>
      </c>
      <c r="F17" s="42">
        <v>3</v>
      </c>
      <c r="G17" s="42" t="s">
        <v>27</v>
      </c>
      <c r="H17" s="43" t="s">
        <v>17</v>
      </c>
    </row>
    <row r="18" spans="2:8" ht="26" x14ac:dyDescent="0.2">
      <c r="B18" s="39" t="str">
        <f t="shared" si="0"/>
        <v>006</v>
      </c>
      <c r="C18" s="39">
        <f>C17+1</f>
        <v>6</v>
      </c>
      <c r="D18" s="44" t="s">
        <v>30</v>
      </c>
      <c r="E18" s="41" t="s">
        <v>31</v>
      </c>
      <c r="F18" s="42">
        <v>8</v>
      </c>
      <c r="G18" s="42" t="s">
        <v>16</v>
      </c>
      <c r="H18" s="43" t="s">
        <v>17</v>
      </c>
    </row>
    <row r="19" spans="2:8" ht="26" x14ac:dyDescent="0.2">
      <c r="B19" s="39" t="str">
        <f t="shared" si="0"/>
        <v>007</v>
      </c>
      <c r="C19" s="39">
        <f xml:space="preserve"> C18 + 1</f>
        <v>7</v>
      </c>
      <c r="D19" s="40" t="s">
        <v>32</v>
      </c>
      <c r="E19" s="41" t="s">
        <v>33</v>
      </c>
      <c r="F19" s="42">
        <v>6</v>
      </c>
      <c r="G19" s="42" t="s">
        <v>34</v>
      </c>
      <c r="H19" s="43" t="s">
        <v>35</v>
      </c>
    </row>
    <row r="20" spans="2:8" ht="16" x14ac:dyDescent="0.2">
      <c r="B20" s="39" t="str">
        <f t="shared" si="0"/>
        <v>008</v>
      </c>
      <c r="C20" s="39">
        <f xml:space="preserve"> C19 + 1</f>
        <v>8</v>
      </c>
      <c r="D20" s="40" t="s">
        <v>36</v>
      </c>
      <c r="E20" s="41" t="s">
        <v>37</v>
      </c>
      <c r="F20" s="42">
        <v>2</v>
      </c>
      <c r="G20" s="42" t="s">
        <v>27</v>
      </c>
      <c r="H20" s="43" t="s">
        <v>17</v>
      </c>
    </row>
    <row r="21" spans="2:8" ht="26" x14ac:dyDescent="0.2">
      <c r="B21" s="34"/>
      <c r="C21" s="35"/>
      <c r="D21" s="36" t="s">
        <v>38</v>
      </c>
      <c r="E21" s="37"/>
      <c r="F21" s="45"/>
      <c r="G21" s="45"/>
      <c r="H21" s="45"/>
    </row>
    <row r="22" spans="2:8" ht="16" x14ac:dyDescent="0.2">
      <c r="B22" s="39" t="str">
        <f>IF(LEN(C22)=1,$B$11&amp;"00"&amp;C22,IF(LEN(C22)=2,$B$11&amp;"0"&amp;C22,$B$11&amp;C22))</f>
        <v>009</v>
      </c>
      <c r="C22" s="39">
        <v>9</v>
      </c>
      <c r="D22" s="46" t="s">
        <v>39</v>
      </c>
      <c r="E22" s="41" t="s">
        <v>40</v>
      </c>
      <c r="F22" s="42">
        <v>12</v>
      </c>
      <c r="G22" s="42" t="s">
        <v>16</v>
      </c>
      <c r="H22" s="43" t="s">
        <v>17</v>
      </c>
    </row>
    <row r="23" spans="2:8" ht="26" x14ac:dyDescent="0.2">
      <c r="B23" s="39" t="str">
        <f>IF(LEN(C23)=1,$B$11&amp;"00"&amp;C23,IF(LEN(C23)=2,$B$11&amp;"0"&amp;C23,$B$11&amp;C23))</f>
        <v>010</v>
      </c>
      <c r="C23" s="39">
        <f>C22+1</f>
        <v>10</v>
      </c>
      <c r="D23" s="46" t="s">
        <v>41</v>
      </c>
      <c r="E23" s="41" t="s">
        <v>42</v>
      </c>
      <c r="F23" s="42">
        <v>8</v>
      </c>
      <c r="G23" s="42" t="s">
        <v>16</v>
      </c>
      <c r="H23" s="43" t="s">
        <v>17</v>
      </c>
    </row>
    <row r="24" spans="2:8" ht="39" x14ac:dyDescent="0.2">
      <c r="B24" s="39" t="str">
        <f>IF(LEN(C24)=1,$B$11&amp;"00"&amp;C24,IF(LEN(C24)=2,$B$11&amp;"0"&amp;C24,$B$11&amp;C24))</f>
        <v>011</v>
      </c>
      <c r="C24" s="39">
        <f>C23+1</f>
        <v>11</v>
      </c>
      <c r="D24" s="46" t="s">
        <v>43</v>
      </c>
      <c r="E24" s="41" t="s">
        <v>44</v>
      </c>
      <c r="F24" s="42">
        <v>8</v>
      </c>
      <c r="G24" s="42" t="s">
        <v>16</v>
      </c>
      <c r="H24" s="43" t="s">
        <v>17</v>
      </c>
    </row>
    <row r="27" spans="2:8" x14ac:dyDescent="0.2">
      <c r="B27" s="47"/>
      <c r="C27" s="47"/>
      <c r="D27" s="47"/>
      <c r="E27" s="47"/>
      <c r="F27" s="48"/>
      <c r="G27" s="47"/>
    </row>
  </sheetData>
  <mergeCells count="11">
    <mergeCell ref="G10:G11"/>
    <mergeCell ref="H10:H11"/>
    <mergeCell ref="E3:F3"/>
    <mergeCell ref="E4:F4"/>
    <mergeCell ref="B6:F8"/>
    <mergeCell ref="B9:C9"/>
    <mergeCell ref="B10:B11"/>
    <mergeCell ref="C10:C11"/>
    <mergeCell ref="D10:D11"/>
    <mergeCell ref="E10:E11"/>
    <mergeCell ref="F10:F11"/>
  </mergeCells>
  <dataValidations count="1">
    <dataValidation allowBlank="1" showInputMessage="1" showErrorMessage="1" errorTitle="Erreur de saise" error="Veuillez saisir : _x000a_O : Oui_x000a_N : Non" sqref="E10" xr:uid="{5856E230-F1CE-0C4F-BF57-1CBC7E9D56A1}"/>
  </dataValidations>
  <pageMargins left="0.7" right="0.7" top="0.75" bottom="0.75" header="0.3" footer="0.3"/>
  <pageSetup paperSize="9" orientation="portrait" horizontalDpi="0" verticalDpi="0"/>
  <headerFooter>
    <oddFooter>&amp;L_x000D_&amp;1#&amp;"Aptos"&amp;10&amp;K000000 Confidential- Oracle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Interfaces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Favre Dechallens</dc:creator>
  <cp:lastModifiedBy>Leonie Favre Dechallens</cp:lastModifiedBy>
  <dcterms:created xsi:type="dcterms:W3CDTF">2026-02-20T10:56:32Z</dcterms:created>
  <dcterms:modified xsi:type="dcterms:W3CDTF">2026-02-20T10:56:48Z</dcterms:modified>
</cp:coreProperties>
</file>