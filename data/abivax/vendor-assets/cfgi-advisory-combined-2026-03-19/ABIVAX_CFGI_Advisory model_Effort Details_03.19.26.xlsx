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fgi02109-my.sharepoint.com/personal/jacoutareau_cfgi_com/Documents/Documents/Clients/Abivax/ERP proposal/"/>
    </mc:Choice>
  </mc:AlternateContent>
  <xr:revisionPtr revIDLastSave="3" documentId="8_{C4529D3C-74C5-43B3-9750-183FFA23D846}" xr6:coauthVersionLast="47" xr6:coauthVersionMax="47" xr10:uidLastSave="{7C9A3F6F-EC2B-4E05-93CB-B779733B98B2}"/>
  <bookViews>
    <workbookView xWindow="-110" yWindow="-110" windowWidth="19420" windowHeight="11500" tabRatio="500" xr2:uid="{00000000-000D-0000-FFFF-FFFF00000000}"/>
  </bookViews>
  <sheets>
    <sheet name="Effort Detai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" i="2" l="1"/>
  <c r="J49" i="2"/>
  <c r="J48" i="2"/>
  <c r="J47" i="2"/>
  <c r="J46" i="2"/>
  <c r="J42" i="2"/>
  <c r="J41" i="2"/>
  <c r="J40" i="2"/>
  <c r="J36" i="2"/>
  <c r="J35" i="2"/>
  <c r="J34" i="2"/>
  <c r="J33" i="2"/>
  <c r="J32" i="2"/>
  <c r="J28" i="2"/>
  <c r="J27" i="2"/>
  <c r="J26" i="2"/>
  <c r="J25" i="2"/>
  <c r="J24" i="2"/>
  <c r="J20" i="2"/>
  <c r="J19" i="2"/>
  <c r="J18" i="2"/>
  <c r="J14" i="2"/>
  <c r="J13" i="2"/>
  <c r="J12" i="2"/>
  <c r="J11" i="2"/>
  <c r="J7" i="2"/>
  <c r="J6" i="2"/>
  <c r="I51" i="2"/>
  <c r="D51" i="2"/>
  <c r="I43" i="2"/>
  <c r="D43" i="2"/>
  <c r="I37" i="2"/>
  <c r="D37" i="2"/>
  <c r="I29" i="2"/>
  <c r="D29" i="2"/>
  <c r="I21" i="2"/>
  <c r="D21" i="2"/>
  <c r="I15" i="2"/>
  <c r="D15" i="2"/>
  <c r="I8" i="2"/>
  <c r="D8" i="2"/>
  <c r="H51" i="2"/>
  <c r="G51" i="2"/>
  <c r="F51" i="2"/>
  <c r="E51" i="2"/>
  <c r="C51" i="2"/>
  <c r="B51" i="2"/>
  <c r="H43" i="2"/>
  <c r="G43" i="2"/>
  <c r="F43" i="2"/>
  <c r="E43" i="2"/>
  <c r="C43" i="2"/>
  <c r="B43" i="2"/>
  <c r="H37" i="2"/>
  <c r="G37" i="2"/>
  <c r="F37" i="2"/>
  <c r="E37" i="2"/>
  <c r="C37" i="2"/>
  <c r="B37" i="2"/>
  <c r="H29" i="2"/>
  <c r="G29" i="2"/>
  <c r="F29" i="2"/>
  <c r="E29" i="2"/>
  <c r="C29" i="2"/>
  <c r="B29" i="2"/>
  <c r="H21" i="2"/>
  <c r="G21" i="2"/>
  <c r="F21" i="2"/>
  <c r="E21" i="2"/>
  <c r="C21" i="2"/>
  <c r="B21" i="2"/>
  <c r="H15" i="2"/>
  <c r="G15" i="2"/>
  <c r="F15" i="2"/>
  <c r="E15" i="2"/>
  <c r="C15" i="2"/>
  <c r="B15" i="2"/>
  <c r="H8" i="2"/>
  <c r="G8" i="2"/>
  <c r="F8" i="2"/>
  <c r="E8" i="2"/>
  <c r="C8" i="2"/>
  <c r="B8" i="2"/>
  <c r="J21" i="2" l="1"/>
  <c r="J29" i="2"/>
  <c r="J37" i="2"/>
  <c r="J51" i="2"/>
  <c r="J15" i="2"/>
  <c r="J43" i="2"/>
  <c r="J8" i="2"/>
  <c r="B3" i="2"/>
  <c r="G3" i="2"/>
  <c r="F3" i="2"/>
  <c r="I3" i="2"/>
  <c r="D3" i="2"/>
  <c r="H3" i="2"/>
  <c r="C3" i="2"/>
  <c r="E3" i="2"/>
  <c r="J3" i="2" l="1"/>
</calcChain>
</file>

<file path=xl/sharedStrings.xml><?xml version="1.0" encoding="utf-8"?>
<sst xmlns="http://schemas.openxmlformats.org/spreadsheetml/2006/main" count="54" uniqueCount="54">
  <si>
    <t>Jean Arnold Coutareau</t>
  </si>
  <si>
    <t>Shine Thomas</t>
  </si>
  <si>
    <t>Ken Schatz</t>
  </si>
  <si>
    <t>Walid Bouassida</t>
  </si>
  <si>
    <t>Youness Tyamaz</t>
  </si>
  <si>
    <t>EFFORT DETAIL  —  Hours by Activity &amp; Resource</t>
  </si>
  <si>
    <t>Blue cells = estimated inputs (adjust to model scenarios)   |   Black cells = formulas   |   Green cells = cross-sheet links</t>
  </si>
  <si>
    <t>GRAND TOTAL — ALL ACTIVITIES</t>
  </si>
  <si>
    <t>Activity / Sub-Activity</t>
  </si>
  <si>
    <t>Total Hours</t>
  </si>
  <si>
    <t>A.  Engagement Setup</t>
  </si>
  <si>
    <t xml:space="preserve">    Kick-off preparation &amp; team onboarding</t>
  </si>
  <si>
    <t xml:space="preserve">    Engagement scoping, RACI &amp; methodology</t>
  </si>
  <si>
    <t>Subtotal — Engagement Setup</t>
  </si>
  <si>
    <t>B.  Program Governance &amp; Status Reporting</t>
  </si>
  <si>
    <t xml:space="preserve">    Status meetings  (weekly: FR | bi-weekly: US)</t>
  </si>
  <si>
    <t xml:space="preserve">    Steering materials &amp; governance reports</t>
  </si>
  <si>
    <t xml:space="preserve">    Client-side action log &amp; deliverable tracking</t>
  </si>
  <si>
    <t xml:space="preserve">    ABIVAX stakeholder coordination</t>
  </si>
  <si>
    <t>Subtotal — Program Governance &amp; Status Reporting</t>
  </si>
  <si>
    <t>C.  Business Process &amp; Functional Support</t>
  </si>
  <si>
    <t xml:space="preserve">    Process requirements documentation</t>
  </si>
  <si>
    <t xml:space="preserve">    End-to-end transaction flow assessment</t>
  </si>
  <si>
    <t xml:space="preserve">    Functional design challenge &amp; gap review</t>
  </si>
  <si>
    <t>Subtotal — Business Process &amp; Functional Support</t>
  </si>
  <si>
    <t>D.  US NetSuite Team — Implementation Meeting Participation</t>
  </si>
  <si>
    <t xml:space="preserve">    Design / process walkthrough sessions  (wks 1–16, 14 × 1.5 hrs)</t>
  </si>
  <si>
    <t xml:space="preserve">    Integration working sessions  (8 × 1.5 hrs)</t>
  </si>
  <si>
    <t xml:space="preserve">    Build &amp; configuration Q&amp;A  (10 × 1.0 hr)</t>
  </si>
  <si>
    <t xml:space="preserve">    UAT support sessions  (8 × 1.0 hr)</t>
  </si>
  <si>
    <t xml:space="preserve">    Cutover planning &amp; go-live support</t>
  </si>
  <si>
    <t>Subtotal — US NetSuite Team — Implementation Meeting Participation</t>
  </si>
  <si>
    <t>E.  Stage Gate Reviews</t>
  </si>
  <si>
    <t xml:space="preserve">    Gate 1 — Project Initiation  (wk 3)</t>
  </si>
  <si>
    <t xml:space="preserve">    Gate 2 — Design Complete  (wk 16)</t>
  </si>
  <si>
    <t xml:space="preserve">    Gate 3 — Build Complete  (wk 28)</t>
  </si>
  <si>
    <t xml:space="preserve">    Gate 4 — UAT / Cutover Readiness  (wk 36)</t>
  </si>
  <si>
    <t xml:space="preserve">    Gate 5 — Go-Live &amp; Transition  (wk 39+)</t>
  </si>
  <si>
    <t>Subtotal — Stage Gate Reviews</t>
  </si>
  <si>
    <t>F.  Controls-by-Design  (SOX Integration)</t>
  </si>
  <si>
    <t xml:space="preserve">    SOX-to-NetSuite controls mapping</t>
  </si>
  <si>
    <t xml:space="preserve">    Configuration controls review</t>
  </si>
  <si>
    <t xml:space="preserve">    Controls validation — UAT scenarios</t>
  </si>
  <si>
    <t>Subtotal — Controls-by-Design  (SOX Integration)</t>
  </si>
  <si>
    <t>G.  Change Management &amp; Adoption</t>
  </si>
  <si>
    <t xml:space="preserve">    Change management strategy</t>
  </si>
  <si>
    <t xml:space="preserve">    Communications plan development</t>
  </si>
  <si>
    <t xml:space="preserve">    Ongoing adoption support &amp; monitoring</t>
  </si>
  <si>
    <t xml:space="preserve">    SOX-integrated ways-of-working design</t>
  </si>
  <si>
    <t>Subtotal — Change Management &amp; Adoption</t>
  </si>
  <si>
    <t>Angela DePoy</t>
  </si>
  <si>
    <t>Brad Quillen</t>
  </si>
  <si>
    <t xml:space="preserve">    Employee interviews</t>
  </si>
  <si>
    <t>Ashley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</si>
</sst>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;\(#,##0\);\-"/>
  </numFmts>
  <fonts count="10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B2B4B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B4B"/>
        <bgColor rgb="FF003366"/>
      </patternFill>
    </fill>
    <fill>
      <patternFill patternType="solid">
        <fgColor rgb="FFD6E8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6E8F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/>
    </xf>
    <xf numFmtId="0" fontId="0" fillId="3" borderId="0" xfId="0" applyFill="1"/>
    <xf numFmtId="0" fontId="2" fillId="4" borderId="1" xfId="0" applyFont="1" applyFill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3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18A"/>
      <rgbColor rgb="FFBFBFBF"/>
      <rgbColor rgb="FF808080"/>
      <rgbColor rgb="FF9999FF"/>
      <rgbColor rgb="FF993366"/>
      <rgbColor rgb="FFF2F2F2"/>
      <rgbColor rgb="FFD6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0B4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C8A958-6750-4A09-8261-31201356742B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328125" defaultRowHeight="14.5" x14ac:dyDescent="0.35"/>
  <cols>
    <col min="1" max="1" width="65.54296875" bestFit="1" customWidth="1"/>
    <col min="2" max="4" width="18" customWidth="1"/>
    <col min="5" max="5" width="20" customWidth="1"/>
    <col min="6" max="6" width="18" customWidth="1"/>
    <col min="7" max="9" width="22" customWidth="1"/>
    <col min="10" max="10" width="14" customWidth="1"/>
  </cols>
  <sheetData>
    <row r="1" spans="1:10" ht="16.5" x14ac:dyDescent="0.35">
      <c r="A1" s="17" t="s">
        <v>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8" t="s">
        <v>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35">
      <c r="A3" s="1" t="s">
        <v>7</v>
      </c>
      <c r="B3" s="2">
        <f t="shared" ref="B3:H3" si="0">B8+B15+B21+B29+B37+B43+B51</f>
        <v>46</v>
      </c>
      <c r="C3" s="2">
        <f t="shared" si="0"/>
        <v>10</v>
      </c>
      <c r="D3" s="2">
        <f>D8+D15+D21+D29+D37+D43+D51</f>
        <v>34</v>
      </c>
      <c r="E3" s="2">
        <f t="shared" si="0"/>
        <v>72</v>
      </c>
      <c r="F3" s="2">
        <f t="shared" si="0"/>
        <v>114</v>
      </c>
      <c r="G3" s="2">
        <f t="shared" si="0"/>
        <v>187</v>
      </c>
      <c r="H3" s="2">
        <f t="shared" si="0"/>
        <v>520</v>
      </c>
      <c r="I3" s="2">
        <f>I8+I15+I21+I29+I37+I43+I51</f>
        <v>80</v>
      </c>
      <c r="J3" s="2">
        <f>SUM(B3:I3)</f>
        <v>1063</v>
      </c>
    </row>
    <row r="4" spans="1:10" ht="23" x14ac:dyDescent="0.35">
      <c r="A4" s="3" t="s">
        <v>8</v>
      </c>
      <c r="B4" s="4" t="s">
        <v>0</v>
      </c>
      <c r="C4" s="4" t="s">
        <v>1</v>
      </c>
      <c r="D4" s="4" t="s">
        <v>50</v>
      </c>
      <c r="E4" s="4" t="s">
        <v>2</v>
      </c>
      <c r="F4" s="4" t="s">
        <v>51</v>
      </c>
      <c r="G4" s="4" t="s">
        <v>3</v>
      </c>
      <c r="H4" s="4" t="s">
        <v>4</v>
      </c>
      <c r="I4" s="4" t="s">
        <v>53</v>
      </c>
      <c r="J4" s="4" t="s">
        <v>9</v>
      </c>
    </row>
    <row r="5" spans="1:10" x14ac:dyDescent="0.35">
      <c r="A5" s="5" t="s">
        <v>10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35">
      <c r="A6" s="7" t="s">
        <v>11</v>
      </c>
      <c r="B6" s="8">
        <v>2</v>
      </c>
      <c r="C6" s="8">
        <v>1</v>
      </c>
      <c r="D6" s="13">
        <v>1</v>
      </c>
      <c r="E6" s="8">
        <v>2</v>
      </c>
      <c r="F6" s="8">
        <v>1</v>
      </c>
      <c r="G6" s="8">
        <v>4</v>
      </c>
      <c r="H6" s="11">
        <v>6</v>
      </c>
      <c r="I6" s="13"/>
      <c r="J6" s="12">
        <f>SUM(B6:I6)</f>
        <v>17</v>
      </c>
    </row>
    <row r="7" spans="1:10" x14ac:dyDescent="0.35">
      <c r="A7" s="7" t="s">
        <v>12</v>
      </c>
      <c r="B7" s="8">
        <v>1</v>
      </c>
      <c r="C7" s="8">
        <v>1</v>
      </c>
      <c r="D7" s="16">
        <v>1</v>
      </c>
      <c r="E7" s="8">
        <v>1</v>
      </c>
      <c r="F7" s="8">
        <v>1</v>
      </c>
      <c r="G7" s="8">
        <v>3</v>
      </c>
      <c r="H7" s="11">
        <v>4</v>
      </c>
      <c r="I7" s="16"/>
      <c r="J7" s="12">
        <f>SUM(B7:I7)</f>
        <v>12</v>
      </c>
    </row>
    <row r="8" spans="1:10" x14ac:dyDescent="0.35">
      <c r="A8" s="9" t="s">
        <v>13</v>
      </c>
      <c r="B8" s="10">
        <f t="shared" ref="B8:H8" si="1">SUM(B6:B7)</f>
        <v>3</v>
      </c>
      <c r="C8" s="10">
        <f t="shared" si="1"/>
        <v>2</v>
      </c>
      <c r="D8" s="10">
        <f>SUM(D6:D7)</f>
        <v>2</v>
      </c>
      <c r="E8" s="10">
        <f t="shared" si="1"/>
        <v>3</v>
      </c>
      <c r="F8" s="10">
        <f t="shared" si="1"/>
        <v>2</v>
      </c>
      <c r="G8" s="10">
        <f t="shared" si="1"/>
        <v>7</v>
      </c>
      <c r="H8" s="14">
        <f t="shared" si="1"/>
        <v>10</v>
      </c>
      <c r="I8" s="10">
        <f>SUM(I6:I7)</f>
        <v>0</v>
      </c>
      <c r="J8" s="15">
        <f>SUM(B8:I8)</f>
        <v>29</v>
      </c>
    </row>
    <row r="10" spans="1:10" x14ac:dyDescent="0.35">
      <c r="A10" s="5" t="s">
        <v>14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7" t="s">
        <v>15</v>
      </c>
      <c r="B11" s="8">
        <v>20</v>
      </c>
      <c r="C11" s="8"/>
      <c r="D11" s="13"/>
      <c r="E11" s="8">
        <v>20</v>
      </c>
      <c r="F11" s="8">
        <v>20</v>
      </c>
      <c r="G11" s="8">
        <v>39</v>
      </c>
      <c r="H11" s="11">
        <v>80</v>
      </c>
      <c r="I11" s="13"/>
      <c r="J11" s="12">
        <f>SUM(B11:I11)</f>
        <v>179</v>
      </c>
    </row>
    <row r="12" spans="1:10" x14ac:dyDescent="0.35">
      <c r="A12" s="7" t="s">
        <v>16</v>
      </c>
      <c r="B12" s="8">
        <v>8</v>
      </c>
      <c r="C12" s="8"/>
      <c r="D12" s="13"/>
      <c r="E12" s="8"/>
      <c r="F12" s="8"/>
      <c r="G12" s="8">
        <v>18</v>
      </c>
      <c r="H12" s="11">
        <v>40</v>
      </c>
      <c r="I12" s="13"/>
      <c r="J12" s="12">
        <f>SUM(B12:I12)</f>
        <v>66</v>
      </c>
    </row>
    <row r="13" spans="1:10" x14ac:dyDescent="0.35">
      <c r="A13" s="7" t="s">
        <v>17</v>
      </c>
      <c r="B13" s="8"/>
      <c r="C13" s="8"/>
      <c r="D13" s="13"/>
      <c r="E13" s="8"/>
      <c r="F13" s="8"/>
      <c r="G13" s="8"/>
      <c r="H13" s="11">
        <v>60</v>
      </c>
      <c r="I13" s="13"/>
      <c r="J13" s="12">
        <f>SUM(B13:I13)</f>
        <v>60</v>
      </c>
    </row>
    <row r="14" spans="1:10" x14ac:dyDescent="0.35">
      <c r="A14" s="7" t="s">
        <v>18</v>
      </c>
      <c r="B14" s="8">
        <v>7</v>
      </c>
      <c r="C14" s="8"/>
      <c r="D14" s="16"/>
      <c r="E14" s="8"/>
      <c r="F14" s="8"/>
      <c r="G14" s="8">
        <v>14</v>
      </c>
      <c r="H14" s="11">
        <v>60</v>
      </c>
      <c r="I14" s="16"/>
      <c r="J14" s="12">
        <f>SUM(B14:I14)</f>
        <v>81</v>
      </c>
    </row>
    <row r="15" spans="1:10" x14ac:dyDescent="0.35">
      <c r="A15" s="9" t="s">
        <v>19</v>
      </c>
      <c r="B15" s="10">
        <f t="shared" ref="B15:H15" si="2">SUM(B11:B14)</f>
        <v>35</v>
      </c>
      <c r="C15" s="10">
        <f t="shared" si="2"/>
        <v>0</v>
      </c>
      <c r="D15" s="10">
        <f>SUM(D11:D14)</f>
        <v>0</v>
      </c>
      <c r="E15" s="10">
        <f t="shared" si="2"/>
        <v>20</v>
      </c>
      <c r="F15" s="10">
        <f t="shared" si="2"/>
        <v>20</v>
      </c>
      <c r="G15" s="10">
        <f t="shared" si="2"/>
        <v>71</v>
      </c>
      <c r="H15" s="14">
        <f t="shared" si="2"/>
        <v>240</v>
      </c>
      <c r="I15" s="10">
        <f>SUM(I11:I14)</f>
        <v>0</v>
      </c>
      <c r="J15" s="15">
        <f>SUM(B15:I15)</f>
        <v>386</v>
      </c>
    </row>
    <row r="17" spans="1:10" x14ac:dyDescent="0.35">
      <c r="A17" s="5" t="s">
        <v>20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5">
      <c r="A18" s="7" t="s">
        <v>21</v>
      </c>
      <c r="B18" s="8"/>
      <c r="C18" s="8"/>
      <c r="D18" s="13"/>
      <c r="E18" s="8"/>
      <c r="F18" s="8"/>
      <c r="G18" s="8">
        <v>18</v>
      </c>
      <c r="H18" s="11">
        <v>40</v>
      </c>
      <c r="I18" s="13"/>
      <c r="J18" s="12">
        <f>SUM(B18:I18)</f>
        <v>58</v>
      </c>
    </row>
    <row r="19" spans="1:10" x14ac:dyDescent="0.35">
      <c r="A19" s="7" t="s">
        <v>22</v>
      </c>
      <c r="B19" s="8"/>
      <c r="C19" s="8"/>
      <c r="D19" s="13"/>
      <c r="E19" s="8"/>
      <c r="F19" s="8"/>
      <c r="G19" s="8">
        <v>14</v>
      </c>
      <c r="H19" s="11">
        <v>20</v>
      </c>
      <c r="I19" s="13"/>
      <c r="J19" s="12">
        <f>SUM(B19:I19)</f>
        <v>34</v>
      </c>
    </row>
    <row r="20" spans="1:10" x14ac:dyDescent="0.35">
      <c r="A20" s="7" t="s">
        <v>23</v>
      </c>
      <c r="B20" s="8"/>
      <c r="C20" s="8"/>
      <c r="D20" s="16"/>
      <c r="E20" s="8"/>
      <c r="F20" s="8"/>
      <c r="G20" s="8">
        <v>12</v>
      </c>
      <c r="H20" s="11">
        <v>20</v>
      </c>
      <c r="I20" s="16"/>
      <c r="J20" s="12">
        <f>SUM(B20:I20)</f>
        <v>32</v>
      </c>
    </row>
    <row r="21" spans="1:10" x14ac:dyDescent="0.35">
      <c r="A21" s="9" t="s">
        <v>24</v>
      </c>
      <c r="B21" s="10">
        <f t="shared" ref="B21:H21" si="3">SUM(B18:B20)</f>
        <v>0</v>
      </c>
      <c r="C21" s="10">
        <f t="shared" si="3"/>
        <v>0</v>
      </c>
      <c r="D21" s="10">
        <f>SUM(D18:D20)</f>
        <v>0</v>
      </c>
      <c r="E21" s="10">
        <f t="shared" si="3"/>
        <v>0</v>
      </c>
      <c r="F21" s="10">
        <f t="shared" si="3"/>
        <v>0</v>
      </c>
      <c r="G21" s="10">
        <f t="shared" si="3"/>
        <v>44</v>
      </c>
      <c r="H21" s="14">
        <f t="shared" si="3"/>
        <v>80</v>
      </c>
      <c r="I21" s="10">
        <f>SUM(I18:I20)</f>
        <v>0</v>
      </c>
      <c r="J21" s="15">
        <f>SUM(B21:I21)</f>
        <v>124</v>
      </c>
    </row>
    <row r="23" spans="1:10" x14ac:dyDescent="0.35">
      <c r="A23" s="5" t="s">
        <v>25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7" t="s">
        <v>26</v>
      </c>
      <c r="B24" s="8"/>
      <c r="C24" s="8"/>
      <c r="D24" s="13"/>
      <c r="E24" s="8">
        <v>11</v>
      </c>
      <c r="F24" s="8">
        <v>21</v>
      </c>
      <c r="G24" s="8"/>
      <c r="H24" s="11"/>
      <c r="I24" s="13"/>
      <c r="J24" s="12">
        <f t="shared" ref="J24:J29" si="4">SUM(B24:I24)</f>
        <v>32</v>
      </c>
    </row>
    <row r="25" spans="1:10" x14ac:dyDescent="0.35">
      <c r="A25" s="7" t="s">
        <v>27</v>
      </c>
      <c r="B25" s="8"/>
      <c r="C25" s="8"/>
      <c r="D25" s="13"/>
      <c r="E25" s="8">
        <v>6</v>
      </c>
      <c r="F25" s="8">
        <v>12</v>
      </c>
      <c r="G25" s="8"/>
      <c r="H25" s="11"/>
      <c r="I25" s="13"/>
      <c r="J25" s="12">
        <f t="shared" si="4"/>
        <v>18</v>
      </c>
    </row>
    <row r="26" spans="1:10" x14ac:dyDescent="0.35">
      <c r="A26" s="7" t="s">
        <v>28</v>
      </c>
      <c r="B26" s="8"/>
      <c r="C26" s="8"/>
      <c r="D26" s="13"/>
      <c r="E26" s="8">
        <v>3</v>
      </c>
      <c r="F26" s="8">
        <v>10</v>
      </c>
      <c r="G26" s="8"/>
      <c r="H26" s="11"/>
      <c r="I26" s="13"/>
      <c r="J26" s="12">
        <f t="shared" si="4"/>
        <v>13</v>
      </c>
    </row>
    <row r="27" spans="1:10" x14ac:dyDescent="0.35">
      <c r="A27" s="7" t="s">
        <v>29</v>
      </c>
      <c r="B27" s="8"/>
      <c r="C27" s="8"/>
      <c r="D27" s="13"/>
      <c r="E27" s="8">
        <v>4</v>
      </c>
      <c r="F27" s="8">
        <v>8</v>
      </c>
      <c r="G27" s="8"/>
      <c r="H27" s="11"/>
      <c r="I27" s="13"/>
      <c r="J27" s="12">
        <f t="shared" si="4"/>
        <v>12</v>
      </c>
    </row>
    <row r="28" spans="1:10" x14ac:dyDescent="0.35">
      <c r="A28" s="7" t="s">
        <v>30</v>
      </c>
      <c r="B28" s="8"/>
      <c r="C28" s="8"/>
      <c r="D28" s="16"/>
      <c r="E28" s="8">
        <v>4</v>
      </c>
      <c r="F28" s="8">
        <v>8</v>
      </c>
      <c r="G28" s="8"/>
      <c r="H28" s="11"/>
      <c r="I28" s="16"/>
      <c r="J28" s="12">
        <f t="shared" si="4"/>
        <v>12</v>
      </c>
    </row>
    <row r="29" spans="1:10" x14ac:dyDescent="0.35">
      <c r="A29" s="9" t="s">
        <v>31</v>
      </c>
      <c r="B29" s="10">
        <f t="shared" ref="B29:H29" si="5">SUM(B24:B28)</f>
        <v>0</v>
      </c>
      <c r="C29" s="10">
        <f t="shared" si="5"/>
        <v>0</v>
      </c>
      <c r="D29" s="10">
        <f>SUM(D24:D28)</f>
        <v>0</v>
      </c>
      <c r="E29" s="10">
        <f t="shared" si="5"/>
        <v>28</v>
      </c>
      <c r="F29" s="10">
        <f t="shared" si="5"/>
        <v>59</v>
      </c>
      <c r="G29" s="10">
        <f t="shared" si="5"/>
        <v>0</v>
      </c>
      <c r="H29" s="14">
        <f t="shared" si="5"/>
        <v>0</v>
      </c>
      <c r="I29" s="10">
        <f>SUM(I24:I28)</f>
        <v>0</v>
      </c>
      <c r="J29" s="15">
        <f t="shared" si="4"/>
        <v>87</v>
      </c>
    </row>
    <row r="31" spans="1:10" x14ac:dyDescent="0.35">
      <c r="A31" s="5" t="s">
        <v>32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5">
      <c r="A32" s="7" t="s">
        <v>33</v>
      </c>
      <c r="B32" s="8">
        <v>1</v>
      </c>
      <c r="C32" s="8">
        <v>1</v>
      </c>
      <c r="D32" s="13"/>
      <c r="E32" s="8">
        <v>2</v>
      </c>
      <c r="F32" s="8">
        <v>3</v>
      </c>
      <c r="G32" s="8"/>
      <c r="H32" s="11"/>
      <c r="I32" s="13"/>
      <c r="J32" s="12">
        <f t="shared" ref="J32:J37" si="6">SUM(B32:I32)</f>
        <v>7</v>
      </c>
    </row>
    <row r="33" spans="1:10" x14ac:dyDescent="0.35">
      <c r="A33" s="7" t="s">
        <v>34</v>
      </c>
      <c r="B33" s="8">
        <v>2</v>
      </c>
      <c r="C33" s="8">
        <v>2</v>
      </c>
      <c r="D33" s="13"/>
      <c r="E33" s="8">
        <v>5</v>
      </c>
      <c r="F33" s="8">
        <v>8</v>
      </c>
      <c r="G33" s="8"/>
      <c r="H33" s="11"/>
      <c r="I33" s="13"/>
      <c r="J33" s="12">
        <f t="shared" si="6"/>
        <v>17</v>
      </c>
    </row>
    <row r="34" spans="1:10" x14ac:dyDescent="0.35">
      <c r="A34" s="7" t="s">
        <v>35</v>
      </c>
      <c r="B34" s="8">
        <v>3</v>
      </c>
      <c r="C34" s="8">
        <v>3</v>
      </c>
      <c r="D34" s="13"/>
      <c r="E34" s="8">
        <v>6</v>
      </c>
      <c r="F34" s="8">
        <v>10</v>
      </c>
      <c r="G34" s="8"/>
      <c r="H34" s="11"/>
      <c r="I34" s="13"/>
      <c r="J34" s="12">
        <f t="shared" si="6"/>
        <v>22</v>
      </c>
    </row>
    <row r="35" spans="1:10" x14ac:dyDescent="0.35">
      <c r="A35" s="7" t="s">
        <v>36</v>
      </c>
      <c r="B35" s="8">
        <v>1</v>
      </c>
      <c r="C35" s="8">
        <v>1</v>
      </c>
      <c r="D35" s="13"/>
      <c r="E35" s="8">
        <v>4</v>
      </c>
      <c r="F35" s="8">
        <v>7</v>
      </c>
      <c r="G35" s="8"/>
      <c r="H35" s="11"/>
      <c r="I35" s="13"/>
      <c r="J35" s="12">
        <f t="shared" si="6"/>
        <v>13</v>
      </c>
    </row>
    <row r="36" spans="1:10" x14ac:dyDescent="0.35">
      <c r="A36" s="7" t="s">
        <v>37</v>
      </c>
      <c r="B36" s="8">
        <v>1</v>
      </c>
      <c r="C36" s="8">
        <v>1</v>
      </c>
      <c r="D36" s="16"/>
      <c r="E36" s="8">
        <v>4</v>
      </c>
      <c r="F36" s="8">
        <v>5</v>
      </c>
      <c r="G36" s="8"/>
      <c r="H36" s="11"/>
      <c r="I36" s="16"/>
      <c r="J36" s="12">
        <f t="shared" si="6"/>
        <v>11</v>
      </c>
    </row>
    <row r="37" spans="1:10" x14ac:dyDescent="0.35">
      <c r="A37" s="9" t="s">
        <v>38</v>
      </c>
      <c r="B37" s="10">
        <f t="shared" ref="B37:H37" si="7">SUM(B32:B36)</f>
        <v>8</v>
      </c>
      <c r="C37" s="10">
        <f t="shared" si="7"/>
        <v>8</v>
      </c>
      <c r="D37" s="10">
        <f>SUM(D32:D36)</f>
        <v>0</v>
      </c>
      <c r="E37" s="10">
        <f t="shared" si="7"/>
        <v>21</v>
      </c>
      <c r="F37" s="10">
        <f t="shared" si="7"/>
        <v>33</v>
      </c>
      <c r="G37" s="10">
        <f t="shared" si="7"/>
        <v>0</v>
      </c>
      <c r="H37" s="14">
        <f t="shared" si="7"/>
        <v>0</v>
      </c>
      <c r="I37" s="10">
        <f>SUM(I32:I36)</f>
        <v>0</v>
      </c>
      <c r="J37" s="15">
        <f t="shared" si="6"/>
        <v>70</v>
      </c>
    </row>
    <row r="39" spans="1:10" x14ac:dyDescent="0.35">
      <c r="A39" s="5" t="s">
        <v>39</v>
      </c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5">
      <c r="A40" s="7" t="s">
        <v>40</v>
      </c>
      <c r="B40" s="8"/>
      <c r="C40" s="8"/>
      <c r="D40" s="13">
        <v>16</v>
      </c>
      <c r="E40" s="8"/>
      <c r="F40" s="8"/>
      <c r="G40" s="8">
        <v>10</v>
      </c>
      <c r="H40" s="11">
        <v>10</v>
      </c>
      <c r="I40" s="13">
        <v>40</v>
      </c>
      <c r="J40" s="12">
        <f>SUM(B40:I40)</f>
        <v>76</v>
      </c>
    </row>
    <row r="41" spans="1:10" x14ac:dyDescent="0.35">
      <c r="A41" s="7" t="s">
        <v>41</v>
      </c>
      <c r="B41" s="8"/>
      <c r="C41" s="8"/>
      <c r="D41" s="13">
        <v>8</v>
      </c>
      <c r="E41" s="8"/>
      <c r="F41" s="8"/>
      <c r="G41" s="8">
        <v>8</v>
      </c>
      <c r="H41" s="11">
        <v>10</v>
      </c>
      <c r="I41" s="13">
        <v>20</v>
      </c>
      <c r="J41" s="12">
        <f>SUM(B41:I41)</f>
        <v>46</v>
      </c>
    </row>
    <row r="42" spans="1:10" x14ac:dyDescent="0.35">
      <c r="A42" s="7" t="s">
        <v>42</v>
      </c>
      <c r="B42" s="8"/>
      <c r="C42" s="8"/>
      <c r="D42" s="16">
        <v>8</v>
      </c>
      <c r="E42" s="8"/>
      <c r="F42" s="8"/>
      <c r="G42" s="8">
        <v>5</v>
      </c>
      <c r="H42" s="11">
        <v>10</v>
      </c>
      <c r="I42" s="16">
        <v>20</v>
      </c>
      <c r="J42" s="12">
        <f>SUM(B42:I42)</f>
        <v>43</v>
      </c>
    </row>
    <row r="43" spans="1:10" x14ac:dyDescent="0.35">
      <c r="A43" s="9" t="s">
        <v>43</v>
      </c>
      <c r="B43" s="10">
        <f t="shared" ref="B43:H43" si="8">SUM(B40:B42)</f>
        <v>0</v>
      </c>
      <c r="C43" s="10">
        <f t="shared" si="8"/>
        <v>0</v>
      </c>
      <c r="D43" s="10">
        <f>SUM(D40:D42)</f>
        <v>32</v>
      </c>
      <c r="E43" s="10">
        <f t="shared" si="8"/>
        <v>0</v>
      </c>
      <c r="F43" s="10">
        <f t="shared" si="8"/>
        <v>0</v>
      </c>
      <c r="G43" s="10">
        <f t="shared" si="8"/>
        <v>23</v>
      </c>
      <c r="H43" s="14">
        <f t="shared" si="8"/>
        <v>30</v>
      </c>
      <c r="I43" s="10">
        <f>SUM(I40:I42)</f>
        <v>80</v>
      </c>
      <c r="J43" s="15">
        <f>SUM(B43:I43)</f>
        <v>165</v>
      </c>
    </row>
    <row r="45" spans="1:10" x14ac:dyDescent="0.35">
      <c r="A45" s="5" t="s">
        <v>44</v>
      </c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35">
      <c r="A46" s="7" t="s">
        <v>52</v>
      </c>
      <c r="B46" s="8"/>
      <c r="C46" s="8"/>
      <c r="D46" s="13"/>
      <c r="E46" s="8"/>
      <c r="F46" s="8"/>
      <c r="G46" s="8">
        <v>8</v>
      </c>
      <c r="H46" s="11">
        <v>30</v>
      </c>
      <c r="I46" s="13"/>
      <c r="J46" s="12">
        <f t="shared" ref="J46:J51" si="9">SUM(B46:I46)</f>
        <v>38</v>
      </c>
    </row>
    <row r="47" spans="1:10" x14ac:dyDescent="0.35">
      <c r="A47" s="7" t="s">
        <v>45</v>
      </c>
      <c r="B47" s="8"/>
      <c r="C47" s="8"/>
      <c r="D47" s="13"/>
      <c r="E47" s="8"/>
      <c r="F47" s="8"/>
      <c r="G47" s="8">
        <v>10</v>
      </c>
      <c r="H47" s="11">
        <v>30</v>
      </c>
      <c r="I47" s="13"/>
      <c r="J47" s="12">
        <f t="shared" si="9"/>
        <v>40</v>
      </c>
    </row>
    <row r="48" spans="1:10" x14ac:dyDescent="0.35">
      <c r="A48" s="7" t="s">
        <v>46</v>
      </c>
      <c r="B48" s="8"/>
      <c r="C48" s="8"/>
      <c r="D48" s="13"/>
      <c r="E48" s="8"/>
      <c r="F48" s="8"/>
      <c r="G48" s="8">
        <v>8</v>
      </c>
      <c r="H48" s="11">
        <v>30</v>
      </c>
      <c r="I48" s="13"/>
      <c r="J48" s="12">
        <f t="shared" si="9"/>
        <v>38</v>
      </c>
    </row>
    <row r="49" spans="1:10" x14ac:dyDescent="0.35">
      <c r="A49" s="7" t="s">
        <v>47</v>
      </c>
      <c r="B49" s="8"/>
      <c r="C49" s="8"/>
      <c r="D49" s="13"/>
      <c r="E49" s="8"/>
      <c r="F49" s="8"/>
      <c r="G49" s="8">
        <v>8</v>
      </c>
      <c r="H49" s="11">
        <v>60</v>
      </c>
      <c r="I49" s="13"/>
      <c r="J49" s="12">
        <f t="shared" si="9"/>
        <v>68</v>
      </c>
    </row>
    <row r="50" spans="1:10" x14ac:dyDescent="0.35">
      <c r="A50" s="7" t="s">
        <v>48</v>
      </c>
      <c r="B50" s="8"/>
      <c r="C50" s="8"/>
      <c r="D50" s="16"/>
      <c r="E50" s="8"/>
      <c r="F50" s="8"/>
      <c r="G50" s="8">
        <v>8</v>
      </c>
      <c r="H50" s="11">
        <v>10</v>
      </c>
      <c r="I50" s="16"/>
      <c r="J50" s="12">
        <f t="shared" si="9"/>
        <v>18</v>
      </c>
    </row>
    <row r="51" spans="1:10" x14ac:dyDescent="0.35">
      <c r="A51" s="9" t="s">
        <v>49</v>
      </c>
      <c r="B51" s="10">
        <f t="shared" ref="B51:H51" si="10">SUM(B46:B50)</f>
        <v>0</v>
      </c>
      <c r="C51" s="10">
        <f t="shared" si="10"/>
        <v>0</v>
      </c>
      <c r="D51" s="10">
        <f>SUM(D46:D50)</f>
        <v>0</v>
      </c>
      <c r="E51" s="10">
        <f t="shared" si="10"/>
        <v>0</v>
      </c>
      <c r="F51" s="10">
        <f t="shared" si="10"/>
        <v>0</v>
      </c>
      <c r="G51" s="10">
        <f t="shared" si="10"/>
        <v>42</v>
      </c>
      <c r="H51" s="14">
        <f t="shared" si="10"/>
        <v>160</v>
      </c>
      <c r="I51" s="10">
        <f>SUM(I46:I50)</f>
        <v>0</v>
      </c>
      <c r="J51" s="15">
        <f t="shared" si="9"/>
        <v>202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kschatz@cfgi</dc:creator>
  <dc:description/>
  <cp:lastModifiedBy>Jean-Arnold Coutareau</cp:lastModifiedBy>
  <cp:revision>0</cp:revision>
  <dcterms:created xsi:type="dcterms:W3CDTF">2026-03-18T22:22:20Z</dcterms:created>
  <dcterms:modified xsi:type="dcterms:W3CDTF">2026-03-19T16:57:10Z</dcterms:modified>
  <dc:language>en-US</dc:language>
</cp:coreProperties>
</file>