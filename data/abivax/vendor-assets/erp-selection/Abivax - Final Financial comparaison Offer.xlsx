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ustomProperty5.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ustomProperty6.bin" ContentType="application/vnd.openxmlformats-officedocument.spreadsheetml.customProperty"/>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drawings/drawing7.xml" ContentType="application/vnd.openxmlformats-officedocument.drawing+xml"/>
  <Override PartName="/xl/customProperty12.bin" ContentType="application/vnd.openxmlformats-officedocument.spreadsheetml.customProperty"/>
  <Override PartName="/xl/drawings/drawing8.xml" ContentType="application/vnd.openxmlformats-officedocument.drawing+xml"/>
  <Override PartName="/xl/customProperty13.bin" ContentType="application/vnd.openxmlformats-officedocument.spreadsheetml.customProperty"/>
  <Override PartName="/xl/drawings/drawing9.xml" ContentType="application/vnd.openxmlformats-officedocument.drawing+xml"/>
  <Override PartName="/xl/customProperty14.bin" ContentType="application/vnd.openxmlformats-officedocument.spreadsheetml.customProperty"/>
  <Override PartName="/xl/drawings/drawing10.xml" ContentType="application/vnd.openxmlformats-officedocument.drawing+xml"/>
  <Override PartName="/xl/customProperty15.bin" ContentType="application/vnd.openxmlformats-officedocument.spreadsheetml.customProperty"/>
  <Override PartName="/xl/drawings/drawing11.xml" ContentType="application/vnd.openxmlformats-officedocument.drawing+xml"/>
  <Override PartName="/xl/customProperty16.bin" ContentType="application/vnd.openxmlformats-officedocument.spreadsheetml.customProperty"/>
  <Override PartName="/xl/drawings/drawing12.xml" ContentType="application/vnd.openxmlformats-officedocument.drawing+xml"/>
  <Override PartName="/xl/customProperty17.bin" ContentType="application/vnd.openxmlformats-officedocument.spreadsheetml.customProperty"/>
  <Override PartName="/xl/customProperty18.bin" ContentType="application/vnd.openxmlformats-officedocument.spreadsheetml.customProperty"/>
  <Override PartName="/xl/drawings/drawing1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ustomProperty19.bin" ContentType="application/vnd.openxmlformats-officedocument.spreadsheetml.customProperty"/>
  <Override PartName="/xl/drawings/drawing1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ustomProperty20.bin" ContentType="application/vnd.openxmlformats-officedocument.spreadsheetml.customProperty"/>
  <Override PartName="/xl/drawings/drawing15.xml" ContentType="application/vnd.openxmlformats-officedocument.drawing+xml"/>
  <Override PartName="/xl/customProperty21.bin" ContentType="application/vnd.openxmlformats-officedocument.spreadsheetml.customProperty"/>
  <Override PartName="/xl/drawings/drawing1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ustomProperty22.bin" ContentType="application/vnd.openxmlformats-officedocument.spreadsheetml.customProperty"/>
  <Override PartName="/xl/drawings/drawing17.xml" ContentType="application/vnd.openxmlformats-officedocument.drawing+xml"/>
  <Override PartName="/xl/customProperty23.bin" ContentType="application/vnd.openxmlformats-officedocument.spreadsheetml.customProperty"/>
  <Override PartName="/xl/drawings/drawing18.xml" ContentType="application/vnd.openxmlformats-officedocument.drawing+xml"/>
  <Override PartName="/xl/customProperty24.bin" ContentType="application/vnd.openxmlformats-officedocument.spreadsheetml.customProperty"/>
  <Override PartName="/xl/drawings/drawing19.xml" ContentType="application/vnd.openxmlformats-officedocument.drawing+xml"/>
  <Override PartName="/xl/customProperty25.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onedrive-global.kpmg.com/personal/abenalaya_kpmg_fr/Documents/Documents/Rapide/"/>
    </mc:Choice>
  </mc:AlternateContent>
  <xr:revisionPtr revIDLastSave="0" documentId="8_{3F0A29FC-D1EC-48CC-89C9-23D253772E1C}" xr6:coauthVersionLast="47" xr6:coauthVersionMax="47" xr10:uidLastSave="{00000000-0000-0000-0000-000000000000}"/>
  <bookViews>
    <workbookView xWindow="-120" yWindow="-120" windowWidth="29040" windowHeight="15720" firstSheet="5" activeTab="5" xr2:uid="{143346BD-8AD1-4AF5-804E-B11B60829E2C}"/>
  </bookViews>
  <sheets>
    <sheet name="Cover page" sheetId="111" r:id="rId1"/>
    <sheet name="Cash forecast analysis" sheetId="113" r:id="rId2"/>
    <sheet name="Cash forecast consolidation" sheetId="137" r:id="rId3"/>
    <sheet name="Financial analysis conso" sheetId="114" r:id="rId4"/>
    <sheet name="Financial analysis With BoB" sheetId="140" r:id="rId5"/>
    <sheet name="Graph" sheetId="18" r:id="rId6"/>
    <sheet name="License price analysis" sheetId="138" r:id="rId7"/>
    <sheet name="Best of breed" sheetId="139" r:id="rId8"/>
    <sheet name="Data &gt;&gt;" sheetId="19" r:id="rId9"/>
    <sheet name="Oracle &gt;&gt;" sheetId="120" r:id="rId10"/>
    <sheet name="RUN (3)" sheetId="121" r:id="rId11"/>
    <sheet name="BUILD (3)" sheetId="128" r:id="rId12"/>
    <sheet name="Netsuite Interface details" sheetId="134" r:id="rId13"/>
    <sheet name="Netsuite Cash forecast" sheetId="123" r:id="rId14"/>
    <sheet name="Netsuite Planning" sheetId="124" r:id="rId15"/>
    <sheet name="Netsuite Financial analysis" sheetId="125" r:id="rId16"/>
    <sheet name="KPMG &gt;&gt;" sheetId="126" r:id="rId17"/>
    <sheet name="RUN (4)" sheetId="127" r:id="rId18"/>
    <sheet name="BUILD (4)" sheetId="122" r:id="rId19"/>
    <sheet name="SAP Interface details" sheetId="135" r:id="rId20"/>
    <sheet name="SAP Cash forecast" sheetId="129" r:id="rId21"/>
    <sheet name="SAP Planning" sheetId="130" r:id="rId22"/>
    <sheet name="SAP Financial analysis" sheetId="131" r:id="rId23"/>
    <sheet name="RUN" sheetId="3" state="hidden" r:id="rId24"/>
    <sheet name="BUILD" sheetId="1" state="hidden" r:id="rId25"/>
  </sheets>
  <definedNames>
    <definedName name="_xlnm._FilterDatabase" localSheetId="11" hidden="1">'BUILD (3)'!$A$10:$S$50</definedName>
    <definedName name="_xlnm._FilterDatabase" localSheetId="18" hidden="1">'BUILD (4)'!$A$10:$S$50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8" l="1" a="1"/>
  <c r="C39" i="18"/>
  <c r="C14" i="129"/>
  <c r="S22" i="113"/>
  <c r="S21" i="113"/>
  <c r="G44" i="127"/>
  <c r="C19" i="129"/>
  <c r="G20" i="127"/>
  <c r="C12" i="129"/>
  <c r="L57" i="122"/>
  <c r="Q4" i="137"/>
  <c r="D31" i="114"/>
  <c r="C31" i="114"/>
  <c r="D24" i="114"/>
  <c r="C24" i="114"/>
  <c r="C10" i="138"/>
  <c r="M13" i="129" l="1"/>
  <c r="D41" i="140"/>
  <c r="C41" i="140"/>
  <c r="D31" i="140"/>
  <c r="C31" i="140"/>
  <c r="D24" i="140"/>
  <c r="C24" i="140"/>
  <c r="D7" i="138"/>
  <c r="C7" i="138"/>
  <c r="G25" i="138"/>
  <c r="H25" i="138"/>
  <c r="I25" i="138"/>
  <c r="J25" i="138"/>
  <c r="E20" i="127"/>
  <c r="D5" i="138" s="1"/>
  <c r="C5" i="138"/>
  <c r="D44" i="140"/>
  <c r="C44" i="140"/>
  <c r="D37" i="140"/>
  <c r="C37" i="140"/>
  <c r="D36" i="140"/>
  <c r="C36" i="140"/>
  <c r="D35" i="140"/>
  <c r="D34" i="140" s="1"/>
  <c r="C35" i="140"/>
  <c r="D33" i="140"/>
  <c r="C33" i="140"/>
  <c r="D32" i="140"/>
  <c r="C32" i="140"/>
  <c r="C30" i="140"/>
  <c r="C29" i="140"/>
  <c r="C28" i="140"/>
  <c r="C27" i="140"/>
  <c r="D25" i="140"/>
  <c r="C25" i="140"/>
  <c r="D23" i="140"/>
  <c r="C23" i="140"/>
  <c r="D22" i="140"/>
  <c r="C22" i="140"/>
  <c r="D21" i="140"/>
  <c r="C21" i="140"/>
  <c r="D20" i="140"/>
  <c r="C20" i="140"/>
  <c r="D19" i="140"/>
  <c r="C19" i="140"/>
  <c r="D18" i="140"/>
  <c r="C18" i="140"/>
  <c r="D17" i="140"/>
  <c r="C17" i="140"/>
  <c r="D16" i="140"/>
  <c r="C16" i="140"/>
  <c r="D15" i="140"/>
  <c r="C15" i="140"/>
  <c r="D14" i="140"/>
  <c r="D26" i="140" s="1"/>
  <c r="C14" i="140"/>
  <c r="C26" i="140" s="1"/>
  <c r="C11" i="138"/>
  <c r="D10" i="138"/>
  <c r="D11" i="138" s="1"/>
  <c r="C9" i="138"/>
  <c r="D9" i="138"/>
  <c r="I29" i="122"/>
  <c r="G29" i="122"/>
  <c r="F29" i="122"/>
  <c r="J15" i="135"/>
  <c r="K15" i="135"/>
  <c r="I15" i="135"/>
  <c r="K13" i="135"/>
  <c r="J13" i="135"/>
  <c r="I13" i="135"/>
  <c r="H13" i="129"/>
  <c r="I13" i="129" s="1"/>
  <c r="J13" i="129" s="1"/>
  <c r="K13" i="129" s="1"/>
  <c r="L13" i="129" s="1"/>
  <c r="G13" i="129"/>
  <c r="F13" i="129"/>
  <c r="E13" i="129"/>
  <c r="D13" i="129"/>
  <c r="C48" i="18" a="1"/>
  <c r="D48" i="18" a="1"/>
  <c r="E4" i="139" a="1"/>
  <c r="D49" i="18" a="1"/>
  <c r="C49" i="18" a="1"/>
  <c r="D41" i="18" a="1"/>
  <c r="D4" i="139" a="1"/>
  <c r="C45" i="18" a="1"/>
  <c r="C41" i="18" a="1"/>
  <c r="C43" i="18" a="1"/>
  <c r="C46" i="18" a="1"/>
  <c r="D47" i="18" a="1"/>
  <c r="D45" i="18" a="1"/>
  <c r="D46" i="18" a="1"/>
  <c r="C40" i="18" a="1"/>
  <c r="C47" i="18" a="1"/>
  <c r="D44" i="18" a="1"/>
  <c r="D40" i="18" a="1"/>
  <c r="D39" i="18" a="1"/>
  <c r="C44" i="18" a="1"/>
  <c r="D43" i="18" a="1"/>
  <c r="C34" i="140" l="1"/>
  <c r="C38" i="140" s="1"/>
  <c r="C39" i="140" s="1"/>
  <c r="C12" i="140"/>
  <c r="C10" i="140"/>
  <c r="C11" i="140"/>
  <c r="D44" i="18"/>
  <c r="D4" i="139"/>
  <c r="E4" i="139"/>
  <c r="C48" i="18"/>
  <c r="C45" i="18"/>
  <c r="C41" i="18"/>
  <c r="D47" i="18"/>
  <c r="D40" i="18"/>
  <c r="D48" i="18"/>
  <c r="D46" i="18"/>
  <c r="D43" i="18"/>
  <c r="D39" i="18"/>
  <c r="D45" i="18"/>
  <c r="C47" i="18"/>
  <c r="C40" i="18"/>
  <c r="D49" i="18"/>
  <c r="D41" i="18"/>
  <c r="C44" i="18"/>
  <c r="C49" i="18"/>
  <c r="C46" i="18"/>
  <c r="C43" i="18"/>
  <c r="D42" i="18" l="1"/>
  <c r="D50" i="18" s="1"/>
  <c r="D41" i="114" s="1"/>
  <c r="C42" i="18"/>
  <c r="C50" i="18" s="1"/>
  <c r="C41" i="114" s="1"/>
  <c r="C46" i="140" l="1"/>
  <c r="C42" i="140"/>
  <c r="D46" i="140"/>
  <c r="D42" i="140"/>
  <c r="E7" i="137" l="1"/>
  <c r="C27" i="113" s="1"/>
  <c r="M13" i="123" l="1"/>
  <c r="E17" i="127" l="1"/>
  <c r="G13" i="123" l="1"/>
  <c r="H13" i="123"/>
  <c r="I13" i="123"/>
  <c r="J13" i="123"/>
  <c r="K13" i="123"/>
  <c r="L13" i="123" s="1"/>
  <c r="F13" i="123"/>
  <c r="G28" i="121"/>
  <c r="E28" i="121"/>
  <c r="D28" i="121"/>
  <c r="C28" i="121"/>
  <c r="C30" i="127" l="1"/>
  <c r="C20" i="127"/>
  <c r="E15" i="121"/>
  <c r="G13" i="121"/>
  <c r="C33" i="125"/>
  <c r="C25" i="114" l="1"/>
  <c r="C27" i="131"/>
  <c r="C27" i="125"/>
  <c r="D25" i="114"/>
  <c r="E27" i="121" l="1"/>
  <c r="G27" i="121" s="1"/>
  <c r="E26" i="121"/>
  <c r="G26" i="121" s="1"/>
  <c r="E25" i="121"/>
  <c r="G25" i="121" s="1"/>
  <c r="M12" i="129"/>
  <c r="F6" i="137"/>
  <c r="G6" i="137"/>
  <c r="H6" i="137"/>
  <c r="I6" i="137"/>
  <c r="J6" i="137"/>
  <c r="K6" i="137"/>
  <c r="L6" i="137"/>
  <c r="M6" i="137"/>
  <c r="N6" i="137"/>
  <c r="F7" i="137"/>
  <c r="D27" i="113" s="1"/>
  <c r="G7" i="137"/>
  <c r="E27" i="113" s="1"/>
  <c r="H7" i="137"/>
  <c r="F27" i="113" s="1"/>
  <c r="I7" i="137"/>
  <c r="J7" i="137"/>
  <c r="K7" i="137"/>
  <c r="L7" i="137"/>
  <c r="M7" i="137"/>
  <c r="N7" i="137"/>
  <c r="E6" i="137"/>
  <c r="Q6" i="137" s="1"/>
  <c r="F3" i="137"/>
  <c r="G3" i="137"/>
  <c r="H3" i="137"/>
  <c r="I3" i="137"/>
  <c r="J3" i="137"/>
  <c r="K3" i="137"/>
  <c r="L3" i="137"/>
  <c r="M3" i="137"/>
  <c r="N3" i="137"/>
  <c r="D21" i="113" l="1"/>
  <c r="D22" i="113"/>
  <c r="K26" i="113"/>
  <c r="K25" i="113"/>
  <c r="J26" i="113"/>
  <c r="J25" i="113"/>
  <c r="I26" i="113"/>
  <c r="I25" i="113"/>
  <c r="H26" i="113"/>
  <c r="H25" i="113"/>
  <c r="L22" i="113"/>
  <c r="L21" i="113"/>
  <c r="G26" i="113"/>
  <c r="G25" i="113"/>
  <c r="K22" i="113"/>
  <c r="K21" i="113"/>
  <c r="F26" i="113"/>
  <c r="F25" i="113"/>
  <c r="J22" i="113"/>
  <c r="J21" i="113"/>
  <c r="E25" i="113"/>
  <c r="E26" i="113"/>
  <c r="E28" i="113" s="1"/>
  <c r="I22" i="113"/>
  <c r="I21" i="113"/>
  <c r="H22" i="113"/>
  <c r="H21" i="113"/>
  <c r="P6" i="137"/>
  <c r="G22" i="113"/>
  <c r="G21" i="113"/>
  <c r="F21" i="113"/>
  <c r="F22" i="113"/>
  <c r="E22" i="113"/>
  <c r="E21" i="113"/>
  <c r="L26" i="113"/>
  <c r="L25" i="113"/>
  <c r="J8" i="137"/>
  <c r="G27" i="113"/>
  <c r="H27" i="113" s="1"/>
  <c r="I27" i="113" s="1"/>
  <c r="J27" i="113" s="1"/>
  <c r="K27" i="113" s="1"/>
  <c r="L27" i="113" s="1"/>
  <c r="D13" i="113"/>
  <c r="D14" i="113"/>
  <c r="D25" i="113"/>
  <c r="D26" i="113"/>
  <c r="D28" i="113" s="1"/>
  <c r="E8" i="137"/>
  <c r="C26" i="113"/>
  <c r="C25" i="113"/>
  <c r="P7" i="137"/>
  <c r="F8" i="137"/>
  <c r="N8" i="137"/>
  <c r="M8" i="137"/>
  <c r="L8" i="137"/>
  <c r="I8" i="137"/>
  <c r="G8" i="137"/>
  <c r="K8" i="137"/>
  <c r="H8" i="137"/>
  <c r="C37" i="131"/>
  <c r="C35" i="131"/>
  <c r="G38" i="127"/>
  <c r="C46" i="131"/>
  <c r="C34" i="131"/>
  <c r="C25" i="131"/>
  <c r="C24" i="131"/>
  <c r="C23" i="131"/>
  <c r="C22" i="131"/>
  <c r="C21" i="131"/>
  <c r="C20" i="131"/>
  <c r="C18" i="131"/>
  <c r="C17" i="131"/>
  <c r="C16" i="131"/>
  <c r="E39" i="127"/>
  <c r="G39" i="127" s="1"/>
  <c r="E40" i="127"/>
  <c r="G40" i="127"/>
  <c r="E41" i="127"/>
  <c r="G41" i="127" s="1"/>
  <c r="E38" i="127"/>
  <c r="E33" i="127"/>
  <c r="G33" i="127" s="1"/>
  <c r="C38" i="131" s="1"/>
  <c r="E34" i="127"/>
  <c r="G34" i="127"/>
  <c r="E35" i="127"/>
  <c r="G35" i="127"/>
  <c r="E32" i="127"/>
  <c r="G32" i="127" s="1"/>
  <c r="E23" i="127"/>
  <c r="G23" i="127" s="1"/>
  <c r="E24" i="127"/>
  <c r="G24" i="127"/>
  <c r="E25" i="127"/>
  <c r="G25" i="127" s="1"/>
  <c r="E26" i="127"/>
  <c r="G26" i="127" s="1"/>
  <c r="E27" i="127"/>
  <c r="G27" i="127" s="1"/>
  <c r="E28" i="127"/>
  <c r="G28" i="127"/>
  <c r="E29" i="127"/>
  <c r="G29" i="127" s="1"/>
  <c r="E22" i="127"/>
  <c r="G22" i="127" s="1"/>
  <c r="E14" i="127"/>
  <c r="G14" i="127" s="1"/>
  <c r="E15" i="127"/>
  <c r="G15" i="127" s="1"/>
  <c r="G17" i="127"/>
  <c r="E18" i="127"/>
  <c r="G18" i="127" s="1"/>
  <c r="E19" i="127"/>
  <c r="G19" i="127" s="1"/>
  <c r="E13" i="127"/>
  <c r="G13" i="127"/>
  <c r="C46" i="125"/>
  <c r="C25" i="125"/>
  <c r="C24" i="125"/>
  <c r="C23" i="125"/>
  <c r="C22" i="125"/>
  <c r="C21" i="125"/>
  <c r="C20" i="125"/>
  <c r="C18" i="125"/>
  <c r="C17" i="125"/>
  <c r="C15" i="122"/>
  <c r="D15" i="122"/>
  <c r="K15" i="122" s="1"/>
  <c r="E15" i="122"/>
  <c r="F15" i="122"/>
  <c r="G15" i="122"/>
  <c r="H15" i="122"/>
  <c r="H54" i="122" s="1"/>
  <c r="H58" i="122" s="1"/>
  <c r="I15" i="122"/>
  <c r="I54" i="122" s="1"/>
  <c r="I58" i="122" s="1"/>
  <c r="J15" i="122"/>
  <c r="M15" i="122"/>
  <c r="T15" i="122" s="1"/>
  <c r="N15" i="122"/>
  <c r="O15" i="122"/>
  <c r="P15" i="122"/>
  <c r="Q15" i="122"/>
  <c r="R15" i="122"/>
  <c r="S15" i="122"/>
  <c r="K16" i="122"/>
  <c r="L16" i="122"/>
  <c r="T16" i="122"/>
  <c r="C17" i="122"/>
  <c r="K17" i="122" s="1"/>
  <c r="D17" i="122"/>
  <c r="D26" i="122" s="1"/>
  <c r="E17" i="122"/>
  <c r="F17" i="122"/>
  <c r="G17" i="122"/>
  <c r="H17" i="122"/>
  <c r="I17" i="122"/>
  <c r="J17" i="122"/>
  <c r="M17" i="122"/>
  <c r="T17" i="122" s="1"/>
  <c r="N17" i="122"/>
  <c r="N26" i="122" s="1"/>
  <c r="O17" i="122"/>
  <c r="O26" i="122" s="1"/>
  <c r="P17" i="122"/>
  <c r="P26" i="122" s="1"/>
  <c r="Q17" i="122"/>
  <c r="R17" i="122"/>
  <c r="S17" i="122"/>
  <c r="K18" i="122"/>
  <c r="L18" i="122"/>
  <c r="T18" i="122"/>
  <c r="K19" i="122"/>
  <c r="L19" i="122"/>
  <c r="T19" i="122"/>
  <c r="K20" i="122"/>
  <c r="L20" i="122"/>
  <c r="T20" i="122"/>
  <c r="K21" i="122"/>
  <c r="L21" i="122"/>
  <c r="T21" i="122"/>
  <c r="K22" i="122"/>
  <c r="L22" i="122"/>
  <c r="T22" i="122"/>
  <c r="C23" i="122"/>
  <c r="K23" i="122" s="1"/>
  <c r="D23" i="122"/>
  <c r="E23" i="122"/>
  <c r="F23" i="122"/>
  <c r="G23" i="122"/>
  <c r="H23" i="122"/>
  <c r="I23" i="122"/>
  <c r="J23" i="122"/>
  <c r="M23" i="122"/>
  <c r="M26" i="122" s="1"/>
  <c r="T26" i="122" s="1"/>
  <c r="N23" i="122"/>
  <c r="O23" i="122"/>
  <c r="P23" i="122"/>
  <c r="T23" i="122" s="1"/>
  <c r="Q23" i="122"/>
  <c r="R23" i="122"/>
  <c r="S23" i="122"/>
  <c r="K24" i="122"/>
  <c r="L24" i="122"/>
  <c r="T24" i="122"/>
  <c r="K25" i="122"/>
  <c r="L25" i="122"/>
  <c r="T25" i="122"/>
  <c r="E26" i="122"/>
  <c r="F26" i="122"/>
  <c r="G26" i="122"/>
  <c r="H26" i="122"/>
  <c r="I26" i="122"/>
  <c r="J26" i="122"/>
  <c r="Q26" i="122"/>
  <c r="R26" i="122"/>
  <c r="S26" i="122"/>
  <c r="C27" i="122"/>
  <c r="D27" i="122"/>
  <c r="K27" i="122" s="1"/>
  <c r="E27" i="122"/>
  <c r="F27" i="122"/>
  <c r="G27" i="122"/>
  <c r="H27" i="122"/>
  <c r="I27" i="122"/>
  <c r="J27" i="122"/>
  <c r="M27" i="122"/>
  <c r="T27" i="122" s="1"/>
  <c r="N27" i="122"/>
  <c r="O27" i="122"/>
  <c r="P27" i="122"/>
  <c r="Q27" i="122"/>
  <c r="R27" i="122"/>
  <c r="S27" i="122"/>
  <c r="K28" i="122"/>
  <c r="L28" i="122"/>
  <c r="T28" i="122"/>
  <c r="K29" i="122"/>
  <c r="L29" i="122"/>
  <c r="T29" i="122"/>
  <c r="K30" i="122"/>
  <c r="L30" i="122"/>
  <c r="T30" i="122"/>
  <c r="K31" i="122"/>
  <c r="L31" i="122"/>
  <c r="T31" i="122"/>
  <c r="K32" i="122"/>
  <c r="L32" i="122"/>
  <c r="T32" i="122"/>
  <c r="K33" i="122"/>
  <c r="L33" i="122"/>
  <c r="T33" i="122"/>
  <c r="C34" i="122"/>
  <c r="D34" i="122"/>
  <c r="K34" i="122" s="1"/>
  <c r="E34" i="122"/>
  <c r="F34" i="122"/>
  <c r="G34" i="122"/>
  <c r="H34" i="122"/>
  <c r="I34" i="122"/>
  <c r="J34" i="122"/>
  <c r="M34" i="122"/>
  <c r="T34" i="122" s="1"/>
  <c r="N34" i="122"/>
  <c r="O34" i="122"/>
  <c r="P34" i="122"/>
  <c r="Q34" i="122"/>
  <c r="R34" i="122"/>
  <c r="S34" i="122"/>
  <c r="K35" i="122"/>
  <c r="L35" i="122"/>
  <c r="T35" i="122"/>
  <c r="K36" i="122"/>
  <c r="L36" i="122"/>
  <c r="T36" i="122"/>
  <c r="K37" i="122"/>
  <c r="L37" i="122"/>
  <c r="T37" i="122"/>
  <c r="C38" i="122"/>
  <c r="D38" i="122"/>
  <c r="E38" i="122"/>
  <c r="F38" i="122"/>
  <c r="G38" i="122"/>
  <c r="K38" i="122" s="1"/>
  <c r="H38" i="122"/>
  <c r="I38" i="122"/>
  <c r="L38" i="122" s="1"/>
  <c r="J38" i="122"/>
  <c r="M38" i="122"/>
  <c r="T38" i="122" s="1"/>
  <c r="N38" i="122"/>
  <c r="O38" i="122"/>
  <c r="P38" i="122"/>
  <c r="Q38" i="122"/>
  <c r="R38" i="122"/>
  <c r="S38" i="122"/>
  <c r="K39" i="122"/>
  <c r="L39" i="122"/>
  <c r="T39" i="122"/>
  <c r="C40" i="122"/>
  <c r="K40" i="122" s="1"/>
  <c r="D40" i="122"/>
  <c r="L40" i="122" s="1"/>
  <c r="E40" i="122"/>
  <c r="F40" i="122"/>
  <c r="G40" i="122"/>
  <c r="H40" i="122"/>
  <c r="I40" i="122"/>
  <c r="J40" i="122"/>
  <c r="M40" i="122"/>
  <c r="T40" i="122" s="1"/>
  <c r="N40" i="122"/>
  <c r="O40" i="122"/>
  <c r="P40" i="122"/>
  <c r="Q40" i="122"/>
  <c r="R40" i="122"/>
  <c r="S40" i="122"/>
  <c r="K41" i="122"/>
  <c r="L41" i="122"/>
  <c r="T41" i="122"/>
  <c r="K42" i="122"/>
  <c r="L42" i="122"/>
  <c r="T42" i="122"/>
  <c r="C43" i="122"/>
  <c r="K43" i="122" s="1"/>
  <c r="D43" i="122"/>
  <c r="L43" i="122" s="1"/>
  <c r="E43" i="122"/>
  <c r="F43" i="122"/>
  <c r="G43" i="122"/>
  <c r="H43" i="122"/>
  <c r="I43" i="122"/>
  <c r="J43" i="122"/>
  <c r="M43" i="122"/>
  <c r="T43" i="122" s="1"/>
  <c r="N43" i="122"/>
  <c r="O43" i="122"/>
  <c r="P43" i="122"/>
  <c r="Q43" i="122"/>
  <c r="R43" i="122"/>
  <c r="S43" i="122"/>
  <c r="K44" i="122"/>
  <c r="L44" i="122"/>
  <c r="T44" i="122"/>
  <c r="K45" i="122"/>
  <c r="L45" i="122"/>
  <c r="T45" i="122"/>
  <c r="C46" i="122"/>
  <c r="K46" i="122" s="1"/>
  <c r="D46" i="122"/>
  <c r="L46" i="122" s="1"/>
  <c r="E46" i="122"/>
  <c r="F46" i="122"/>
  <c r="G46" i="122"/>
  <c r="H46" i="122"/>
  <c r="I46" i="122"/>
  <c r="J46" i="122"/>
  <c r="M46" i="122"/>
  <c r="T46" i="122" s="1"/>
  <c r="N46" i="122"/>
  <c r="O46" i="122"/>
  <c r="P46" i="122"/>
  <c r="Q46" i="122"/>
  <c r="R46" i="122"/>
  <c r="S46" i="122"/>
  <c r="K47" i="122"/>
  <c r="L47" i="122"/>
  <c r="T47" i="122"/>
  <c r="C48" i="122"/>
  <c r="K48" i="122" s="1"/>
  <c r="D48" i="122"/>
  <c r="E48" i="122"/>
  <c r="F48" i="122"/>
  <c r="G48" i="122"/>
  <c r="H48" i="122"/>
  <c r="I48" i="122"/>
  <c r="J48" i="122"/>
  <c r="M48" i="122"/>
  <c r="T48" i="122" s="1"/>
  <c r="N48" i="122"/>
  <c r="O48" i="122"/>
  <c r="P48" i="122"/>
  <c r="Q48" i="122"/>
  <c r="R48" i="122"/>
  <c r="S48" i="122"/>
  <c r="K49" i="122"/>
  <c r="L49" i="122"/>
  <c r="T49" i="122"/>
  <c r="C50" i="122"/>
  <c r="D50" i="122"/>
  <c r="E50" i="122"/>
  <c r="F50" i="122"/>
  <c r="F54" i="122" s="1"/>
  <c r="F58" i="122" s="1"/>
  <c r="G50" i="122"/>
  <c r="H50" i="122"/>
  <c r="I50" i="122"/>
  <c r="J50" i="122"/>
  <c r="M50" i="122"/>
  <c r="N50" i="122"/>
  <c r="O50" i="122"/>
  <c r="P50" i="122"/>
  <c r="T50" i="122" s="1"/>
  <c r="Q50" i="122"/>
  <c r="R50" i="122"/>
  <c r="S50" i="122"/>
  <c r="K51" i="122"/>
  <c r="L51" i="122"/>
  <c r="T51" i="122"/>
  <c r="K52" i="122"/>
  <c r="L52" i="122"/>
  <c r="T52" i="122"/>
  <c r="K53" i="122"/>
  <c r="L53" i="122"/>
  <c r="T53" i="122"/>
  <c r="C54" i="122"/>
  <c r="C58" i="122" s="1"/>
  <c r="D54" i="122"/>
  <c r="D58" i="122" s="1"/>
  <c r="G54" i="122"/>
  <c r="G58" i="122" s="1"/>
  <c r="D30" i="127"/>
  <c r="C36" i="127"/>
  <c r="D36" i="127"/>
  <c r="C42" i="127"/>
  <c r="D42" i="127"/>
  <c r="C15" i="128"/>
  <c r="D15" i="128"/>
  <c r="E15" i="128"/>
  <c r="F15" i="128"/>
  <c r="G15" i="128"/>
  <c r="H15" i="128"/>
  <c r="I15" i="128"/>
  <c r="I54" i="128" s="1"/>
  <c r="I58" i="128" s="1"/>
  <c r="J15" i="128"/>
  <c r="M15" i="128"/>
  <c r="M54" i="128" s="1"/>
  <c r="N15" i="128"/>
  <c r="N54" i="128" s="1"/>
  <c r="O15" i="128"/>
  <c r="T15" i="128" s="1"/>
  <c r="P15" i="128"/>
  <c r="P54" i="128" s="1"/>
  <c r="Q15" i="128"/>
  <c r="R15" i="128"/>
  <c r="S15" i="128"/>
  <c r="K16" i="128"/>
  <c r="L16" i="128"/>
  <c r="T16" i="128"/>
  <c r="C17" i="128"/>
  <c r="D17" i="128"/>
  <c r="D26" i="128" s="1"/>
  <c r="E17" i="128"/>
  <c r="E26" i="128" s="1"/>
  <c r="F17" i="128"/>
  <c r="K17" i="128" s="1"/>
  <c r="G17" i="128"/>
  <c r="L17" i="128" s="1"/>
  <c r="H17" i="128"/>
  <c r="I17" i="128"/>
  <c r="J17" i="128"/>
  <c r="M17" i="128"/>
  <c r="T17" i="128" s="1"/>
  <c r="N17" i="128"/>
  <c r="O17" i="128"/>
  <c r="P17" i="128"/>
  <c r="P26" i="128" s="1"/>
  <c r="Q17" i="128"/>
  <c r="Q26" i="128" s="1"/>
  <c r="R17" i="128"/>
  <c r="R26" i="128" s="1"/>
  <c r="S17" i="128"/>
  <c r="S26" i="128" s="1"/>
  <c r="K18" i="128"/>
  <c r="L18" i="128"/>
  <c r="T18" i="128"/>
  <c r="K19" i="128"/>
  <c r="L19" i="128"/>
  <c r="T19" i="128"/>
  <c r="K20" i="128"/>
  <c r="L20" i="128"/>
  <c r="T20" i="128"/>
  <c r="K21" i="128"/>
  <c r="L21" i="128"/>
  <c r="T21" i="128"/>
  <c r="K22" i="128"/>
  <c r="L22" i="128"/>
  <c r="T22" i="128"/>
  <c r="C23" i="128"/>
  <c r="K23" i="128" s="1"/>
  <c r="D23" i="128"/>
  <c r="E23" i="128"/>
  <c r="F23" i="128"/>
  <c r="G23" i="128"/>
  <c r="H23" i="128"/>
  <c r="I23" i="128"/>
  <c r="J23" i="128"/>
  <c r="M23" i="128"/>
  <c r="N23" i="128"/>
  <c r="T23" i="128" s="1"/>
  <c r="O23" i="128"/>
  <c r="P23" i="128"/>
  <c r="Q23" i="128"/>
  <c r="R23" i="128"/>
  <c r="S23" i="128"/>
  <c r="K24" i="128"/>
  <c r="L24" i="128"/>
  <c r="T24" i="128"/>
  <c r="K25" i="128"/>
  <c r="L25" i="128"/>
  <c r="T25" i="128"/>
  <c r="C26" i="128"/>
  <c r="H26" i="128"/>
  <c r="I26" i="128"/>
  <c r="J26" i="128"/>
  <c r="M26" i="128"/>
  <c r="N26" i="128"/>
  <c r="O26" i="128"/>
  <c r="C27" i="128"/>
  <c r="D27" i="128"/>
  <c r="E27" i="128"/>
  <c r="F27" i="128"/>
  <c r="G27" i="128"/>
  <c r="H27" i="128"/>
  <c r="I27" i="128"/>
  <c r="J27" i="128"/>
  <c r="M27" i="128"/>
  <c r="N27" i="128"/>
  <c r="O27" i="128"/>
  <c r="T27" i="128" s="1"/>
  <c r="P27" i="128"/>
  <c r="Q27" i="128"/>
  <c r="R27" i="128"/>
  <c r="S27" i="128"/>
  <c r="K28" i="128"/>
  <c r="L28" i="128"/>
  <c r="T28" i="128"/>
  <c r="K29" i="128"/>
  <c r="L29" i="128"/>
  <c r="T29" i="128"/>
  <c r="K30" i="128"/>
  <c r="L30" i="128"/>
  <c r="T30" i="128"/>
  <c r="K31" i="128"/>
  <c r="L31" i="128"/>
  <c r="T31" i="128"/>
  <c r="K32" i="128"/>
  <c r="L32" i="128"/>
  <c r="T32" i="128"/>
  <c r="K33" i="128"/>
  <c r="L33" i="128"/>
  <c r="T33" i="128"/>
  <c r="C34" i="128"/>
  <c r="K34" i="128" s="1"/>
  <c r="D34" i="128"/>
  <c r="E34" i="128"/>
  <c r="F34" i="128"/>
  <c r="G34" i="128"/>
  <c r="H34" i="128"/>
  <c r="I34" i="128"/>
  <c r="J34" i="128"/>
  <c r="M34" i="128"/>
  <c r="N34" i="128"/>
  <c r="O34" i="128"/>
  <c r="T34" i="128" s="1"/>
  <c r="P34" i="128"/>
  <c r="Q34" i="128"/>
  <c r="R34" i="128"/>
  <c r="S34" i="128"/>
  <c r="K35" i="128"/>
  <c r="L35" i="128"/>
  <c r="T35" i="128"/>
  <c r="K36" i="128"/>
  <c r="L36" i="128"/>
  <c r="T36" i="128"/>
  <c r="K37" i="128"/>
  <c r="L37" i="128"/>
  <c r="T37" i="128"/>
  <c r="C38" i="128"/>
  <c r="D38" i="128"/>
  <c r="E38" i="128"/>
  <c r="K38" i="128" s="1"/>
  <c r="F38" i="128"/>
  <c r="G38" i="128"/>
  <c r="H38" i="128"/>
  <c r="I38" i="128"/>
  <c r="J38" i="128"/>
  <c r="M38" i="128"/>
  <c r="T38" i="128" s="1"/>
  <c r="N38" i="128"/>
  <c r="O38" i="128"/>
  <c r="P38" i="128"/>
  <c r="Q38" i="128"/>
  <c r="Q54" i="128" s="1"/>
  <c r="R38" i="128"/>
  <c r="R54" i="128" s="1"/>
  <c r="S38" i="128"/>
  <c r="K39" i="128"/>
  <c r="L39" i="128"/>
  <c r="T39" i="128"/>
  <c r="C40" i="128"/>
  <c r="K40" i="128" s="1"/>
  <c r="D40" i="128"/>
  <c r="E40" i="128"/>
  <c r="F40" i="128"/>
  <c r="G40" i="128"/>
  <c r="H40" i="128"/>
  <c r="I40" i="128"/>
  <c r="J40" i="128"/>
  <c r="M40" i="128"/>
  <c r="N40" i="128"/>
  <c r="O40" i="128"/>
  <c r="T40" i="128" s="1"/>
  <c r="P40" i="128"/>
  <c r="Q40" i="128"/>
  <c r="R40" i="128"/>
  <c r="S40" i="128"/>
  <c r="K41" i="128"/>
  <c r="L41" i="128"/>
  <c r="T41" i="128"/>
  <c r="K42" i="128"/>
  <c r="L42" i="128"/>
  <c r="T42" i="128"/>
  <c r="C43" i="128"/>
  <c r="L43" i="128" s="1"/>
  <c r="D43" i="128"/>
  <c r="E43" i="128"/>
  <c r="F43" i="128"/>
  <c r="G43" i="128"/>
  <c r="H43" i="128"/>
  <c r="I43" i="128"/>
  <c r="J43" i="128"/>
  <c r="M43" i="128"/>
  <c r="N43" i="128"/>
  <c r="O43" i="128"/>
  <c r="T43" i="128" s="1"/>
  <c r="P43" i="128"/>
  <c r="Q43" i="128"/>
  <c r="R43" i="128"/>
  <c r="S43" i="128"/>
  <c r="K44" i="128"/>
  <c r="L44" i="128"/>
  <c r="T44" i="128"/>
  <c r="K45" i="128"/>
  <c r="L45" i="128"/>
  <c r="T45" i="128"/>
  <c r="C46" i="128"/>
  <c r="K46" i="128" s="1"/>
  <c r="D46" i="128"/>
  <c r="E46" i="128"/>
  <c r="F46" i="128"/>
  <c r="G46" i="128"/>
  <c r="H46" i="128"/>
  <c r="I46" i="128"/>
  <c r="J46" i="128"/>
  <c r="M46" i="128"/>
  <c r="N46" i="128"/>
  <c r="O46" i="128"/>
  <c r="T46" i="128" s="1"/>
  <c r="P46" i="128"/>
  <c r="Q46" i="128"/>
  <c r="R46" i="128"/>
  <c r="S46" i="128"/>
  <c r="K47" i="128"/>
  <c r="L47" i="128"/>
  <c r="T47" i="128"/>
  <c r="C48" i="128"/>
  <c r="D48" i="128"/>
  <c r="E48" i="128"/>
  <c r="F48" i="128"/>
  <c r="K48" i="128" s="1"/>
  <c r="G48" i="128"/>
  <c r="L48" i="128" s="1"/>
  <c r="H48" i="128"/>
  <c r="I48" i="128"/>
  <c r="J48" i="128"/>
  <c r="M48" i="128"/>
  <c r="T48" i="128" s="1"/>
  <c r="N48" i="128"/>
  <c r="O48" i="128"/>
  <c r="P48" i="128"/>
  <c r="Q48" i="128"/>
  <c r="R48" i="128"/>
  <c r="S48" i="128"/>
  <c r="K49" i="128"/>
  <c r="L49" i="128"/>
  <c r="T49" i="128"/>
  <c r="C50" i="128"/>
  <c r="D50" i="128"/>
  <c r="E50" i="128"/>
  <c r="F50" i="128"/>
  <c r="G50" i="128"/>
  <c r="H50" i="128"/>
  <c r="I50" i="128"/>
  <c r="J50" i="128"/>
  <c r="M50" i="128"/>
  <c r="N50" i="128"/>
  <c r="T50" i="128" s="1"/>
  <c r="O50" i="128"/>
  <c r="P50" i="128"/>
  <c r="Q50" i="128"/>
  <c r="R50" i="128"/>
  <c r="S50" i="128"/>
  <c r="K51" i="128"/>
  <c r="L51" i="128"/>
  <c r="T51" i="128"/>
  <c r="K52" i="128"/>
  <c r="L52" i="128"/>
  <c r="T52" i="128"/>
  <c r="K53" i="128"/>
  <c r="L53" i="128"/>
  <c r="T53" i="128"/>
  <c r="G54" i="128"/>
  <c r="G58" i="128" s="1"/>
  <c r="S54" i="128"/>
  <c r="E22" i="121"/>
  <c r="G22" i="121"/>
  <c r="E23" i="121"/>
  <c r="G23" i="121" s="1"/>
  <c r="E24" i="121"/>
  <c r="G24" i="121"/>
  <c r="E30" i="121"/>
  <c r="G30" i="121" s="1"/>
  <c r="E31" i="121"/>
  <c r="G31" i="121"/>
  <c r="C38" i="125" s="1"/>
  <c r="E32" i="121"/>
  <c r="G32" i="121" s="1"/>
  <c r="C33" i="121"/>
  <c r="D33" i="121"/>
  <c r="E35" i="121"/>
  <c r="G35" i="121"/>
  <c r="E36" i="121"/>
  <c r="G36" i="121"/>
  <c r="E37" i="121"/>
  <c r="G37" i="121" s="1"/>
  <c r="C41" i="121"/>
  <c r="D41" i="121"/>
  <c r="E13" i="121"/>
  <c r="E14" i="121"/>
  <c r="G14" i="121"/>
  <c r="G15" i="121"/>
  <c r="E16" i="121"/>
  <c r="G16" i="121" s="1"/>
  <c r="E17" i="121"/>
  <c r="G17" i="121"/>
  <c r="E18" i="121"/>
  <c r="G18" i="121" s="1"/>
  <c r="E19" i="121"/>
  <c r="G19" i="121"/>
  <c r="C20" i="121"/>
  <c r="D20" i="121"/>
  <c r="D15" i="113" l="1"/>
  <c r="M27" i="113"/>
  <c r="F28" i="113"/>
  <c r="M25" i="113"/>
  <c r="C28" i="113"/>
  <c r="M26" i="113"/>
  <c r="K50" i="122"/>
  <c r="E54" i="122"/>
  <c r="E58" i="122" s="1"/>
  <c r="J54" i="122"/>
  <c r="J58" i="122" s="1"/>
  <c r="E36" i="127"/>
  <c r="K15" i="128"/>
  <c r="H54" i="128"/>
  <c r="H58" i="128" s="1"/>
  <c r="K50" i="128"/>
  <c r="D54" i="128"/>
  <c r="D58" i="128" s="1"/>
  <c r="J54" i="128"/>
  <c r="J58" i="128" s="1"/>
  <c r="G33" i="121"/>
  <c r="C37" i="125"/>
  <c r="F54" i="128"/>
  <c r="F58" i="128" s="1"/>
  <c r="K27" i="128"/>
  <c r="K54" i="128" s="1"/>
  <c r="C43" i="125" s="1"/>
  <c r="G20" i="121"/>
  <c r="C34" i="125"/>
  <c r="G41" i="121"/>
  <c r="G43" i="121" s="1"/>
  <c r="C36" i="125"/>
  <c r="E33" i="121"/>
  <c r="E41" i="121"/>
  <c r="C36" i="131"/>
  <c r="E42" i="127"/>
  <c r="G36" i="127"/>
  <c r="G30" i="127"/>
  <c r="C33" i="131" s="1"/>
  <c r="E30" i="127"/>
  <c r="C60" i="122"/>
  <c r="K54" i="122"/>
  <c r="C43" i="131" s="1"/>
  <c r="K26" i="122"/>
  <c r="L27" i="122"/>
  <c r="C19" i="131" s="1"/>
  <c r="L34" i="122"/>
  <c r="L15" i="122"/>
  <c r="L48" i="122"/>
  <c r="L17" i="122"/>
  <c r="L50" i="122"/>
  <c r="C26" i="131" s="1"/>
  <c r="L23" i="122"/>
  <c r="C26" i="122"/>
  <c r="L26" i="122" s="1"/>
  <c r="G42" i="127"/>
  <c r="T54" i="128"/>
  <c r="T26" i="128"/>
  <c r="K26" i="128"/>
  <c r="L38" i="128"/>
  <c r="E54" i="128"/>
  <c r="E58" i="128" s="1"/>
  <c r="G26" i="128"/>
  <c r="C54" i="128"/>
  <c r="C58" i="128" s="1"/>
  <c r="L46" i="128"/>
  <c r="L40" i="128"/>
  <c r="L34" i="128"/>
  <c r="L27" i="128"/>
  <c r="C19" i="125" s="1"/>
  <c r="F26" i="128"/>
  <c r="L26" i="128" s="1"/>
  <c r="L15" i="128"/>
  <c r="C16" i="125" s="1"/>
  <c r="K43" i="128"/>
  <c r="O54" i="128"/>
  <c r="L50" i="128"/>
  <c r="C26" i="125" s="1"/>
  <c r="L23" i="128"/>
  <c r="C35" i="125"/>
  <c r="E20" i="121"/>
  <c r="C32" i="125"/>
  <c r="C28" i="131" l="1"/>
  <c r="D9" i="113"/>
  <c r="C28" i="125"/>
  <c r="C60" i="128"/>
  <c r="C12" i="123" s="1"/>
  <c r="E3" i="137"/>
  <c r="M12" i="123"/>
  <c r="E13" i="123"/>
  <c r="D13" i="123"/>
  <c r="F4" i="137" s="1"/>
  <c r="D23" i="113" s="1"/>
  <c r="D24" i="113" s="1"/>
  <c r="C13" i="123"/>
  <c r="C29" i="125"/>
  <c r="C31" i="125"/>
  <c r="C30" i="125"/>
  <c r="C40" i="125"/>
  <c r="C41" i="125" s="1"/>
  <c r="L54" i="122"/>
  <c r="C62" i="122" s="1"/>
  <c r="C44" i="131" s="1"/>
  <c r="L54" i="128"/>
  <c r="C62" i="128" s="1"/>
  <c r="C44" i="125" s="1"/>
  <c r="C21" i="113" l="1"/>
  <c r="C22" i="113"/>
  <c r="E4" i="137"/>
  <c r="C23" i="113" s="1"/>
  <c r="F5" i="137"/>
  <c r="G4" i="137"/>
  <c r="E23" i="113" s="1"/>
  <c r="E24" i="113" s="1"/>
  <c r="E5" i="137"/>
  <c r="P3" i="137"/>
  <c r="C12" i="125"/>
  <c r="C14" i="125"/>
  <c r="C13" i="125"/>
  <c r="C24" i="113" l="1"/>
  <c r="C9" i="113" s="1"/>
  <c r="C13" i="113"/>
  <c r="M22" i="113"/>
  <c r="G5" i="137"/>
  <c r="M21" i="113"/>
  <c r="H4" i="137"/>
  <c r="F23" i="113" s="1"/>
  <c r="G23" i="113" s="1"/>
  <c r="H23" i="113" l="1"/>
  <c r="I23" i="113" s="1"/>
  <c r="J23" i="113" s="1"/>
  <c r="K23" i="113" s="1"/>
  <c r="L23" i="113" s="1"/>
  <c r="F24" i="113"/>
  <c r="I4" i="137"/>
  <c r="H5" i="137"/>
  <c r="C18" i="135"/>
  <c r="C19" i="135" s="1"/>
  <c r="B18" i="135"/>
  <c r="B17" i="135"/>
  <c r="B16" i="135"/>
  <c r="B15" i="135"/>
  <c r="B14" i="135"/>
  <c r="B13" i="135"/>
  <c r="C18" i="134"/>
  <c r="C19" i="134" s="1"/>
  <c r="C20" i="134" s="1"/>
  <c r="B18" i="134"/>
  <c r="B17" i="134"/>
  <c r="B16" i="134"/>
  <c r="B15" i="134"/>
  <c r="B14" i="134"/>
  <c r="B13" i="134"/>
  <c r="K28" i="113"/>
  <c r="L28" i="113"/>
  <c r="G28" i="113"/>
  <c r="D44" i="114"/>
  <c r="D46" i="114"/>
  <c r="D37" i="114"/>
  <c r="D36" i="114"/>
  <c r="D33" i="114"/>
  <c r="D32" i="114"/>
  <c r="D23" i="114"/>
  <c r="D22" i="114"/>
  <c r="D21" i="114"/>
  <c r="D20" i="114"/>
  <c r="D19" i="114"/>
  <c r="D17" i="114"/>
  <c r="D16" i="114"/>
  <c r="D15" i="114"/>
  <c r="D14" i="114"/>
  <c r="C44" i="114"/>
  <c r="C46" i="114" s="1"/>
  <c r="C37" i="114"/>
  <c r="C36" i="114"/>
  <c r="C35" i="114"/>
  <c r="C33" i="114"/>
  <c r="C32" i="114"/>
  <c r="C28" i="114"/>
  <c r="C29" i="114"/>
  <c r="C23" i="114"/>
  <c r="C22" i="114"/>
  <c r="C21" i="114"/>
  <c r="C20" i="114"/>
  <c r="C19" i="114"/>
  <c r="C17" i="114"/>
  <c r="C16" i="114"/>
  <c r="C15" i="114"/>
  <c r="C14" i="114"/>
  <c r="C14" i="113" l="1"/>
  <c r="C15" i="113"/>
  <c r="D10" i="113"/>
  <c r="C22" i="134"/>
  <c r="B20" i="134"/>
  <c r="G24" i="113"/>
  <c r="I5" i="137"/>
  <c r="J4" i="137"/>
  <c r="I28" i="113"/>
  <c r="J28" i="113"/>
  <c r="C30" i="114"/>
  <c r="C27" i="114" s="1"/>
  <c r="D35" i="114"/>
  <c r="D34" i="114" s="1"/>
  <c r="D18" i="114"/>
  <c r="D26" i="114" s="1"/>
  <c r="D42" i="114" s="1"/>
  <c r="C18" i="114"/>
  <c r="C26" i="114" s="1"/>
  <c r="C42" i="114" s="1"/>
  <c r="C21" i="135"/>
  <c r="B19" i="135"/>
  <c r="B19" i="134"/>
  <c r="H28" i="113"/>
  <c r="C34" i="114"/>
  <c r="M28" i="113" l="1"/>
  <c r="C38" i="114"/>
  <c r="C39" i="114" s="1"/>
  <c r="D11" i="113"/>
  <c r="C10" i="113"/>
  <c r="S25" i="113"/>
  <c r="S26" i="113"/>
  <c r="K4" i="137"/>
  <c r="Q3" i="137"/>
  <c r="J5" i="137"/>
  <c r="C22" i="135"/>
  <c r="B21" i="135"/>
  <c r="C23" i="134"/>
  <c r="B22" i="134"/>
  <c r="F13" i="113" l="1"/>
  <c r="H24" i="113"/>
  <c r="I24" i="113"/>
  <c r="K5" i="137"/>
  <c r="L4" i="137"/>
  <c r="C10" i="114"/>
  <c r="F9" i="113" s="1"/>
  <c r="C23" i="135"/>
  <c r="B23" i="135" s="1"/>
  <c r="B22" i="135"/>
  <c r="C24" i="134"/>
  <c r="B24" i="134" s="1"/>
  <c r="B23" i="134"/>
  <c r="L5" i="137" l="1"/>
  <c r="M4" i="137"/>
  <c r="C11" i="114"/>
  <c r="F10" i="113" s="1"/>
  <c r="F14" i="113"/>
  <c r="C12" i="114"/>
  <c r="K24" i="113" l="1"/>
  <c r="M5" i="137"/>
  <c r="N4" i="137"/>
  <c r="J24" i="113"/>
  <c r="N5" i="137" l="1"/>
  <c r="P4" i="137"/>
  <c r="L24" i="113" l="1"/>
  <c r="M23" i="113"/>
  <c r="F15" i="113"/>
  <c r="C11" i="113" l="1"/>
  <c r="M24" i="113"/>
  <c r="F11" i="113" l="1"/>
  <c r="C53" i="1" l="1"/>
  <c r="AS9" i="3"/>
  <c r="AS10" i="3"/>
  <c r="AU10" i="3" s="1"/>
  <c r="AS11" i="3"/>
  <c r="AU11" i="3" s="1"/>
  <c r="AS12" i="3"/>
  <c r="AS13" i="3"/>
  <c r="AS14" i="3"/>
  <c r="AR15" i="3"/>
  <c r="AS17" i="3"/>
  <c r="AS18" i="3"/>
  <c r="AS19" i="3"/>
  <c r="AU19" i="3" s="1"/>
  <c r="AS20" i="3"/>
  <c r="AU20" i="3" s="1"/>
  <c r="AS21" i="3"/>
  <c r="AU21" i="3" s="1"/>
  <c r="AS22" i="3"/>
  <c r="AU22" i="3" s="1"/>
  <c r="AS23" i="3"/>
  <c r="AU23" i="3" s="1"/>
  <c r="AS24" i="3"/>
  <c r="AU24" i="3" s="1"/>
  <c r="AR25" i="3"/>
  <c r="AS27" i="3"/>
  <c r="AS28" i="3"/>
  <c r="AS29" i="3"/>
  <c r="AU29" i="3" s="1"/>
  <c r="AS30" i="3"/>
  <c r="AU30" i="3" s="1"/>
  <c r="AR31" i="3"/>
  <c r="AS33" i="3"/>
  <c r="AS34" i="3"/>
  <c r="AU34" i="3" s="1"/>
  <c r="AS35" i="3"/>
  <c r="AU35" i="3" s="1"/>
  <c r="AS36" i="3"/>
  <c r="AU36" i="3" s="1"/>
  <c r="AR37" i="3"/>
  <c r="AI15" i="3"/>
  <c r="AI25" i="3"/>
  <c r="AI31" i="3"/>
  <c r="AI37" i="3"/>
  <c r="AM30" i="3"/>
  <c r="AA15" i="3"/>
  <c r="AA25" i="3"/>
  <c r="AA31" i="3"/>
  <c r="AA37" i="3"/>
  <c r="AQ37" i="3"/>
  <c r="AQ31" i="3"/>
  <c r="AU28" i="3"/>
  <c r="AQ25" i="3"/>
  <c r="AU18" i="3"/>
  <c r="AQ15" i="3"/>
  <c r="AU14" i="3"/>
  <c r="AU13" i="3"/>
  <c r="AU9" i="3"/>
  <c r="AJ37" i="3"/>
  <c r="AK36" i="3"/>
  <c r="AM36" i="3" s="1"/>
  <c r="AK35" i="3"/>
  <c r="AM35" i="3" s="1"/>
  <c r="AK34" i="3"/>
  <c r="AM34" i="3" s="1"/>
  <c r="AK33" i="3"/>
  <c r="AM33" i="3" s="1"/>
  <c r="AJ31" i="3"/>
  <c r="AK30" i="3"/>
  <c r="AK29" i="3"/>
  <c r="AM29" i="3" s="1"/>
  <c r="AK28" i="3"/>
  <c r="AM28" i="3" s="1"/>
  <c r="AK27" i="3"/>
  <c r="AM27" i="3" s="1"/>
  <c r="AJ25" i="3"/>
  <c r="AK24" i="3"/>
  <c r="AM24" i="3" s="1"/>
  <c r="AK23" i="3"/>
  <c r="AM23" i="3" s="1"/>
  <c r="AK22" i="3"/>
  <c r="AM22" i="3" s="1"/>
  <c r="AK21" i="3"/>
  <c r="AM21" i="3" s="1"/>
  <c r="AK20" i="3"/>
  <c r="AM20" i="3" s="1"/>
  <c r="AK19" i="3"/>
  <c r="AM19" i="3" s="1"/>
  <c r="AK18" i="3"/>
  <c r="AM18" i="3" s="1"/>
  <c r="AK17" i="3"/>
  <c r="AM17" i="3" s="1"/>
  <c r="AJ15" i="3"/>
  <c r="AK14" i="3"/>
  <c r="AM14" i="3" s="1"/>
  <c r="AK13" i="3"/>
  <c r="AM13" i="3" s="1"/>
  <c r="AK12" i="3"/>
  <c r="AM12" i="3" s="1"/>
  <c r="AK11" i="3"/>
  <c r="AM11" i="3" s="1"/>
  <c r="AK10" i="3"/>
  <c r="AM10" i="3" s="1"/>
  <c r="AK9" i="3"/>
  <c r="AM9" i="3" s="1"/>
  <c r="AB37" i="3"/>
  <c r="AC36" i="3"/>
  <c r="AE36" i="3" s="1"/>
  <c r="AC35" i="3"/>
  <c r="AE35" i="3" s="1"/>
  <c r="AC34" i="3"/>
  <c r="AE34" i="3" s="1"/>
  <c r="AC33" i="3"/>
  <c r="AE33" i="3" s="1"/>
  <c r="AB31" i="3"/>
  <c r="AC30" i="3"/>
  <c r="AE30" i="3" s="1"/>
  <c r="AC29" i="3"/>
  <c r="AE29" i="3" s="1"/>
  <c r="AC28" i="3"/>
  <c r="AE28" i="3" s="1"/>
  <c r="AC27" i="3"/>
  <c r="AE27" i="3" s="1"/>
  <c r="AB25" i="3"/>
  <c r="AC24" i="3"/>
  <c r="AE24" i="3" s="1"/>
  <c r="AC23" i="3"/>
  <c r="AE23" i="3" s="1"/>
  <c r="AC22" i="3"/>
  <c r="AE22" i="3" s="1"/>
  <c r="AC21" i="3"/>
  <c r="AE21" i="3" s="1"/>
  <c r="AC20" i="3"/>
  <c r="AE20" i="3" s="1"/>
  <c r="AC19" i="3"/>
  <c r="AE19" i="3" s="1"/>
  <c r="AC18" i="3"/>
  <c r="AE18" i="3" s="1"/>
  <c r="AC17" i="3"/>
  <c r="AB15" i="3"/>
  <c r="AC14" i="3"/>
  <c r="AE14" i="3" s="1"/>
  <c r="AC13" i="3"/>
  <c r="AE13" i="3" s="1"/>
  <c r="AC12" i="3"/>
  <c r="AE12" i="3" s="1"/>
  <c r="AC11" i="3"/>
  <c r="AE11" i="3" s="1"/>
  <c r="AC10" i="3"/>
  <c r="AE10" i="3" s="1"/>
  <c r="AC9" i="3"/>
  <c r="T37" i="3"/>
  <c r="S37" i="3"/>
  <c r="U36" i="3"/>
  <c r="W36" i="3" s="1"/>
  <c r="U35" i="3"/>
  <c r="W35" i="3" s="1"/>
  <c r="U34" i="3"/>
  <c r="W34" i="3" s="1"/>
  <c r="U33" i="3"/>
  <c r="W33" i="3" s="1"/>
  <c r="T31" i="3"/>
  <c r="S31" i="3"/>
  <c r="U30" i="3"/>
  <c r="W30" i="3" s="1"/>
  <c r="U29" i="3"/>
  <c r="W29" i="3" s="1"/>
  <c r="U28" i="3"/>
  <c r="U27" i="3"/>
  <c r="W27" i="3" s="1"/>
  <c r="T25" i="3"/>
  <c r="S25" i="3"/>
  <c r="U24" i="3"/>
  <c r="W24" i="3" s="1"/>
  <c r="U23" i="3"/>
  <c r="W23" i="3" s="1"/>
  <c r="U22" i="3"/>
  <c r="W22" i="3" s="1"/>
  <c r="U21" i="3"/>
  <c r="W21" i="3" s="1"/>
  <c r="U20" i="3"/>
  <c r="W20" i="3" s="1"/>
  <c r="U19" i="3"/>
  <c r="W19" i="3" s="1"/>
  <c r="U18" i="3"/>
  <c r="W18" i="3" s="1"/>
  <c r="U17" i="3"/>
  <c r="W17" i="3" s="1"/>
  <c r="T15" i="3"/>
  <c r="S15" i="3"/>
  <c r="U14" i="3"/>
  <c r="W14" i="3" s="1"/>
  <c r="U13" i="3"/>
  <c r="W13" i="3" s="1"/>
  <c r="U12" i="3"/>
  <c r="W12" i="3" s="1"/>
  <c r="U11" i="3"/>
  <c r="W11" i="3" s="1"/>
  <c r="U10" i="3"/>
  <c r="W10" i="3" s="1"/>
  <c r="U9" i="3"/>
  <c r="W9" i="3" s="1"/>
  <c r="L37" i="3"/>
  <c r="K37" i="3"/>
  <c r="M36" i="3"/>
  <c r="O36" i="3" s="1"/>
  <c r="M35" i="3"/>
  <c r="O35" i="3" s="1"/>
  <c r="M34" i="3"/>
  <c r="O34" i="3" s="1"/>
  <c r="M33" i="3"/>
  <c r="L31" i="3"/>
  <c r="K31" i="3"/>
  <c r="M30" i="3"/>
  <c r="O30" i="3" s="1"/>
  <c r="M29" i="3"/>
  <c r="O29" i="3" s="1"/>
  <c r="M28" i="3"/>
  <c r="O28" i="3" s="1"/>
  <c r="M27" i="3"/>
  <c r="L25" i="3"/>
  <c r="K25" i="3"/>
  <c r="M24" i="3"/>
  <c r="O24" i="3" s="1"/>
  <c r="M23" i="3"/>
  <c r="O23" i="3" s="1"/>
  <c r="M22" i="3"/>
  <c r="O22" i="3" s="1"/>
  <c r="M21" i="3"/>
  <c r="O21" i="3" s="1"/>
  <c r="M20" i="3"/>
  <c r="O20" i="3" s="1"/>
  <c r="M19" i="3"/>
  <c r="O19" i="3" s="1"/>
  <c r="M18" i="3"/>
  <c r="O18" i="3" s="1"/>
  <c r="M17" i="3"/>
  <c r="L15" i="3"/>
  <c r="K15" i="3"/>
  <c r="M14" i="3"/>
  <c r="O14" i="3" s="1"/>
  <c r="M13" i="3"/>
  <c r="O13" i="3" s="1"/>
  <c r="M12" i="3"/>
  <c r="O12" i="3" s="1"/>
  <c r="M11" i="3"/>
  <c r="O11" i="3" s="1"/>
  <c r="M10" i="3"/>
  <c r="O10" i="3" s="1"/>
  <c r="M9" i="3"/>
  <c r="O9" i="3" s="1"/>
  <c r="D37" i="3"/>
  <c r="C37" i="3"/>
  <c r="E36" i="3"/>
  <c r="G36" i="3" s="1"/>
  <c r="E35" i="3"/>
  <c r="G35" i="3" s="1"/>
  <c r="E34" i="3"/>
  <c r="G34" i="3" s="1"/>
  <c r="E33" i="3"/>
  <c r="G33" i="3" s="1"/>
  <c r="D31" i="3"/>
  <c r="C31" i="3"/>
  <c r="E30" i="3"/>
  <c r="G30" i="3" s="1"/>
  <c r="E29" i="3"/>
  <c r="G29" i="3" s="1"/>
  <c r="E28" i="3"/>
  <c r="E27" i="3"/>
  <c r="G27" i="3" s="1"/>
  <c r="D25" i="3"/>
  <c r="C25" i="3"/>
  <c r="E24" i="3"/>
  <c r="G24" i="3" s="1"/>
  <c r="E23" i="3"/>
  <c r="G23" i="3" s="1"/>
  <c r="E22" i="3"/>
  <c r="G22" i="3" s="1"/>
  <c r="E21" i="3"/>
  <c r="G21" i="3" s="1"/>
  <c r="E20" i="3"/>
  <c r="G20" i="3" s="1"/>
  <c r="E19" i="3"/>
  <c r="G19" i="3" s="1"/>
  <c r="E18" i="3"/>
  <c r="E17" i="3"/>
  <c r="G17" i="3" s="1"/>
  <c r="D15" i="3"/>
  <c r="C15" i="3"/>
  <c r="E14" i="3"/>
  <c r="G14" i="3" s="1"/>
  <c r="E13" i="3"/>
  <c r="G13" i="3" s="1"/>
  <c r="E12" i="3"/>
  <c r="G12" i="3" s="1"/>
  <c r="E11" i="3"/>
  <c r="G11" i="3" s="1"/>
  <c r="E10" i="3"/>
  <c r="G10" i="3" s="1"/>
  <c r="E9" i="3"/>
  <c r="G9" i="3" s="1"/>
  <c r="DU48" i="1"/>
  <c r="DM48" i="1"/>
  <c r="DL48" i="1"/>
  <c r="DU47" i="1"/>
  <c r="DM47" i="1"/>
  <c r="DL47" i="1"/>
  <c r="DU46" i="1"/>
  <c r="DM46" i="1"/>
  <c r="DL46" i="1"/>
  <c r="DT45" i="1"/>
  <c r="DS45" i="1"/>
  <c r="DR45" i="1"/>
  <c r="DQ45" i="1"/>
  <c r="DP45" i="1"/>
  <c r="DO45" i="1"/>
  <c r="DU45" i="1" s="1"/>
  <c r="DN45" i="1"/>
  <c r="DK45" i="1"/>
  <c r="DJ45" i="1"/>
  <c r="DI45" i="1"/>
  <c r="DH45" i="1"/>
  <c r="DG45" i="1"/>
  <c r="DF45" i="1"/>
  <c r="DE45" i="1"/>
  <c r="DM45" i="1" s="1"/>
  <c r="DD45" i="1"/>
  <c r="DL45" i="1" s="1"/>
  <c r="DU44" i="1"/>
  <c r="DM44" i="1"/>
  <c r="DL44" i="1"/>
  <c r="DT43" i="1"/>
  <c r="DS43" i="1"/>
  <c r="DR43" i="1"/>
  <c r="DQ43" i="1"/>
  <c r="DP43" i="1"/>
  <c r="DO43" i="1"/>
  <c r="DN43" i="1"/>
  <c r="DU43" i="1" s="1"/>
  <c r="DK43" i="1"/>
  <c r="DJ43" i="1"/>
  <c r="DI43" i="1"/>
  <c r="DH43" i="1"/>
  <c r="DG43" i="1"/>
  <c r="DF43" i="1"/>
  <c r="DE43" i="1"/>
  <c r="DD43" i="1"/>
  <c r="DM43" i="1" s="1"/>
  <c r="DU42" i="1"/>
  <c r="DM42" i="1"/>
  <c r="DL42" i="1"/>
  <c r="DT41" i="1"/>
  <c r="DS41" i="1"/>
  <c r="DR41" i="1"/>
  <c r="DQ41" i="1"/>
  <c r="DU41" i="1" s="1"/>
  <c r="DP41" i="1"/>
  <c r="DO41" i="1"/>
  <c r="DN41" i="1"/>
  <c r="DK41" i="1"/>
  <c r="DJ41" i="1"/>
  <c r="DI41" i="1"/>
  <c r="DH41" i="1"/>
  <c r="DG41" i="1"/>
  <c r="DF41" i="1"/>
  <c r="DE41" i="1"/>
  <c r="DM41" i="1" s="1"/>
  <c r="DD41" i="1"/>
  <c r="DL41" i="1" s="1"/>
  <c r="DU40" i="1"/>
  <c r="DM40" i="1"/>
  <c r="DL40" i="1"/>
  <c r="DU39" i="1"/>
  <c r="DM39" i="1"/>
  <c r="DL39" i="1"/>
  <c r="DT38" i="1"/>
  <c r="DS38" i="1"/>
  <c r="DR38" i="1"/>
  <c r="DQ38" i="1"/>
  <c r="DU38" i="1" s="1"/>
  <c r="DP38" i="1"/>
  <c r="DO38" i="1"/>
  <c r="DN38" i="1"/>
  <c r="DM38" i="1"/>
  <c r="DK38" i="1"/>
  <c r="DJ38" i="1"/>
  <c r="DI38" i="1"/>
  <c r="DH38" i="1"/>
  <c r="DG38" i="1"/>
  <c r="DF38" i="1"/>
  <c r="DE38" i="1"/>
  <c r="DD38" i="1"/>
  <c r="DL38" i="1" s="1"/>
  <c r="DU37" i="1"/>
  <c r="DM37" i="1"/>
  <c r="DL37" i="1"/>
  <c r="DU36" i="1"/>
  <c r="DM36" i="1"/>
  <c r="DL36" i="1"/>
  <c r="DT35" i="1"/>
  <c r="DS35" i="1"/>
  <c r="DR35" i="1"/>
  <c r="DQ35" i="1"/>
  <c r="DU35" i="1" s="1"/>
  <c r="DP35" i="1"/>
  <c r="DO35" i="1"/>
  <c r="DN35" i="1"/>
  <c r="DM35" i="1"/>
  <c r="DK35" i="1"/>
  <c r="DJ35" i="1"/>
  <c r="DI35" i="1"/>
  <c r="DH35" i="1"/>
  <c r="DG35" i="1"/>
  <c r="DF35" i="1"/>
  <c r="DE35" i="1"/>
  <c r="DD35" i="1"/>
  <c r="DL35" i="1" s="1"/>
  <c r="DU34" i="1"/>
  <c r="DM34" i="1"/>
  <c r="DL34" i="1"/>
  <c r="DT33" i="1"/>
  <c r="DS33" i="1"/>
  <c r="DR33" i="1"/>
  <c r="DQ33" i="1"/>
  <c r="DP33" i="1"/>
  <c r="DO33" i="1"/>
  <c r="DN33" i="1"/>
  <c r="DU33" i="1" s="1"/>
  <c r="DK33" i="1"/>
  <c r="DJ33" i="1"/>
  <c r="DI33" i="1"/>
  <c r="DH33" i="1"/>
  <c r="DG33" i="1"/>
  <c r="DF33" i="1"/>
  <c r="DE33" i="1"/>
  <c r="DD33" i="1"/>
  <c r="DM33" i="1" s="1"/>
  <c r="DU32" i="1"/>
  <c r="DM32" i="1"/>
  <c r="DL32" i="1"/>
  <c r="DU31" i="1"/>
  <c r="DM31" i="1"/>
  <c r="DL31" i="1"/>
  <c r="DU30" i="1"/>
  <c r="DM30" i="1"/>
  <c r="DL30" i="1"/>
  <c r="DT29" i="1"/>
  <c r="DS29" i="1"/>
  <c r="DR29" i="1"/>
  <c r="DQ29" i="1"/>
  <c r="DU29" i="1" s="1"/>
  <c r="DP29" i="1"/>
  <c r="DO29" i="1"/>
  <c r="DN29" i="1"/>
  <c r="DK29" i="1"/>
  <c r="DJ29" i="1"/>
  <c r="DI29" i="1"/>
  <c r="DM29" i="1" s="1"/>
  <c r="DH29" i="1"/>
  <c r="DG29" i="1"/>
  <c r="DF29" i="1"/>
  <c r="DE29" i="1"/>
  <c r="DD29" i="1"/>
  <c r="DL29" i="1" s="1"/>
  <c r="DU28" i="1"/>
  <c r="DM28" i="1"/>
  <c r="DL28" i="1"/>
  <c r="DU27" i="1"/>
  <c r="DM27" i="1"/>
  <c r="DL27" i="1"/>
  <c r="DU26" i="1"/>
  <c r="DM26" i="1"/>
  <c r="DL26" i="1"/>
  <c r="DU25" i="1"/>
  <c r="DM25" i="1"/>
  <c r="DL25" i="1"/>
  <c r="DU24" i="1"/>
  <c r="DM24" i="1"/>
  <c r="DL24" i="1"/>
  <c r="DU23" i="1"/>
  <c r="DM23" i="1"/>
  <c r="DL23" i="1"/>
  <c r="DT22" i="1"/>
  <c r="DS22" i="1"/>
  <c r="DR22" i="1"/>
  <c r="DQ22" i="1"/>
  <c r="DU22" i="1" s="1"/>
  <c r="DP22" i="1"/>
  <c r="DO22" i="1"/>
  <c r="DN22" i="1"/>
  <c r="DM22" i="1"/>
  <c r="DK22" i="1"/>
  <c r="DJ22" i="1"/>
  <c r="DI22" i="1"/>
  <c r="DH22" i="1"/>
  <c r="DG22" i="1"/>
  <c r="DF22" i="1"/>
  <c r="DE22" i="1"/>
  <c r="DD22" i="1"/>
  <c r="DL22" i="1" s="1"/>
  <c r="DU20" i="1"/>
  <c r="DM20" i="1"/>
  <c r="DL20" i="1"/>
  <c r="DU19" i="1"/>
  <c r="DM19" i="1"/>
  <c r="DL19" i="1"/>
  <c r="DT18" i="1"/>
  <c r="DT21" i="1" s="1"/>
  <c r="DS18" i="1"/>
  <c r="DS21" i="1" s="1"/>
  <c r="DR18" i="1"/>
  <c r="DR21" i="1" s="1"/>
  <c r="DQ18" i="1"/>
  <c r="DQ21" i="1" s="1"/>
  <c r="DP18" i="1"/>
  <c r="DP21" i="1" s="1"/>
  <c r="DO18" i="1"/>
  <c r="DU18" i="1" s="1"/>
  <c r="DN18" i="1"/>
  <c r="DN21" i="1" s="1"/>
  <c r="DK18" i="1"/>
  <c r="DK21" i="1" s="1"/>
  <c r="DJ18" i="1"/>
  <c r="DJ21" i="1" s="1"/>
  <c r="DI18" i="1"/>
  <c r="DI21" i="1" s="1"/>
  <c r="DH18" i="1"/>
  <c r="DH21" i="1" s="1"/>
  <c r="DG18" i="1"/>
  <c r="DG21" i="1" s="1"/>
  <c r="DF18" i="1"/>
  <c r="DF21" i="1" s="1"/>
  <c r="DE18" i="1"/>
  <c r="DE21" i="1" s="1"/>
  <c r="DD18" i="1"/>
  <c r="DD21" i="1" s="1"/>
  <c r="DU17" i="1"/>
  <c r="DM17" i="1"/>
  <c r="DL17" i="1"/>
  <c r="DU16" i="1"/>
  <c r="DM16" i="1"/>
  <c r="DL16" i="1"/>
  <c r="DU15" i="1"/>
  <c r="DM15" i="1"/>
  <c r="DL15" i="1"/>
  <c r="DU14" i="1"/>
  <c r="DM14" i="1"/>
  <c r="DL14" i="1"/>
  <c r="DU13" i="1"/>
  <c r="DM13" i="1"/>
  <c r="DL13" i="1"/>
  <c r="DT12" i="1"/>
  <c r="DT49" i="1" s="1"/>
  <c r="DS12" i="1"/>
  <c r="DR12" i="1"/>
  <c r="DQ12" i="1"/>
  <c r="DP12" i="1"/>
  <c r="DP49" i="1" s="1"/>
  <c r="DO12" i="1"/>
  <c r="DN12" i="1"/>
  <c r="DU12" i="1" s="1"/>
  <c r="DK12" i="1"/>
  <c r="DJ12" i="1"/>
  <c r="DI12" i="1"/>
  <c r="DH12" i="1"/>
  <c r="DH49" i="1" s="1"/>
  <c r="DH53" i="1" s="1"/>
  <c r="DG12" i="1"/>
  <c r="DF12" i="1"/>
  <c r="DE12" i="1"/>
  <c r="DD12" i="1"/>
  <c r="DM12" i="1" s="1"/>
  <c r="DU11" i="1"/>
  <c r="DM11" i="1"/>
  <c r="DL11" i="1"/>
  <c r="DT10" i="1"/>
  <c r="DS10" i="1"/>
  <c r="DS49" i="1" s="1"/>
  <c r="DR10" i="1"/>
  <c r="DR49" i="1" s="1"/>
  <c r="DQ10" i="1"/>
  <c r="DU10" i="1" s="1"/>
  <c r="DP10" i="1"/>
  <c r="DO10" i="1"/>
  <c r="DO49" i="1" s="1"/>
  <c r="DN10" i="1"/>
  <c r="DN49" i="1" s="1"/>
  <c r="DM10" i="1"/>
  <c r="DK10" i="1"/>
  <c r="DK49" i="1" s="1"/>
  <c r="DK53" i="1" s="1"/>
  <c r="DJ10" i="1"/>
  <c r="DJ49" i="1" s="1"/>
  <c r="DJ53" i="1" s="1"/>
  <c r="DI10" i="1"/>
  <c r="DI49" i="1" s="1"/>
  <c r="DI53" i="1" s="1"/>
  <c r="DH10" i="1"/>
  <c r="DG10" i="1"/>
  <c r="DG49" i="1" s="1"/>
  <c r="DG53" i="1" s="1"/>
  <c r="DF10" i="1"/>
  <c r="DF49" i="1" s="1"/>
  <c r="DF53" i="1" s="1"/>
  <c r="DE10" i="1"/>
  <c r="DE49" i="1" s="1"/>
  <c r="DE53" i="1" s="1"/>
  <c r="DD10" i="1"/>
  <c r="DL10" i="1" s="1"/>
  <c r="CZ48" i="1"/>
  <c r="CR48" i="1"/>
  <c r="CQ48" i="1"/>
  <c r="CZ47" i="1"/>
  <c r="CR47" i="1"/>
  <c r="CQ47" i="1"/>
  <c r="CZ46" i="1"/>
  <c r="CR46" i="1"/>
  <c r="CQ46" i="1"/>
  <c r="CY45" i="1"/>
  <c r="CX45" i="1"/>
  <c r="CW45" i="1"/>
  <c r="CV45" i="1"/>
  <c r="CU45" i="1"/>
  <c r="CT45" i="1"/>
  <c r="CS45" i="1"/>
  <c r="CZ45" i="1" s="1"/>
  <c r="CP45" i="1"/>
  <c r="CO45" i="1"/>
  <c r="CN45" i="1"/>
  <c r="CM45" i="1"/>
  <c r="CL45" i="1"/>
  <c r="CK45" i="1"/>
  <c r="CJ45" i="1"/>
  <c r="CI45" i="1"/>
  <c r="CR45" i="1" s="1"/>
  <c r="CZ44" i="1"/>
  <c r="CR44" i="1"/>
  <c r="CQ44" i="1"/>
  <c r="CY43" i="1"/>
  <c r="CX43" i="1"/>
  <c r="CW43" i="1"/>
  <c r="CV43" i="1"/>
  <c r="CU43" i="1"/>
  <c r="CZ43" i="1" s="1"/>
  <c r="CT43" i="1"/>
  <c r="CS43" i="1"/>
  <c r="CP43" i="1"/>
  <c r="CO43" i="1"/>
  <c r="CN43" i="1"/>
  <c r="CM43" i="1"/>
  <c r="CL43" i="1"/>
  <c r="CK43" i="1"/>
  <c r="CJ43" i="1"/>
  <c r="CI43" i="1"/>
  <c r="CQ43" i="1" s="1"/>
  <c r="CZ42" i="1"/>
  <c r="CR42" i="1"/>
  <c r="CQ42" i="1"/>
  <c r="CZ41" i="1"/>
  <c r="CY41" i="1"/>
  <c r="CX41" i="1"/>
  <c r="CW41" i="1"/>
  <c r="CV41" i="1"/>
  <c r="CU41" i="1"/>
  <c r="CT41" i="1"/>
  <c r="CS41" i="1"/>
  <c r="CR41" i="1"/>
  <c r="CP41" i="1"/>
  <c r="CO41" i="1"/>
  <c r="CN41" i="1"/>
  <c r="CM41" i="1"/>
  <c r="CL41" i="1"/>
  <c r="CK41" i="1"/>
  <c r="CJ41" i="1"/>
  <c r="CI41" i="1"/>
  <c r="CQ41" i="1" s="1"/>
  <c r="CZ40" i="1"/>
  <c r="CR40" i="1"/>
  <c r="CQ40" i="1"/>
  <c r="CZ39" i="1"/>
  <c r="CR39" i="1"/>
  <c r="CQ39" i="1"/>
  <c r="CY38" i="1"/>
  <c r="CX38" i="1"/>
  <c r="CW38" i="1"/>
  <c r="CV38" i="1"/>
  <c r="CZ38" i="1" s="1"/>
  <c r="CU38" i="1"/>
  <c r="CT38" i="1"/>
  <c r="CS38" i="1"/>
  <c r="CR38" i="1"/>
  <c r="CP38" i="1"/>
  <c r="CO38" i="1"/>
  <c r="CN38" i="1"/>
  <c r="CM38" i="1"/>
  <c r="CL38" i="1"/>
  <c r="CK38" i="1"/>
  <c r="CJ38" i="1"/>
  <c r="CI38" i="1"/>
  <c r="CQ38" i="1" s="1"/>
  <c r="CZ37" i="1"/>
  <c r="CR37" i="1"/>
  <c r="CQ37" i="1"/>
  <c r="CZ36" i="1"/>
  <c r="CR36" i="1"/>
  <c r="CQ36" i="1"/>
  <c r="CY35" i="1"/>
  <c r="CX35" i="1"/>
  <c r="CW35" i="1"/>
  <c r="CV35" i="1"/>
  <c r="CZ35" i="1" s="1"/>
  <c r="CU35" i="1"/>
  <c r="CT35" i="1"/>
  <c r="CS35" i="1"/>
  <c r="CR35" i="1"/>
  <c r="CP35" i="1"/>
  <c r="CO35" i="1"/>
  <c r="CN35" i="1"/>
  <c r="CM35" i="1"/>
  <c r="CL35" i="1"/>
  <c r="CK35" i="1"/>
  <c r="CJ35" i="1"/>
  <c r="CI35" i="1"/>
  <c r="CQ35" i="1" s="1"/>
  <c r="CZ34" i="1"/>
  <c r="CR34" i="1"/>
  <c r="CQ34" i="1"/>
  <c r="CY33" i="1"/>
  <c r="CX33" i="1"/>
  <c r="CW33" i="1"/>
  <c r="CV33" i="1"/>
  <c r="CU33" i="1"/>
  <c r="CT33" i="1"/>
  <c r="CS33" i="1"/>
  <c r="CZ33" i="1" s="1"/>
  <c r="CP33" i="1"/>
  <c r="CO33" i="1"/>
  <c r="CN33" i="1"/>
  <c r="CM33" i="1"/>
  <c r="CL33" i="1"/>
  <c r="CK33" i="1"/>
  <c r="CJ33" i="1"/>
  <c r="CI33" i="1"/>
  <c r="CR33" i="1" s="1"/>
  <c r="CZ32" i="1"/>
  <c r="CR32" i="1"/>
  <c r="CQ32" i="1"/>
  <c r="CZ31" i="1"/>
  <c r="CR31" i="1"/>
  <c r="CQ31" i="1"/>
  <c r="CZ30" i="1"/>
  <c r="CR30" i="1"/>
  <c r="CQ30" i="1"/>
  <c r="CY29" i="1"/>
  <c r="CX29" i="1"/>
  <c r="CW29" i="1"/>
  <c r="CV29" i="1"/>
  <c r="CZ29" i="1" s="1"/>
  <c r="CU29" i="1"/>
  <c r="CT29" i="1"/>
  <c r="CS29" i="1"/>
  <c r="CR29" i="1"/>
  <c r="CP29" i="1"/>
  <c r="CO29" i="1"/>
  <c r="CN29" i="1"/>
  <c r="CM29" i="1"/>
  <c r="CL29" i="1"/>
  <c r="CK29" i="1"/>
  <c r="CJ29" i="1"/>
  <c r="CI29" i="1"/>
  <c r="CQ29" i="1" s="1"/>
  <c r="CZ28" i="1"/>
  <c r="CR28" i="1"/>
  <c r="CQ28" i="1"/>
  <c r="CZ27" i="1"/>
  <c r="CR27" i="1"/>
  <c r="CQ27" i="1"/>
  <c r="CZ26" i="1"/>
  <c r="CR26" i="1"/>
  <c r="CQ26" i="1"/>
  <c r="CZ25" i="1"/>
  <c r="CR25" i="1"/>
  <c r="CQ25" i="1"/>
  <c r="CZ24" i="1"/>
  <c r="CR24" i="1"/>
  <c r="CQ24" i="1"/>
  <c r="CZ23" i="1"/>
  <c r="CR23" i="1"/>
  <c r="CQ23" i="1"/>
  <c r="CY22" i="1"/>
  <c r="CX22" i="1"/>
  <c r="CW22" i="1"/>
  <c r="CV22" i="1"/>
  <c r="CZ22" i="1" s="1"/>
  <c r="CU22" i="1"/>
  <c r="CT22" i="1"/>
  <c r="CS22" i="1"/>
  <c r="CR22" i="1"/>
  <c r="CP22" i="1"/>
  <c r="CO22" i="1"/>
  <c r="CN22" i="1"/>
  <c r="CM22" i="1"/>
  <c r="CL22" i="1"/>
  <c r="CK22" i="1"/>
  <c r="CJ22" i="1"/>
  <c r="CI22" i="1"/>
  <c r="CQ22" i="1" s="1"/>
  <c r="CZ20" i="1"/>
  <c r="CR20" i="1"/>
  <c r="CQ20" i="1"/>
  <c r="CZ19" i="1"/>
  <c r="CR19" i="1"/>
  <c r="CQ19" i="1"/>
  <c r="CY18" i="1"/>
  <c r="CY21" i="1" s="1"/>
  <c r="CX18" i="1"/>
  <c r="CX21" i="1" s="1"/>
  <c r="CW18" i="1"/>
  <c r="CW21" i="1" s="1"/>
  <c r="CV18" i="1"/>
  <c r="CV21" i="1" s="1"/>
  <c r="CU18" i="1"/>
  <c r="CU21" i="1" s="1"/>
  <c r="CT18" i="1"/>
  <c r="CT21" i="1" s="1"/>
  <c r="CS18" i="1"/>
  <c r="CS21" i="1" s="1"/>
  <c r="CZ21" i="1" s="1"/>
  <c r="CP18" i="1"/>
  <c r="CP21" i="1" s="1"/>
  <c r="CO18" i="1"/>
  <c r="CO21" i="1" s="1"/>
  <c r="CN18" i="1"/>
  <c r="CN21" i="1" s="1"/>
  <c r="CM18" i="1"/>
  <c r="CM21" i="1" s="1"/>
  <c r="CL18" i="1"/>
  <c r="CL21" i="1" s="1"/>
  <c r="CK18" i="1"/>
  <c r="CK21" i="1" s="1"/>
  <c r="CJ18" i="1"/>
  <c r="CJ21" i="1" s="1"/>
  <c r="CI18" i="1"/>
  <c r="CR18" i="1" s="1"/>
  <c r="CZ17" i="1"/>
  <c r="CR17" i="1"/>
  <c r="CQ17" i="1"/>
  <c r="CZ16" i="1"/>
  <c r="CR16" i="1"/>
  <c r="CQ16" i="1"/>
  <c r="CZ15" i="1"/>
  <c r="CR15" i="1"/>
  <c r="CQ15" i="1"/>
  <c r="CZ14" i="1"/>
  <c r="CR14" i="1"/>
  <c r="CQ14" i="1"/>
  <c r="CZ13" i="1"/>
  <c r="CR13" i="1"/>
  <c r="CQ13" i="1"/>
  <c r="CY12" i="1"/>
  <c r="CY49" i="1" s="1"/>
  <c r="CX12" i="1"/>
  <c r="CW12" i="1"/>
  <c r="CV12" i="1"/>
  <c r="CU12" i="1"/>
  <c r="CU49" i="1" s="1"/>
  <c r="CT12" i="1"/>
  <c r="CS12" i="1"/>
  <c r="CP12" i="1"/>
  <c r="CO12" i="1"/>
  <c r="CN12" i="1"/>
  <c r="CM12" i="1"/>
  <c r="CM49" i="1" s="1"/>
  <c r="CM53" i="1" s="1"/>
  <c r="CL12" i="1"/>
  <c r="CK12" i="1"/>
  <c r="CJ12" i="1"/>
  <c r="CI12" i="1"/>
  <c r="CI49" i="1" s="1"/>
  <c r="CI53" i="1" s="1"/>
  <c r="CZ11" i="1"/>
  <c r="CR11" i="1"/>
  <c r="CQ11" i="1"/>
  <c r="CY10" i="1"/>
  <c r="CX10" i="1"/>
  <c r="CX49" i="1" s="1"/>
  <c r="CW10" i="1"/>
  <c r="CW49" i="1" s="1"/>
  <c r="CV10" i="1"/>
  <c r="CZ10" i="1" s="1"/>
  <c r="CU10" i="1"/>
  <c r="CT10" i="1"/>
  <c r="CT49" i="1" s="1"/>
  <c r="CS10" i="1"/>
  <c r="CS49" i="1" s="1"/>
  <c r="CR10" i="1"/>
  <c r="CP10" i="1"/>
  <c r="CP49" i="1" s="1"/>
  <c r="CP53" i="1" s="1"/>
  <c r="CO10" i="1"/>
  <c r="CO49" i="1" s="1"/>
  <c r="CO53" i="1" s="1"/>
  <c r="CN10" i="1"/>
  <c r="CN49" i="1" s="1"/>
  <c r="CN53" i="1" s="1"/>
  <c r="CM10" i="1"/>
  <c r="CL10" i="1"/>
  <c r="CL49" i="1" s="1"/>
  <c r="CL53" i="1" s="1"/>
  <c r="CK10" i="1"/>
  <c r="CK49" i="1" s="1"/>
  <c r="CK53" i="1" s="1"/>
  <c r="CJ10" i="1"/>
  <c r="CJ49" i="1" s="1"/>
  <c r="CJ53" i="1" s="1"/>
  <c r="CI10" i="1"/>
  <c r="CQ10" i="1" s="1"/>
  <c r="CE48" i="1"/>
  <c r="BW48" i="1"/>
  <c r="BV48" i="1"/>
  <c r="CE47" i="1"/>
  <c r="BW47" i="1"/>
  <c r="BV47" i="1"/>
  <c r="CE46" i="1"/>
  <c r="BW46" i="1"/>
  <c r="BV46" i="1"/>
  <c r="CD45" i="1"/>
  <c r="CC45" i="1"/>
  <c r="CB45" i="1"/>
  <c r="CA45" i="1"/>
  <c r="BZ45" i="1"/>
  <c r="BY45" i="1"/>
  <c r="BX45" i="1"/>
  <c r="CE45" i="1" s="1"/>
  <c r="BU45" i="1"/>
  <c r="BT45" i="1"/>
  <c r="BS45" i="1"/>
  <c r="BR45" i="1"/>
  <c r="BQ45" i="1"/>
  <c r="BP45" i="1"/>
  <c r="BO45" i="1"/>
  <c r="BN45" i="1"/>
  <c r="BW45" i="1" s="1"/>
  <c r="CE44" i="1"/>
  <c r="BW44" i="1"/>
  <c r="BV44" i="1"/>
  <c r="CD43" i="1"/>
  <c r="CC43" i="1"/>
  <c r="CB43" i="1"/>
  <c r="CA43" i="1"/>
  <c r="BZ43" i="1"/>
  <c r="CE43" i="1" s="1"/>
  <c r="BY43" i="1"/>
  <c r="BX43" i="1"/>
  <c r="BU43" i="1"/>
  <c r="BT43" i="1"/>
  <c r="BS43" i="1"/>
  <c r="BR43" i="1"/>
  <c r="BQ43" i="1"/>
  <c r="BP43" i="1"/>
  <c r="BO43" i="1"/>
  <c r="BN43" i="1"/>
  <c r="BV43" i="1" s="1"/>
  <c r="CE42" i="1"/>
  <c r="BW42" i="1"/>
  <c r="BV42" i="1"/>
  <c r="CE41" i="1"/>
  <c r="CD41" i="1"/>
  <c r="CC41" i="1"/>
  <c r="CB41" i="1"/>
  <c r="CA41" i="1"/>
  <c r="BZ41" i="1"/>
  <c r="BY41" i="1"/>
  <c r="BX41" i="1"/>
  <c r="BW41" i="1"/>
  <c r="BU41" i="1"/>
  <c r="BT41" i="1"/>
  <c r="BS41" i="1"/>
  <c r="BR41" i="1"/>
  <c r="BQ41" i="1"/>
  <c r="BP41" i="1"/>
  <c r="BO41" i="1"/>
  <c r="BN41" i="1"/>
  <c r="BV41" i="1" s="1"/>
  <c r="CE40" i="1"/>
  <c r="BW40" i="1"/>
  <c r="BV40" i="1"/>
  <c r="CE39" i="1"/>
  <c r="BW39" i="1"/>
  <c r="BV39" i="1"/>
  <c r="CD38" i="1"/>
  <c r="CC38" i="1"/>
  <c r="CB38" i="1"/>
  <c r="CA38" i="1"/>
  <c r="CE38" i="1" s="1"/>
  <c r="BZ38" i="1"/>
  <c r="BY38" i="1"/>
  <c r="BX38" i="1"/>
  <c r="BW38" i="1"/>
  <c r="BU38" i="1"/>
  <c r="BT38" i="1"/>
  <c r="BS38" i="1"/>
  <c r="BR38" i="1"/>
  <c r="BQ38" i="1"/>
  <c r="BP38" i="1"/>
  <c r="BO38" i="1"/>
  <c r="BN38" i="1"/>
  <c r="BV38" i="1" s="1"/>
  <c r="CE37" i="1"/>
  <c r="BW37" i="1"/>
  <c r="BV37" i="1"/>
  <c r="CE36" i="1"/>
  <c r="BW36" i="1"/>
  <c r="BV36" i="1"/>
  <c r="CD35" i="1"/>
  <c r="CC35" i="1"/>
  <c r="CB35" i="1"/>
  <c r="CA35" i="1"/>
  <c r="CE35" i="1" s="1"/>
  <c r="BZ35" i="1"/>
  <c r="BY35" i="1"/>
  <c r="BX35" i="1"/>
  <c r="BU35" i="1"/>
  <c r="BT35" i="1"/>
  <c r="BS35" i="1"/>
  <c r="BR35" i="1"/>
  <c r="BQ35" i="1"/>
  <c r="BP35" i="1"/>
  <c r="BO35" i="1"/>
  <c r="BW35" i="1" s="1"/>
  <c r="BN35" i="1"/>
  <c r="BV35" i="1" s="1"/>
  <c r="CE34" i="1"/>
  <c r="BW34" i="1"/>
  <c r="BV34" i="1"/>
  <c r="CD33" i="1"/>
  <c r="CC33" i="1"/>
  <c r="CB33" i="1"/>
  <c r="CA33" i="1"/>
  <c r="BZ33" i="1"/>
  <c r="BY33" i="1"/>
  <c r="BX33" i="1"/>
  <c r="CE33" i="1" s="1"/>
  <c r="BU33" i="1"/>
  <c r="BT33" i="1"/>
  <c r="BS33" i="1"/>
  <c r="BR33" i="1"/>
  <c r="BQ33" i="1"/>
  <c r="BP33" i="1"/>
  <c r="BO33" i="1"/>
  <c r="BN33" i="1"/>
  <c r="BW33" i="1" s="1"/>
  <c r="CE32" i="1"/>
  <c r="BW32" i="1"/>
  <c r="BV32" i="1"/>
  <c r="CE31" i="1"/>
  <c r="BW31" i="1"/>
  <c r="BV31" i="1"/>
  <c r="CE30" i="1"/>
  <c r="BW30" i="1"/>
  <c r="BV30" i="1"/>
  <c r="CD29" i="1"/>
  <c r="CC29" i="1"/>
  <c r="CB29" i="1"/>
  <c r="CA29" i="1"/>
  <c r="CE29" i="1" s="1"/>
  <c r="BZ29" i="1"/>
  <c r="BY29" i="1"/>
  <c r="BX29" i="1"/>
  <c r="BU29" i="1"/>
  <c r="BT29" i="1"/>
  <c r="BS29" i="1"/>
  <c r="BR29" i="1"/>
  <c r="BQ29" i="1"/>
  <c r="BP29" i="1"/>
  <c r="BO29" i="1"/>
  <c r="BW29" i="1" s="1"/>
  <c r="BN29" i="1"/>
  <c r="BV29" i="1" s="1"/>
  <c r="CE28" i="1"/>
  <c r="BW28" i="1"/>
  <c r="BV28" i="1"/>
  <c r="CE27" i="1"/>
  <c r="BW27" i="1"/>
  <c r="BV27" i="1"/>
  <c r="CE26" i="1"/>
  <c r="BW26" i="1"/>
  <c r="BV26" i="1"/>
  <c r="CE25" i="1"/>
  <c r="BW25" i="1"/>
  <c r="BV25" i="1"/>
  <c r="CE24" i="1"/>
  <c r="BW24" i="1"/>
  <c r="BV24" i="1"/>
  <c r="CE23" i="1"/>
  <c r="BW23" i="1"/>
  <c r="BV23" i="1"/>
  <c r="CD22" i="1"/>
  <c r="CC22" i="1"/>
  <c r="CB22" i="1"/>
  <c r="CA22" i="1"/>
  <c r="CE22" i="1" s="1"/>
  <c r="BZ22" i="1"/>
  <c r="BY22" i="1"/>
  <c r="BX22" i="1"/>
  <c r="BU22" i="1"/>
  <c r="BT22" i="1"/>
  <c r="BS22" i="1"/>
  <c r="BR22" i="1"/>
  <c r="BQ22" i="1"/>
  <c r="BP22" i="1"/>
  <c r="BO22" i="1"/>
  <c r="BW22" i="1" s="1"/>
  <c r="BN22" i="1"/>
  <c r="BV22" i="1" s="1"/>
  <c r="CE20" i="1"/>
  <c r="BW20" i="1"/>
  <c r="BV20" i="1"/>
  <c r="CE19" i="1"/>
  <c r="BW19" i="1"/>
  <c r="BV19" i="1"/>
  <c r="CD18" i="1"/>
  <c r="CD21" i="1" s="1"/>
  <c r="CC18" i="1"/>
  <c r="CC21" i="1" s="1"/>
  <c r="CB18" i="1"/>
  <c r="CB21" i="1" s="1"/>
  <c r="CA18" i="1"/>
  <c r="CA21" i="1" s="1"/>
  <c r="BZ18" i="1"/>
  <c r="BZ21" i="1" s="1"/>
  <c r="BY18" i="1"/>
  <c r="CE18" i="1" s="1"/>
  <c r="BX18" i="1"/>
  <c r="BX21" i="1" s="1"/>
  <c r="BU18" i="1"/>
  <c r="BU21" i="1" s="1"/>
  <c r="BT18" i="1"/>
  <c r="BT21" i="1" s="1"/>
  <c r="BS18" i="1"/>
  <c r="BS21" i="1" s="1"/>
  <c r="BR18" i="1"/>
  <c r="BR21" i="1" s="1"/>
  <c r="BQ18" i="1"/>
  <c r="BQ21" i="1" s="1"/>
  <c r="BP18" i="1"/>
  <c r="BP21" i="1" s="1"/>
  <c r="BO18" i="1"/>
  <c r="BO21" i="1" s="1"/>
  <c r="BN18" i="1"/>
  <c r="BW18" i="1" s="1"/>
  <c r="CE17" i="1"/>
  <c r="BW17" i="1"/>
  <c r="BV17" i="1"/>
  <c r="CE16" i="1"/>
  <c r="BW16" i="1"/>
  <c r="BV16" i="1"/>
  <c r="CE15" i="1"/>
  <c r="BW15" i="1"/>
  <c r="BV15" i="1"/>
  <c r="CE14" i="1"/>
  <c r="BW14" i="1"/>
  <c r="BV14" i="1"/>
  <c r="CE13" i="1"/>
  <c r="BW13" i="1"/>
  <c r="BV13" i="1"/>
  <c r="CD12" i="1"/>
  <c r="CD49" i="1" s="1"/>
  <c r="CC12" i="1"/>
  <c r="CB12" i="1"/>
  <c r="CA12" i="1"/>
  <c r="BZ12" i="1"/>
  <c r="CE12" i="1" s="1"/>
  <c r="BY12" i="1"/>
  <c r="BX12" i="1"/>
  <c r="BU12" i="1"/>
  <c r="BT12" i="1"/>
  <c r="BS12" i="1"/>
  <c r="BR12" i="1"/>
  <c r="BR49" i="1" s="1"/>
  <c r="BR53" i="1" s="1"/>
  <c r="BQ12" i="1"/>
  <c r="BP12" i="1"/>
  <c r="BO12" i="1"/>
  <c r="BN12" i="1"/>
  <c r="BW12" i="1" s="1"/>
  <c r="CE11" i="1"/>
  <c r="BW11" i="1"/>
  <c r="BV11" i="1"/>
  <c r="CD10" i="1"/>
  <c r="CC10" i="1"/>
  <c r="CC49" i="1" s="1"/>
  <c r="CB10" i="1"/>
  <c r="CB49" i="1" s="1"/>
  <c r="CA10" i="1"/>
  <c r="CE10" i="1" s="1"/>
  <c r="BZ10" i="1"/>
  <c r="BY10" i="1"/>
  <c r="BY49" i="1" s="1"/>
  <c r="BX10" i="1"/>
  <c r="BX49" i="1" s="1"/>
  <c r="BW10" i="1"/>
  <c r="BU10" i="1"/>
  <c r="BU49" i="1" s="1"/>
  <c r="BU53" i="1" s="1"/>
  <c r="BT10" i="1"/>
  <c r="BT49" i="1" s="1"/>
  <c r="BT53" i="1" s="1"/>
  <c r="BS10" i="1"/>
  <c r="BS49" i="1" s="1"/>
  <c r="BS53" i="1" s="1"/>
  <c r="BR10" i="1"/>
  <c r="BQ10" i="1"/>
  <c r="BQ49" i="1" s="1"/>
  <c r="BQ53" i="1" s="1"/>
  <c r="BP10" i="1"/>
  <c r="BP49" i="1" s="1"/>
  <c r="BP53" i="1" s="1"/>
  <c r="BO10" i="1"/>
  <c r="BO49" i="1" s="1"/>
  <c r="BO53" i="1" s="1"/>
  <c r="BN10" i="1"/>
  <c r="BV10" i="1" s="1"/>
  <c r="BJ48" i="1"/>
  <c r="BB48" i="1"/>
  <c r="BA48" i="1"/>
  <c r="BJ47" i="1"/>
  <c r="BB47" i="1"/>
  <c r="BA47" i="1"/>
  <c r="BJ46" i="1"/>
  <c r="BB46" i="1"/>
  <c r="BA46" i="1"/>
  <c r="BI45" i="1"/>
  <c r="BH45" i="1"/>
  <c r="BG45" i="1"/>
  <c r="BF45" i="1"/>
  <c r="BE45" i="1"/>
  <c r="BD45" i="1"/>
  <c r="BJ45" i="1" s="1"/>
  <c r="BC45" i="1"/>
  <c r="AZ45" i="1"/>
  <c r="AY45" i="1"/>
  <c r="AX45" i="1"/>
  <c r="AW45" i="1"/>
  <c r="AV45" i="1"/>
  <c r="AU45" i="1"/>
  <c r="AT45" i="1"/>
  <c r="AS45" i="1"/>
  <c r="BB45" i="1" s="1"/>
  <c r="BJ44" i="1"/>
  <c r="BB44" i="1"/>
  <c r="BA44" i="1"/>
  <c r="BI43" i="1"/>
  <c r="BH43" i="1"/>
  <c r="BG43" i="1"/>
  <c r="BF43" i="1"/>
  <c r="BE43" i="1"/>
  <c r="BJ43" i="1" s="1"/>
  <c r="BD43" i="1"/>
  <c r="BC43" i="1"/>
  <c r="AZ43" i="1"/>
  <c r="AY43" i="1"/>
  <c r="AX43" i="1"/>
  <c r="AW43" i="1"/>
  <c r="AV43" i="1"/>
  <c r="AU43" i="1"/>
  <c r="AT43" i="1"/>
  <c r="AS43" i="1"/>
  <c r="BA43" i="1" s="1"/>
  <c r="BJ42" i="1"/>
  <c r="BB42" i="1"/>
  <c r="BA42" i="1"/>
  <c r="BJ41" i="1"/>
  <c r="BI41" i="1"/>
  <c r="BH41" i="1"/>
  <c r="BG41" i="1"/>
  <c r="BF41" i="1"/>
  <c r="BE41" i="1"/>
  <c r="BD41" i="1"/>
  <c r="BC41" i="1"/>
  <c r="BB41" i="1"/>
  <c r="AZ41" i="1"/>
  <c r="AY41" i="1"/>
  <c r="AX41" i="1"/>
  <c r="AW41" i="1"/>
  <c r="AV41" i="1"/>
  <c r="AU41" i="1"/>
  <c r="AT41" i="1"/>
  <c r="AS41" i="1"/>
  <c r="BA41" i="1" s="1"/>
  <c r="BJ40" i="1"/>
  <c r="BB40" i="1"/>
  <c r="BA40" i="1"/>
  <c r="BJ39" i="1"/>
  <c r="BB39" i="1"/>
  <c r="BA39" i="1"/>
  <c r="BI38" i="1"/>
  <c r="BH38" i="1"/>
  <c r="BG38" i="1"/>
  <c r="BF38" i="1"/>
  <c r="BJ38" i="1" s="1"/>
  <c r="BE38" i="1"/>
  <c r="BD38" i="1"/>
  <c r="BC38" i="1"/>
  <c r="BB38" i="1"/>
  <c r="AZ38" i="1"/>
  <c r="AY38" i="1"/>
  <c r="AX38" i="1"/>
  <c r="AW38" i="1"/>
  <c r="AV38" i="1"/>
  <c r="AU38" i="1"/>
  <c r="AT38" i="1"/>
  <c r="AS38" i="1"/>
  <c r="BA38" i="1" s="1"/>
  <c r="BJ37" i="1"/>
  <c r="BB37" i="1"/>
  <c r="BA37" i="1"/>
  <c r="BJ36" i="1"/>
  <c r="BB36" i="1"/>
  <c r="BA36" i="1"/>
  <c r="BI35" i="1"/>
  <c r="BH35" i="1"/>
  <c r="BG35" i="1"/>
  <c r="BF35" i="1"/>
  <c r="BJ35" i="1" s="1"/>
  <c r="BE35" i="1"/>
  <c r="BD35" i="1"/>
  <c r="BC35" i="1"/>
  <c r="BB35" i="1"/>
  <c r="AZ35" i="1"/>
  <c r="AY35" i="1"/>
  <c r="AX35" i="1"/>
  <c r="AW35" i="1"/>
  <c r="AV35" i="1"/>
  <c r="AU35" i="1"/>
  <c r="AT35" i="1"/>
  <c r="AS35" i="1"/>
  <c r="BA35" i="1" s="1"/>
  <c r="BJ34" i="1"/>
  <c r="BB34" i="1"/>
  <c r="BA34" i="1"/>
  <c r="BI33" i="1"/>
  <c r="BH33" i="1"/>
  <c r="BG33" i="1"/>
  <c r="BF33" i="1"/>
  <c r="BE33" i="1"/>
  <c r="BD33" i="1"/>
  <c r="BC33" i="1"/>
  <c r="BJ33" i="1" s="1"/>
  <c r="AZ33" i="1"/>
  <c r="AY33" i="1"/>
  <c r="AX33" i="1"/>
  <c r="AW33" i="1"/>
  <c r="AV33" i="1"/>
  <c r="AU33" i="1"/>
  <c r="AT33" i="1"/>
  <c r="AS33" i="1"/>
  <c r="BB33" i="1" s="1"/>
  <c r="BJ32" i="1"/>
  <c r="BB32" i="1"/>
  <c r="BA32" i="1"/>
  <c r="BJ31" i="1"/>
  <c r="BB31" i="1"/>
  <c r="BA31" i="1"/>
  <c r="BJ30" i="1"/>
  <c r="BB30" i="1"/>
  <c r="BA30" i="1"/>
  <c r="BI29" i="1"/>
  <c r="BH29" i="1"/>
  <c r="BG29" i="1"/>
  <c r="BF29" i="1"/>
  <c r="BJ29" i="1" s="1"/>
  <c r="BE29" i="1"/>
  <c r="BD29" i="1"/>
  <c r="BC29" i="1"/>
  <c r="BB29" i="1"/>
  <c r="AZ29" i="1"/>
  <c r="AY29" i="1"/>
  <c r="AX29" i="1"/>
  <c r="AW29" i="1"/>
  <c r="AV29" i="1"/>
  <c r="AU29" i="1"/>
  <c r="AT29" i="1"/>
  <c r="AS29" i="1"/>
  <c r="BA29" i="1" s="1"/>
  <c r="BJ28" i="1"/>
  <c r="BB28" i="1"/>
  <c r="BA28" i="1"/>
  <c r="BJ27" i="1"/>
  <c r="BB27" i="1"/>
  <c r="BA27" i="1"/>
  <c r="BJ26" i="1"/>
  <c r="BB26" i="1"/>
  <c r="BA26" i="1"/>
  <c r="BJ25" i="1"/>
  <c r="BB25" i="1"/>
  <c r="BA25" i="1"/>
  <c r="BJ24" i="1"/>
  <c r="BB24" i="1"/>
  <c r="BA24" i="1"/>
  <c r="BJ23" i="1"/>
  <c r="BB23" i="1"/>
  <c r="BA23" i="1"/>
  <c r="BI22" i="1"/>
  <c r="BH22" i="1"/>
  <c r="BG22" i="1"/>
  <c r="BF22" i="1"/>
  <c r="BJ22" i="1" s="1"/>
  <c r="BE22" i="1"/>
  <c r="BD22" i="1"/>
  <c r="BC22" i="1"/>
  <c r="BB22" i="1"/>
  <c r="AZ22" i="1"/>
  <c r="AY22" i="1"/>
  <c r="AX22" i="1"/>
  <c r="AW22" i="1"/>
  <c r="AV22" i="1"/>
  <c r="AU22" i="1"/>
  <c r="AT22" i="1"/>
  <c r="AS22" i="1"/>
  <c r="BA22" i="1" s="1"/>
  <c r="BJ20" i="1"/>
  <c r="BB20" i="1"/>
  <c r="BA20" i="1"/>
  <c r="BJ19" i="1"/>
  <c r="BB19" i="1"/>
  <c r="BA19" i="1"/>
  <c r="BI18" i="1"/>
  <c r="BI21" i="1" s="1"/>
  <c r="BH18" i="1"/>
  <c r="BH21" i="1" s="1"/>
  <c r="BG18" i="1"/>
  <c r="BG21" i="1" s="1"/>
  <c r="BF18" i="1"/>
  <c r="BF21" i="1" s="1"/>
  <c r="BE18" i="1"/>
  <c r="BE21" i="1" s="1"/>
  <c r="BD18" i="1"/>
  <c r="BD21" i="1" s="1"/>
  <c r="BC18" i="1"/>
  <c r="BC21" i="1" s="1"/>
  <c r="BJ21" i="1" s="1"/>
  <c r="AZ18" i="1"/>
  <c r="AZ21" i="1" s="1"/>
  <c r="AY18" i="1"/>
  <c r="AY21" i="1" s="1"/>
  <c r="AX18" i="1"/>
  <c r="AX21" i="1" s="1"/>
  <c r="AW18" i="1"/>
  <c r="AW21" i="1" s="1"/>
  <c r="AV18" i="1"/>
  <c r="AV21" i="1" s="1"/>
  <c r="AU18" i="1"/>
  <c r="AU21" i="1" s="1"/>
  <c r="AT18" i="1"/>
  <c r="AT21" i="1" s="1"/>
  <c r="AS18" i="1"/>
  <c r="BB18" i="1" s="1"/>
  <c r="BJ17" i="1"/>
  <c r="BB17" i="1"/>
  <c r="BA17" i="1"/>
  <c r="BJ16" i="1"/>
  <c r="BB16" i="1"/>
  <c r="BA16" i="1"/>
  <c r="BJ15" i="1"/>
  <c r="BB15" i="1"/>
  <c r="BA15" i="1"/>
  <c r="BJ14" i="1"/>
  <c r="BB14" i="1"/>
  <c r="BA14" i="1"/>
  <c r="BJ13" i="1"/>
  <c r="BB13" i="1"/>
  <c r="BA13" i="1"/>
  <c r="BI12" i="1"/>
  <c r="BI49" i="1" s="1"/>
  <c r="BH12" i="1"/>
  <c r="BG12" i="1"/>
  <c r="BF12" i="1"/>
  <c r="BE12" i="1"/>
  <c r="BJ12" i="1" s="1"/>
  <c r="BD12" i="1"/>
  <c r="BC12" i="1"/>
  <c r="AZ12" i="1"/>
  <c r="AY12" i="1"/>
  <c r="AX12" i="1"/>
  <c r="AW12" i="1"/>
  <c r="AW49" i="1" s="1"/>
  <c r="AW53" i="1" s="1"/>
  <c r="AV12" i="1"/>
  <c r="AU12" i="1"/>
  <c r="AT12" i="1"/>
  <c r="AS12" i="1"/>
  <c r="BB12" i="1" s="1"/>
  <c r="BJ11" i="1"/>
  <c r="BB11" i="1"/>
  <c r="BA11" i="1"/>
  <c r="BI10" i="1"/>
  <c r="BH10" i="1"/>
  <c r="BH49" i="1" s="1"/>
  <c r="BG10" i="1"/>
  <c r="BG49" i="1" s="1"/>
  <c r="BF10" i="1"/>
  <c r="BJ10" i="1" s="1"/>
  <c r="BE10" i="1"/>
  <c r="BD10" i="1"/>
  <c r="BD49" i="1" s="1"/>
  <c r="BC10" i="1"/>
  <c r="BC49" i="1" s="1"/>
  <c r="BB10" i="1"/>
  <c r="AZ10" i="1"/>
  <c r="AZ49" i="1" s="1"/>
  <c r="AZ53" i="1" s="1"/>
  <c r="AY10" i="1"/>
  <c r="AY49" i="1" s="1"/>
  <c r="AY53" i="1" s="1"/>
  <c r="AX10" i="1"/>
  <c r="AX49" i="1" s="1"/>
  <c r="AX53" i="1" s="1"/>
  <c r="AW10" i="1"/>
  <c r="AV10" i="1"/>
  <c r="AV49" i="1" s="1"/>
  <c r="AV53" i="1" s="1"/>
  <c r="AU10" i="1"/>
  <c r="AU49" i="1" s="1"/>
  <c r="AU53" i="1" s="1"/>
  <c r="AT10" i="1"/>
  <c r="AT49" i="1" s="1"/>
  <c r="AT53" i="1" s="1"/>
  <c r="AS10" i="1"/>
  <c r="BA10" i="1" s="1"/>
  <c r="AO48" i="1"/>
  <c r="AG48" i="1"/>
  <c r="AF48" i="1"/>
  <c r="AO47" i="1"/>
  <c r="AG47" i="1"/>
  <c r="AF47" i="1"/>
  <c r="AO46" i="1"/>
  <c r="AG46" i="1"/>
  <c r="AF46" i="1"/>
  <c r="AN45" i="1"/>
  <c r="AM45" i="1"/>
  <c r="AL45" i="1"/>
  <c r="AK45" i="1"/>
  <c r="AJ45" i="1"/>
  <c r="AI45" i="1"/>
  <c r="AO45" i="1" s="1"/>
  <c r="AH45" i="1"/>
  <c r="AE45" i="1"/>
  <c r="AD45" i="1"/>
  <c r="AC45" i="1"/>
  <c r="AB45" i="1"/>
  <c r="AA45" i="1"/>
  <c r="Z45" i="1"/>
  <c r="Y45" i="1"/>
  <c r="X45" i="1"/>
  <c r="AF45" i="1" s="1"/>
  <c r="AO44" i="1"/>
  <c r="AG44" i="1"/>
  <c r="AF44" i="1"/>
  <c r="AN43" i="1"/>
  <c r="AM43" i="1"/>
  <c r="AL43" i="1"/>
  <c r="AK43" i="1"/>
  <c r="AJ43" i="1"/>
  <c r="AO43" i="1" s="1"/>
  <c r="AI43" i="1"/>
  <c r="AH43" i="1"/>
  <c r="AE43" i="1"/>
  <c r="AD43" i="1"/>
  <c r="AC43" i="1"/>
  <c r="AB43" i="1"/>
  <c r="AA43" i="1"/>
  <c r="Z43" i="1"/>
  <c r="Y43" i="1"/>
  <c r="X43" i="1"/>
  <c r="AG43" i="1" s="1"/>
  <c r="AO42" i="1"/>
  <c r="AG42" i="1"/>
  <c r="AF42" i="1"/>
  <c r="AN41" i="1"/>
  <c r="AM41" i="1"/>
  <c r="AL41" i="1"/>
  <c r="AK41" i="1"/>
  <c r="AO41" i="1" s="1"/>
  <c r="AJ41" i="1"/>
  <c r="AI41" i="1"/>
  <c r="AH41" i="1"/>
  <c r="AE41" i="1"/>
  <c r="AD41" i="1"/>
  <c r="AC41" i="1"/>
  <c r="AB41" i="1"/>
  <c r="AA41" i="1"/>
  <c r="Z41" i="1"/>
  <c r="Y41" i="1"/>
  <c r="AG41" i="1" s="1"/>
  <c r="X41" i="1"/>
  <c r="AF41" i="1" s="1"/>
  <c r="AO40" i="1"/>
  <c r="AG40" i="1"/>
  <c r="AF40" i="1"/>
  <c r="AO39" i="1"/>
  <c r="AG39" i="1"/>
  <c r="AF39" i="1"/>
  <c r="AN38" i="1"/>
  <c r="AM38" i="1"/>
  <c r="AL38" i="1"/>
  <c r="AK38" i="1"/>
  <c r="AO38" i="1" s="1"/>
  <c r="AJ38" i="1"/>
  <c r="AI38" i="1"/>
  <c r="AH38" i="1"/>
  <c r="AE38" i="1"/>
  <c r="AD38" i="1"/>
  <c r="AC38" i="1"/>
  <c r="AB38" i="1"/>
  <c r="AA38" i="1"/>
  <c r="Z38" i="1"/>
  <c r="Y38" i="1"/>
  <c r="AG38" i="1" s="1"/>
  <c r="X38" i="1"/>
  <c r="AF38" i="1" s="1"/>
  <c r="AO37" i="1"/>
  <c r="AG37" i="1"/>
  <c r="AF37" i="1"/>
  <c r="AO36" i="1"/>
  <c r="AG36" i="1"/>
  <c r="AF36" i="1"/>
  <c r="AN35" i="1"/>
  <c r="AM35" i="1"/>
  <c r="AL35" i="1"/>
  <c r="AK35" i="1"/>
  <c r="AO35" i="1" s="1"/>
  <c r="AJ35" i="1"/>
  <c r="AI35" i="1"/>
  <c r="AH35" i="1"/>
  <c r="AE35" i="1"/>
  <c r="AD35" i="1"/>
  <c r="AC35" i="1"/>
  <c r="AB35" i="1"/>
  <c r="AA35" i="1"/>
  <c r="Z35" i="1"/>
  <c r="Y35" i="1"/>
  <c r="AG35" i="1" s="1"/>
  <c r="X35" i="1"/>
  <c r="AF35" i="1" s="1"/>
  <c r="AO34" i="1"/>
  <c r="AG34" i="1"/>
  <c r="AF34" i="1"/>
  <c r="AN33" i="1"/>
  <c r="AM33" i="1"/>
  <c r="AL33" i="1"/>
  <c r="AK33" i="1"/>
  <c r="AJ33" i="1"/>
  <c r="AI33" i="1"/>
  <c r="AH33" i="1"/>
  <c r="AO33" i="1" s="1"/>
  <c r="AE33" i="1"/>
  <c r="AD33" i="1"/>
  <c r="AC33" i="1"/>
  <c r="AB33" i="1"/>
  <c r="AA33" i="1"/>
  <c r="Z33" i="1"/>
  <c r="Y33" i="1"/>
  <c r="X33" i="1"/>
  <c r="AG33" i="1" s="1"/>
  <c r="AO32" i="1"/>
  <c r="AG32" i="1"/>
  <c r="AF32" i="1"/>
  <c r="AO31" i="1"/>
  <c r="AG31" i="1"/>
  <c r="AF31" i="1"/>
  <c r="AO30" i="1"/>
  <c r="AG30" i="1"/>
  <c r="AF30" i="1"/>
  <c r="AN29" i="1"/>
  <c r="AM29" i="1"/>
  <c r="AL29" i="1"/>
  <c r="AK29" i="1"/>
  <c r="AO29" i="1" s="1"/>
  <c r="AJ29" i="1"/>
  <c r="AI29" i="1"/>
  <c r="AH29" i="1"/>
  <c r="AE29" i="1"/>
  <c r="AD29" i="1"/>
  <c r="AC29" i="1"/>
  <c r="AB29" i="1"/>
  <c r="AA29" i="1"/>
  <c r="Z29" i="1"/>
  <c r="Y29" i="1"/>
  <c r="AG29" i="1" s="1"/>
  <c r="X29" i="1"/>
  <c r="AF29" i="1" s="1"/>
  <c r="AO28" i="1"/>
  <c r="AG28" i="1"/>
  <c r="AF28" i="1"/>
  <c r="AO27" i="1"/>
  <c r="AG27" i="1"/>
  <c r="AF27" i="1"/>
  <c r="AO26" i="1"/>
  <c r="AG26" i="1"/>
  <c r="AF26" i="1"/>
  <c r="AO25" i="1"/>
  <c r="AG25" i="1"/>
  <c r="AF25" i="1"/>
  <c r="AO24" i="1"/>
  <c r="AG24" i="1"/>
  <c r="AF24" i="1"/>
  <c r="AO23" i="1"/>
  <c r="AG23" i="1"/>
  <c r="AF23" i="1"/>
  <c r="AN22" i="1"/>
  <c r="AM22" i="1"/>
  <c r="AL22" i="1"/>
  <c r="AK22" i="1"/>
  <c r="AO22" i="1" s="1"/>
  <c r="AJ22" i="1"/>
  <c r="AI22" i="1"/>
  <c r="AH22" i="1"/>
  <c r="AE22" i="1"/>
  <c r="AD22" i="1"/>
  <c r="AC22" i="1"/>
  <c r="AB22" i="1"/>
  <c r="AA22" i="1"/>
  <c r="Z22" i="1"/>
  <c r="Y22" i="1"/>
  <c r="AG22" i="1" s="1"/>
  <c r="X22" i="1"/>
  <c r="AF22" i="1" s="1"/>
  <c r="AO20" i="1"/>
  <c r="AG20" i="1"/>
  <c r="AF20" i="1"/>
  <c r="AO19" i="1"/>
  <c r="AG19" i="1"/>
  <c r="AF19" i="1"/>
  <c r="AN18" i="1"/>
  <c r="AN21" i="1" s="1"/>
  <c r="AM18" i="1"/>
  <c r="AM21" i="1" s="1"/>
  <c r="AL18" i="1"/>
  <c r="AL21" i="1" s="1"/>
  <c r="AK18" i="1"/>
  <c r="AK21" i="1" s="1"/>
  <c r="AJ18" i="1"/>
  <c r="AJ21" i="1" s="1"/>
  <c r="AI18" i="1"/>
  <c r="AO18" i="1" s="1"/>
  <c r="AH18" i="1"/>
  <c r="AH21" i="1" s="1"/>
  <c r="AE18" i="1"/>
  <c r="AE21" i="1" s="1"/>
  <c r="AD18" i="1"/>
  <c r="AD21" i="1" s="1"/>
  <c r="AC18" i="1"/>
  <c r="AC21" i="1" s="1"/>
  <c r="AB18" i="1"/>
  <c r="AB21" i="1" s="1"/>
  <c r="AA18" i="1"/>
  <c r="AA21" i="1" s="1"/>
  <c r="Z18" i="1"/>
  <c r="Z21" i="1" s="1"/>
  <c r="Y18" i="1"/>
  <c r="Y21" i="1" s="1"/>
  <c r="X18" i="1"/>
  <c r="AG18" i="1" s="1"/>
  <c r="AO17" i="1"/>
  <c r="AG17" i="1"/>
  <c r="AF17" i="1"/>
  <c r="AO16" i="1"/>
  <c r="AG16" i="1"/>
  <c r="AF16" i="1"/>
  <c r="AO15" i="1"/>
  <c r="AG15" i="1"/>
  <c r="AF15" i="1"/>
  <c r="AO14" i="1"/>
  <c r="AG14" i="1"/>
  <c r="AF14" i="1"/>
  <c r="AO13" i="1"/>
  <c r="AG13" i="1"/>
  <c r="AF13" i="1"/>
  <c r="AN12" i="1"/>
  <c r="AN49" i="1" s="1"/>
  <c r="AM12" i="1"/>
  <c r="AL12" i="1"/>
  <c r="AK12" i="1"/>
  <c r="AJ12" i="1"/>
  <c r="AO12" i="1" s="1"/>
  <c r="AI12" i="1"/>
  <c r="AH12" i="1"/>
  <c r="AE12" i="1"/>
  <c r="AD12" i="1"/>
  <c r="AC12" i="1"/>
  <c r="AB12" i="1"/>
  <c r="AB49" i="1" s="1"/>
  <c r="AB53" i="1" s="1"/>
  <c r="AA12" i="1"/>
  <c r="Z12" i="1"/>
  <c r="Y12" i="1"/>
  <c r="X12" i="1"/>
  <c r="AG12" i="1" s="1"/>
  <c r="AO11" i="1"/>
  <c r="AG11" i="1"/>
  <c r="AF11" i="1"/>
  <c r="AN10" i="1"/>
  <c r="AM10" i="1"/>
  <c r="AM49" i="1" s="1"/>
  <c r="AL10" i="1"/>
  <c r="AL49" i="1" s="1"/>
  <c r="AK10" i="1"/>
  <c r="AK49" i="1" s="1"/>
  <c r="AJ10" i="1"/>
  <c r="AI10" i="1"/>
  <c r="AI49" i="1" s="1"/>
  <c r="AH10" i="1"/>
  <c r="AH49" i="1" s="1"/>
  <c r="AE10" i="1"/>
  <c r="AE49" i="1" s="1"/>
  <c r="AE53" i="1" s="1"/>
  <c r="AD10" i="1"/>
  <c r="AD49" i="1" s="1"/>
  <c r="AD53" i="1" s="1"/>
  <c r="AC10" i="1"/>
  <c r="AC49" i="1" s="1"/>
  <c r="AC53" i="1" s="1"/>
  <c r="AB10" i="1"/>
  <c r="AA10" i="1"/>
  <c r="AA49" i="1" s="1"/>
  <c r="AA53" i="1" s="1"/>
  <c r="Z10" i="1"/>
  <c r="Z49" i="1" s="1"/>
  <c r="Z53" i="1" s="1"/>
  <c r="Y10" i="1"/>
  <c r="Y49" i="1" s="1"/>
  <c r="Y53" i="1" s="1"/>
  <c r="X10" i="1"/>
  <c r="AF10" i="1" s="1"/>
  <c r="I53" i="1"/>
  <c r="E53" i="1"/>
  <c r="S49" i="1"/>
  <c r="R49" i="1"/>
  <c r="Q49" i="1"/>
  <c r="P49" i="1"/>
  <c r="O49" i="1"/>
  <c r="N49" i="1"/>
  <c r="M49" i="1"/>
  <c r="J49" i="1"/>
  <c r="J53" i="1" s="1"/>
  <c r="I49" i="1"/>
  <c r="H49" i="1"/>
  <c r="H53" i="1" s="1"/>
  <c r="G49" i="1"/>
  <c r="G53" i="1" s="1"/>
  <c r="F49" i="1"/>
  <c r="F53" i="1" s="1"/>
  <c r="E49" i="1"/>
  <c r="D49" i="1"/>
  <c r="D53" i="1" s="1"/>
  <c r="C49" i="1"/>
  <c r="T48" i="1"/>
  <c r="L48" i="1"/>
  <c r="K48" i="1"/>
  <c r="T47" i="1"/>
  <c r="L47" i="1"/>
  <c r="K47" i="1"/>
  <c r="T46" i="1"/>
  <c r="L46" i="1"/>
  <c r="K46" i="1"/>
  <c r="T45" i="1"/>
  <c r="S45" i="1"/>
  <c r="R45" i="1"/>
  <c r="Q45" i="1"/>
  <c r="P45" i="1"/>
  <c r="O45" i="1"/>
  <c r="N45" i="1"/>
  <c r="M45" i="1"/>
  <c r="L45" i="1"/>
  <c r="K45" i="1"/>
  <c r="J45" i="1"/>
  <c r="I45" i="1"/>
  <c r="H45" i="1"/>
  <c r="G45" i="1"/>
  <c r="F45" i="1"/>
  <c r="E45" i="1"/>
  <c r="D45" i="1"/>
  <c r="C45" i="1"/>
  <c r="T44" i="1"/>
  <c r="L44" i="1"/>
  <c r="K44" i="1"/>
  <c r="T43" i="1"/>
  <c r="S43" i="1"/>
  <c r="R43" i="1"/>
  <c r="Q43" i="1"/>
  <c r="P43" i="1"/>
  <c r="O43" i="1"/>
  <c r="N43" i="1"/>
  <c r="M43" i="1"/>
  <c r="L43" i="1"/>
  <c r="K43" i="1"/>
  <c r="J43" i="1"/>
  <c r="I43" i="1"/>
  <c r="H43" i="1"/>
  <c r="G43" i="1"/>
  <c r="F43" i="1"/>
  <c r="E43" i="1"/>
  <c r="D43" i="1"/>
  <c r="C43" i="1"/>
  <c r="T42" i="1"/>
  <c r="L42" i="1"/>
  <c r="K42" i="1"/>
  <c r="T41" i="1"/>
  <c r="S41" i="1"/>
  <c r="R41" i="1"/>
  <c r="Q41" i="1"/>
  <c r="P41" i="1"/>
  <c r="O41" i="1"/>
  <c r="N41" i="1"/>
  <c r="M41" i="1"/>
  <c r="L41" i="1"/>
  <c r="K41" i="1"/>
  <c r="J41" i="1"/>
  <c r="I41" i="1"/>
  <c r="H41" i="1"/>
  <c r="G41" i="1"/>
  <c r="F41" i="1"/>
  <c r="E41" i="1"/>
  <c r="D41" i="1"/>
  <c r="C41" i="1"/>
  <c r="T40" i="1"/>
  <c r="L40" i="1"/>
  <c r="K40" i="1"/>
  <c r="T39" i="1"/>
  <c r="L39" i="1"/>
  <c r="K39" i="1"/>
  <c r="T38" i="1"/>
  <c r="S38" i="1"/>
  <c r="R38" i="1"/>
  <c r="Q38" i="1"/>
  <c r="P38" i="1"/>
  <c r="O38" i="1"/>
  <c r="N38" i="1"/>
  <c r="M38" i="1"/>
  <c r="L38" i="1"/>
  <c r="K38" i="1"/>
  <c r="J38" i="1"/>
  <c r="I38" i="1"/>
  <c r="H38" i="1"/>
  <c r="G38" i="1"/>
  <c r="F38" i="1"/>
  <c r="E38" i="1"/>
  <c r="D38" i="1"/>
  <c r="C38" i="1"/>
  <c r="T37" i="1"/>
  <c r="L37" i="1"/>
  <c r="K37" i="1"/>
  <c r="T36" i="1"/>
  <c r="L36" i="1"/>
  <c r="K36" i="1"/>
  <c r="T35" i="1"/>
  <c r="S35" i="1"/>
  <c r="R35" i="1"/>
  <c r="Q35" i="1"/>
  <c r="P35" i="1"/>
  <c r="O35" i="1"/>
  <c r="N35" i="1"/>
  <c r="M35" i="1"/>
  <c r="L35" i="1"/>
  <c r="K35" i="1"/>
  <c r="J35" i="1"/>
  <c r="I35" i="1"/>
  <c r="H35" i="1"/>
  <c r="G35" i="1"/>
  <c r="F35" i="1"/>
  <c r="E35" i="1"/>
  <c r="D35" i="1"/>
  <c r="C35" i="1"/>
  <c r="T34" i="1"/>
  <c r="L34" i="1"/>
  <c r="K34" i="1"/>
  <c r="T33" i="1"/>
  <c r="S33" i="1"/>
  <c r="R33" i="1"/>
  <c r="Q33" i="1"/>
  <c r="P33" i="1"/>
  <c r="O33" i="1"/>
  <c r="N33" i="1"/>
  <c r="M33" i="1"/>
  <c r="L33" i="1"/>
  <c r="K33" i="1"/>
  <c r="J33" i="1"/>
  <c r="I33" i="1"/>
  <c r="H33" i="1"/>
  <c r="G33" i="1"/>
  <c r="F33" i="1"/>
  <c r="E33" i="1"/>
  <c r="D33" i="1"/>
  <c r="C33" i="1"/>
  <c r="T32" i="1"/>
  <c r="L32" i="1"/>
  <c r="K32" i="1"/>
  <c r="T31" i="1"/>
  <c r="L31" i="1"/>
  <c r="K31" i="1"/>
  <c r="T30" i="1"/>
  <c r="L30" i="1"/>
  <c r="K30" i="1"/>
  <c r="T29" i="1"/>
  <c r="S29" i="1"/>
  <c r="R29" i="1"/>
  <c r="Q29" i="1"/>
  <c r="P29" i="1"/>
  <c r="O29" i="1"/>
  <c r="N29" i="1"/>
  <c r="M29" i="1"/>
  <c r="L29" i="1"/>
  <c r="K29" i="1"/>
  <c r="J29" i="1"/>
  <c r="I29" i="1"/>
  <c r="H29" i="1"/>
  <c r="G29" i="1"/>
  <c r="F29" i="1"/>
  <c r="E29" i="1"/>
  <c r="D29" i="1"/>
  <c r="C29" i="1"/>
  <c r="T28" i="1"/>
  <c r="L28" i="1"/>
  <c r="K28" i="1"/>
  <c r="T27" i="1"/>
  <c r="L27" i="1"/>
  <c r="K27" i="1"/>
  <c r="T26" i="1"/>
  <c r="L26" i="1"/>
  <c r="K26" i="1"/>
  <c r="T25" i="1"/>
  <c r="L25" i="1"/>
  <c r="K25" i="1"/>
  <c r="T24" i="1"/>
  <c r="L24" i="1"/>
  <c r="K24" i="1"/>
  <c r="T23" i="1"/>
  <c r="L23" i="1"/>
  <c r="K23" i="1"/>
  <c r="T22" i="1"/>
  <c r="S22" i="1"/>
  <c r="R22" i="1"/>
  <c r="Q22" i="1"/>
  <c r="P22" i="1"/>
  <c r="O22" i="1"/>
  <c r="N22" i="1"/>
  <c r="M22" i="1"/>
  <c r="L22" i="1"/>
  <c r="K22" i="1"/>
  <c r="J22" i="1"/>
  <c r="I22" i="1"/>
  <c r="H22" i="1"/>
  <c r="G22" i="1"/>
  <c r="F22" i="1"/>
  <c r="E22" i="1"/>
  <c r="D22" i="1"/>
  <c r="C22" i="1"/>
  <c r="S21" i="1"/>
  <c r="R21" i="1"/>
  <c r="Q21" i="1"/>
  <c r="P21" i="1"/>
  <c r="O21" i="1"/>
  <c r="N21" i="1"/>
  <c r="T21" i="1" s="1"/>
  <c r="M21" i="1"/>
  <c r="J21" i="1"/>
  <c r="I21" i="1"/>
  <c r="H21" i="1"/>
  <c r="G21" i="1"/>
  <c r="F21" i="1"/>
  <c r="E21" i="1"/>
  <c r="D21" i="1"/>
  <c r="L21" i="1" s="1"/>
  <c r="C21" i="1"/>
  <c r="T20" i="1"/>
  <c r="L20" i="1"/>
  <c r="K20" i="1"/>
  <c r="T19" i="1"/>
  <c r="L19" i="1"/>
  <c r="K19" i="1"/>
  <c r="T18" i="1"/>
  <c r="S18" i="1"/>
  <c r="R18" i="1"/>
  <c r="Q18" i="1"/>
  <c r="P18" i="1"/>
  <c r="O18" i="1"/>
  <c r="N18" i="1"/>
  <c r="M18" i="1"/>
  <c r="L18" i="1"/>
  <c r="K18" i="1"/>
  <c r="K21" i="1" s="1"/>
  <c r="J18" i="1"/>
  <c r="I18" i="1"/>
  <c r="H18" i="1"/>
  <c r="G18" i="1"/>
  <c r="F18" i="1"/>
  <c r="E18" i="1"/>
  <c r="D18" i="1"/>
  <c r="C18" i="1"/>
  <c r="T17" i="1"/>
  <c r="L17" i="1"/>
  <c r="K17" i="1"/>
  <c r="T16" i="1"/>
  <c r="L16" i="1"/>
  <c r="K16" i="1"/>
  <c r="T15" i="1"/>
  <c r="L15" i="1"/>
  <c r="K15" i="1"/>
  <c r="T14" i="1"/>
  <c r="L14" i="1"/>
  <c r="K14" i="1"/>
  <c r="T13" i="1"/>
  <c r="L13" i="1"/>
  <c r="K13" i="1"/>
  <c r="T12" i="1"/>
  <c r="S12" i="1"/>
  <c r="R12" i="1"/>
  <c r="Q12" i="1"/>
  <c r="P12" i="1"/>
  <c r="O12" i="1"/>
  <c r="N12" i="1"/>
  <c r="M12" i="1"/>
  <c r="L12" i="1"/>
  <c r="L49" i="1" s="1"/>
  <c r="K12" i="1"/>
  <c r="K49" i="1" s="1"/>
  <c r="J12" i="1"/>
  <c r="I12" i="1"/>
  <c r="H12" i="1"/>
  <c r="G12" i="1"/>
  <c r="F12" i="1"/>
  <c r="E12" i="1"/>
  <c r="D12" i="1"/>
  <c r="C12" i="1"/>
  <c r="T11" i="1"/>
  <c r="L11" i="1"/>
  <c r="K11" i="1"/>
  <c r="T10" i="1"/>
  <c r="T49" i="1" s="1"/>
  <c r="S10" i="1"/>
  <c r="R10" i="1"/>
  <c r="Q10" i="1"/>
  <c r="P10" i="1"/>
  <c r="O10" i="1"/>
  <c r="N10" i="1"/>
  <c r="M10" i="1"/>
  <c r="L10" i="1"/>
  <c r="K10" i="1"/>
  <c r="J10" i="1"/>
  <c r="I10" i="1"/>
  <c r="H10" i="1"/>
  <c r="G10" i="1"/>
  <c r="F10" i="1"/>
  <c r="E10" i="1"/>
  <c r="D10" i="1"/>
  <c r="C10" i="1"/>
  <c r="AS15" i="3" l="1"/>
  <c r="AU12" i="3"/>
  <c r="AM37" i="3"/>
  <c r="AS31" i="3"/>
  <c r="AS25" i="3"/>
  <c r="AS37" i="3"/>
  <c r="AM25" i="3"/>
  <c r="AM15" i="3"/>
  <c r="AM31" i="3"/>
  <c r="M37" i="3"/>
  <c r="AC25" i="3"/>
  <c r="W37" i="3"/>
  <c r="G15" i="3"/>
  <c r="AC15" i="3"/>
  <c r="AU27" i="3"/>
  <c r="M31" i="3"/>
  <c r="AE9" i="3"/>
  <c r="AE15" i="3" s="1"/>
  <c r="AC31" i="3"/>
  <c r="AC37" i="3"/>
  <c r="AE17" i="3"/>
  <c r="AE25" i="3" s="1"/>
  <c r="AU33" i="3"/>
  <c r="U31" i="3"/>
  <c r="AE31" i="3"/>
  <c r="AE37" i="3"/>
  <c r="AU17" i="3"/>
  <c r="AU25" i="3" s="1"/>
  <c r="AU15" i="3"/>
  <c r="AK15" i="3"/>
  <c r="AK25" i="3"/>
  <c r="AK31" i="3"/>
  <c r="AK37" i="3"/>
  <c r="W15" i="3"/>
  <c r="W25" i="3"/>
  <c r="U15" i="3"/>
  <c r="U25" i="3"/>
  <c r="U37" i="3"/>
  <c r="W28" i="3"/>
  <c r="G37" i="3"/>
  <c r="O15" i="3"/>
  <c r="O27" i="3"/>
  <c r="M25" i="3"/>
  <c r="E31" i="3"/>
  <c r="O33" i="3"/>
  <c r="E25" i="3"/>
  <c r="M15" i="3"/>
  <c r="O17" i="3"/>
  <c r="O25" i="3" s="1"/>
  <c r="E15" i="3"/>
  <c r="E37" i="3"/>
  <c r="G18" i="3"/>
  <c r="G25" i="3" s="1"/>
  <c r="G28" i="3"/>
  <c r="DU49" i="1"/>
  <c r="DM21" i="1"/>
  <c r="DL12" i="1"/>
  <c r="DL49" i="1" s="1"/>
  <c r="DO21" i="1"/>
  <c r="DU21" i="1" s="1"/>
  <c r="DL43" i="1"/>
  <c r="DD49" i="1"/>
  <c r="DD53" i="1" s="1"/>
  <c r="DD55" i="1" s="1"/>
  <c r="DL18" i="1"/>
  <c r="DL21" i="1" s="1"/>
  <c r="DQ49" i="1"/>
  <c r="DM18" i="1"/>
  <c r="DM49" i="1" s="1"/>
  <c r="DL33" i="1"/>
  <c r="CI55" i="1"/>
  <c r="CR49" i="1"/>
  <c r="CZ49" i="1"/>
  <c r="CR12" i="1"/>
  <c r="CZ12" i="1"/>
  <c r="CQ18" i="1"/>
  <c r="CI21" i="1"/>
  <c r="CR21" i="1" s="1"/>
  <c r="CR43" i="1"/>
  <c r="CQ45" i="1"/>
  <c r="CV49" i="1"/>
  <c r="CQ12" i="1"/>
  <c r="CQ49" i="1" s="1"/>
  <c r="CZ18" i="1"/>
  <c r="CQ33" i="1"/>
  <c r="CE49" i="1"/>
  <c r="CE21" i="1"/>
  <c r="BV12" i="1"/>
  <c r="BV49" i="1" s="1"/>
  <c r="BY21" i="1"/>
  <c r="BN49" i="1"/>
  <c r="BN53" i="1" s="1"/>
  <c r="BN55" i="1" s="1"/>
  <c r="BZ49" i="1"/>
  <c r="BV18" i="1"/>
  <c r="BV21" i="1" s="1"/>
  <c r="BN21" i="1"/>
  <c r="BW21" i="1" s="1"/>
  <c r="BW43" i="1"/>
  <c r="BW49" i="1" s="1"/>
  <c r="BN57" i="1" s="1"/>
  <c r="BV45" i="1"/>
  <c r="CA49" i="1"/>
  <c r="BV33" i="1"/>
  <c r="BA49" i="1"/>
  <c r="BA12" i="1"/>
  <c r="AS49" i="1"/>
  <c r="AS53" i="1" s="1"/>
  <c r="AS55" i="1" s="1"/>
  <c r="BE49" i="1"/>
  <c r="BA18" i="1"/>
  <c r="AS21" i="1"/>
  <c r="BB21" i="1" s="1"/>
  <c r="BB43" i="1"/>
  <c r="BB49" i="1" s="1"/>
  <c r="AS57" i="1" s="1"/>
  <c r="BA45" i="1"/>
  <c r="BF49" i="1"/>
  <c r="BJ18" i="1"/>
  <c r="BJ49" i="1" s="1"/>
  <c r="BA33" i="1"/>
  <c r="AG45" i="1"/>
  <c r="AG10" i="1"/>
  <c r="AG49" i="1" s="1"/>
  <c r="AO10" i="1"/>
  <c r="AO49" i="1" s="1"/>
  <c r="AF12" i="1"/>
  <c r="AF49" i="1" s="1"/>
  <c r="AI21" i="1"/>
  <c r="AO21" i="1" s="1"/>
  <c r="AF43" i="1"/>
  <c r="X49" i="1"/>
  <c r="X53" i="1" s="1"/>
  <c r="X55" i="1" s="1"/>
  <c r="AJ49" i="1"/>
  <c r="AF18" i="1"/>
  <c r="AF21" i="1" s="1"/>
  <c r="X21" i="1"/>
  <c r="AG21" i="1" s="1"/>
  <c r="AF33" i="1"/>
  <c r="C57" i="1"/>
  <c r="C55" i="1"/>
  <c r="AU37" i="3" l="1"/>
  <c r="O37" i="3"/>
  <c r="O31" i="3"/>
  <c r="AU31" i="3"/>
  <c r="G31" i="3"/>
  <c r="G39" i="3" s="1"/>
  <c r="W31" i="3"/>
  <c r="AM39" i="3"/>
  <c r="AE39" i="3"/>
  <c r="AU39" i="3"/>
  <c r="W39" i="3"/>
  <c r="DD57" i="1"/>
  <c r="CQ21" i="1"/>
  <c r="CI57" i="1"/>
  <c r="BA21" i="1"/>
  <c r="X57" i="1"/>
  <c r="O39" i="3" l="1"/>
  <c r="E16" i="127" l="1"/>
  <c r="G16" i="127" s="1"/>
  <c r="D20" i="127"/>
  <c r="C32" i="131" l="1"/>
  <c r="D30" i="140" s="1"/>
  <c r="C30" i="131" l="1"/>
  <c r="D30" i="114"/>
  <c r="D27" i="114" s="1"/>
  <c r="C29" i="131"/>
  <c r="D27" i="140" s="1"/>
  <c r="D38" i="140" s="1"/>
  <c r="D39" i="140" l="1"/>
  <c r="D10" i="140"/>
  <c r="D28" i="114"/>
  <c r="D28" i="140"/>
  <c r="C31" i="131"/>
  <c r="C40" i="131"/>
  <c r="D38" i="114"/>
  <c r="D29" i="114" l="1"/>
  <c r="D29" i="140"/>
  <c r="Q7" i="137"/>
  <c r="D11" i="140"/>
  <c r="D12" i="140"/>
  <c r="D10" i="114"/>
  <c r="G9" i="113" s="1"/>
  <c r="D39" i="114"/>
  <c r="G13" i="113"/>
  <c r="C41" i="131"/>
  <c r="C12" i="131"/>
  <c r="C14" i="131" l="1"/>
  <c r="C13" i="131"/>
  <c r="G14" i="113"/>
  <c r="D12" i="114"/>
  <c r="G11" i="113" s="1"/>
  <c r="G15" i="113"/>
  <c r="D11" i="114"/>
  <c r="G10" i="1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tc={3ADC6DDA-9556-4C66-BD68-5EA2F06AC423}</author>
    <author>tc={2980F89B-50C0-4E1E-B393-C006EAFAE69E}</author>
  </authors>
  <commentList>
    <comment ref="C21" authorId="0" shapeId="0" xr:uid="{3ADC6DDA-9556-4C66-BD68-5EA2F06AC423}">
      <text>
        <t>[Threaded comment]
Your version of Excel allows you to read this threaded comment; however, any edits to it will get removed if the file is opened in a newer version of Excel. Learn more: https://go.microsoft.com/fwlink/?linkid=870924
Comment:
    4 to 6 weeks post-Go-Live </t>
      </text>
    </comment>
    <comment ref="D21" authorId="1" shapeId="0" xr:uid="{2980F89B-50C0-4E1E-B393-C006EAFAE69E}">
      <text>
        <t>[Threaded comment]
Your version of Excel allows you to read this threaded comment; however, any edits to it will get removed if the file is opened in a newer version of Excel. Learn more: https://go.microsoft.com/fwlink/?linkid=870924
Comment:
    2 mois d'hypercare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tc={A47A380F-2AB6-4F49-BDED-5B9099B4A9FC}</author>
    <author>tc={36DB3DFA-3D4F-4577-ABEA-6D7AD2DC7010}</author>
    <author>tc={30AF3BE1-13D0-46FD-9D13-FAE6CC568CEE}</author>
  </authors>
  <commentList>
    <comment ref="C21" authorId="0" shapeId="0" xr:uid="{A47A380F-2AB6-4F49-BDED-5B9099B4A9FC}">
      <text>
        <t>[Threaded comment]
Your version of Excel allows you to read this threaded comment; however, any edits to it will get removed if the file is opened in a newer version of Excel. Learn more: https://go.microsoft.com/fwlink/?linkid=870924
Comment:
    4 to 6 weeks post-Go-Live </t>
      </text>
    </comment>
    <comment ref="D21" authorId="1" shapeId="0" xr:uid="{36DB3DFA-3D4F-4577-ABEA-6D7AD2DC7010}">
      <text>
        <t>[Threaded comment]
Your version of Excel allows you to read this threaded comment; however, any edits to it will get removed if the file is opened in a newer version of Excel. Learn more: https://go.microsoft.com/fwlink/?linkid=870924
Comment:
    2 mois d'hypercare</t>
      </text>
    </comment>
    <comment ref="E21" authorId="2" shapeId="0" xr:uid="{30AF3BE1-13D0-46FD-9D13-FAE6CC568CEE}">
      <text>
        <t>[Threaded comment]
Your version of Excel allows you to read this threaded comment; however, any edits to it will get removed if the file is opened in a newer version of Excel. Learn more: https://go.microsoft.com/fwlink/?linkid=870924
Comment:
    @Ben Alaya, Aymen peux-tu vérifier dans les offres si la durée de l’hypercare est mentionnée
Reply:
    Done, je les ai ajouté en commentaire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tc={B7F0E7D7-8CA7-45BB-AC43-80C075AC5E5D}</author>
    <author>tc={BE384514-E4F6-40E1-AED7-E41E4CFEB61A}</author>
    <author>tc={C0A9719D-A667-4D10-A30C-18B8428E7B23}</author>
    <author>tc={B4CFA740-9084-45DD-A05F-DA9496387A02}</author>
  </authors>
  <commentList>
    <comment ref="H22" authorId="0" shapeId="0" xr:uid="{B7F0E7D7-8CA7-45BB-AC43-80C075AC5E5D}">
      <text>
        <t xml:space="preserve">[Threaded comment]
Your version of Excel allows you to read this threaded comment; however, any edits to it will get removed if the file is opened in a newer version of Excel. Learn more: https://go.microsoft.com/fwlink/?linkid=870924
Comment:
    E-invoicing solution </t>
      </text>
    </comment>
    <comment ref="H24" authorId="1" shapeId="0" xr:uid="{BE384514-E4F6-40E1-AED7-E41E4CFEB61A}">
      <text>
        <t xml:space="preserve">[Threaded comment]
Your version of Excel allows you to read this threaded comment; however, any edits to it will get removed if the file is opened in a newer version of Excel. Learn more: https://go.microsoft.com/fwlink/?linkid=870924
Comment:
    Middleware solution </t>
      </text>
    </comment>
    <comment ref="H26" authorId="2" shapeId="0" xr:uid="{C0A9719D-A667-4D10-A30C-18B8428E7B23}">
      <text>
        <t>[Threaded comment]
Your version of Excel allows you to read this threaded comment; however, any edits to it will get removed if the file is opened in a newer version of Excel. Learn more: https://go.microsoft.com/fwlink/?linkid=870924
Comment:
    A unified dara platform for better BI capabilities</t>
      </text>
    </comment>
    <comment ref="H27" authorId="3" shapeId="0" xr:uid="{B4CFA740-9084-45DD-A05F-DA9496387A02}">
      <text>
        <t>[Threaded comment]
Your version of Excel allows you to read this threaded comment; however, any edits to it will get removed if the file is opened in a newer version of Excel. Learn more: https://go.microsoft.com/fwlink/?linkid=870924
Comment:
    Optional : An integrated digital adoption solution to provide step-by-step user guidance, accelerating software onboarding and reducing data entry errors through 
live on-screen interactive assistance.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tc={C7578356-2273-42BB-9D8F-B7465B65F6AC}</author>
  </authors>
  <commentList>
    <comment ref="C56" authorId="0" shapeId="0" xr:uid="{C7578356-2273-42BB-9D8F-B7465B65F6AC}">
      <text>
        <t>[Threaded comment]
Your version of Excel allows you to read this threaded comment; however, any edits to it will get removed if the file is opened in a newer version of Excel. Learn more: https://go.microsoft.com/fwlink/?linkid=870924
Comment:
    Added by Camille, to be equivalent by Netsuite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tc={4DDE38F1-83E4-4C80-BA13-C1D6D1AD8382}</author>
    <author>tc={B57D35B4-D1E2-48D8-967B-42EFE84796CD}</author>
    <author>tc={F132490F-A3A8-46A1-B36F-D08D1CED7EEF}</author>
  </authors>
  <commentList>
    <comment ref="C12" authorId="0" shapeId="0" xr:uid="{4DDE38F1-83E4-4C80-BA13-C1D6D1AD8382}">
      <text>
        <t>[Threaded comment]
Your version of Excel allows you to read this threaded comment; however, any edits to it will get removed if the file is opened in a newer version of Excel. Learn more: https://go.microsoft.com/fwlink/?linkid=870924
Comment:
    717670 de base, j’ai modifié car pas aligné</t>
      </text>
    </comment>
    <comment ref="D12" authorId="1" shapeId="0" xr:uid="{B57D35B4-D1E2-48D8-967B-42EFE84796CD}">
      <text>
        <t>[Threaded comment]
Your version of Excel allows you to read this threaded comment; however, any edits to it will get removed if the file is opened in a newer version of Excel. Learn more: https://go.microsoft.com/fwlink/?linkid=870924
Comment:
    E-invoicing + BI</t>
      </text>
    </comment>
    <comment ref="C14" authorId="2" shapeId="0" xr:uid="{F132490F-A3A8-46A1-B36F-D08D1CED7EEF}">
      <text>
        <t>[Threaded comment]
Your version of Excel allows you to read this threaded comment; however, any edits to it will get removed if the file is opened in a newer version of Excel. Learn more: https://go.microsoft.com/fwlink/?linkid=870924
Comment:
    92k given during audition for licences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<sst xmlns="http://schemas.openxmlformats.org/spreadsheetml/2006/main" count="1410" uniqueCount="298">
  <si>
    <t>Abivax financial grids</t>
  </si>
  <si>
    <t>Support in choosing and implementing an ERP solution</t>
  </si>
  <si>
    <t>Hypothesis used for final comparison (%)</t>
  </si>
  <si>
    <t>Contingency</t>
  </si>
  <si>
    <t>Inflation rate for licenses costs and TMA - from Y4</t>
  </si>
  <si>
    <t>External support %</t>
  </si>
  <si>
    <t>Additional costs in analysis (comparison cash conso forecast VS cash forecast analysis</t>
  </si>
  <si>
    <t>Netsuite - Oracle</t>
  </si>
  <si>
    <t>SAP - KPMG</t>
  </si>
  <si>
    <t>Comment</t>
  </si>
  <si>
    <t>Differences</t>
  </si>
  <si>
    <t>Overall cost over 3 years</t>
  </si>
  <si>
    <t>Contingency + external support</t>
  </si>
  <si>
    <t>Overall cost over 5 years</t>
  </si>
  <si>
    <t>Contingency + external support + inflation rate</t>
  </si>
  <si>
    <t>Overall cost over 10 years</t>
  </si>
  <si>
    <t>Sub-total “Run” Saas (3 years)</t>
  </si>
  <si>
    <t>No inflation rate</t>
  </si>
  <si>
    <t>Sub-total “Run” Saas (5 years)</t>
  </si>
  <si>
    <t>Inflation rate -   because of transitional year for the MS program and reduction of costs environment</t>
  </si>
  <si>
    <t>Sub-total “Run” Saas (10 years)</t>
  </si>
  <si>
    <t>Inflation rate</t>
  </si>
  <si>
    <t>After first negociations</t>
  </si>
  <si>
    <t>Cash-out forecast for Abivax</t>
  </si>
  <si>
    <t>Editor/Implementer</t>
  </si>
  <si>
    <t>Year 1</t>
  </si>
  <si>
    <t>Year 2</t>
  </si>
  <si>
    <t>Year 3</t>
  </si>
  <si>
    <t>Year 4</t>
  </si>
  <si>
    <t>Year 5</t>
  </si>
  <si>
    <t>Year 6</t>
  </si>
  <si>
    <t>Year 7</t>
  </si>
  <si>
    <t>Year 8</t>
  </si>
  <si>
    <t>Year 9</t>
  </si>
  <si>
    <t>Year 10</t>
  </si>
  <si>
    <t>TOTAL</t>
  </si>
  <si>
    <t>CTRL</t>
  </si>
  <si>
    <t>Build + T&amp;E + Contingency</t>
  </si>
  <si>
    <t>External support</t>
  </si>
  <si>
    <t xml:space="preserve">Run (license cost and TMA) </t>
  </si>
  <si>
    <t>BUILD</t>
  </si>
  <si>
    <t>Run &amp; TMA</t>
  </si>
  <si>
    <t>-81K OK reated to Y1 ramp up</t>
  </si>
  <si>
    <t>DETAIL OF FINANCIAL ANALYSIS</t>
  </si>
  <si>
    <t>Saas</t>
  </si>
  <si>
    <t>Build</t>
  </si>
  <si>
    <t>Project management</t>
  </si>
  <si>
    <t>Initialization</t>
  </si>
  <si>
    <t>Solution design</t>
  </si>
  <si>
    <t>Solution implementation</t>
  </si>
  <si>
    <t>Data recovery</t>
  </si>
  <si>
    <t>Acceptance</t>
  </si>
  <si>
    <t>Training</t>
  </si>
  <si>
    <t>Production start-up and assistance</t>
  </si>
  <si>
    <t>Maintenance and user support during the warranty phase</t>
  </si>
  <si>
    <t>Reversibility management</t>
  </si>
  <si>
    <t>Best-of-breed implementation (options)</t>
  </si>
  <si>
    <t>Travel expenses</t>
  </si>
  <si>
    <t>Sub-total “Build” (One-Off)</t>
  </si>
  <si>
    <t>Run</t>
  </si>
  <si>
    <t>SAAS rent (annual)</t>
  </si>
  <si>
    <t>SaaS rent (annual unit basis)</t>
  </si>
  <si>
    <t>SaaS rent (monthly basis)</t>
  </si>
  <si>
    <t>SaaS rent (annual basis)</t>
  </si>
  <si>
    <t>Best of Breed SaaS rent (annual basis)</t>
  </si>
  <si>
    <t>Hosting subscription (annual)</t>
  </si>
  <si>
    <t>Other costs</t>
  </si>
  <si>
    <t>TMA (annual)</t>
  </si>
  <si>
    <t>Support (annual basis)</t>
  </si>
  <si>
    <t>TMA rent (annual basis)</t>
  </si>
  <si>
    <t>Other support / maintenance services</t>
  </si>
  <si>
    <t>Sub-total “Run” Saas (annual)</t>
  </si>
  <si>
    <t>Total (man days)</t>
  </si>
  <si>
    <t xml:space="preserve">Integrator's average daily rate </t>
  </si>
  <si>
    <t>Abivax Workload</t>
  </si>
  <si>
    <t>Ratio Abivax load VS implementer</t>
  </si>
  <si>
    <t>2 hypercare months for SAP</t>
  </si>
  <si>
    <t>Total (man days) without best of breed</t>
  </si>
  <si>
    <t>Ratio Abivax load VS inmplementer</t>
  </si>
  <si>
    <t>BUILD (3)</t>
  </si>
  <si>
    <t>BUILD (4)</t>
  </si>
  <si>
    <t>Total design</t>
  </si>
  <si>
    <t>Unit public price per user per year for Core solution for a full user</t>
  </si>
  <si>
    <t>Discount proposed on public price</t>
  </si>
  <si>
    <t>Not communicated</t>
  </si>
  <si>
    <t>Unit price per user per year for Core solution for a full user</t>
  </si>
  <si>
    <t>License mix</t>
  </si>
  <si>
    <t>NetSuite SuiteSuccess Financials Premium Cloud Service: 1 for 43K each
NetSuite General Access Cloud Service User (full user): 42 for 1K3 each
NetSuite Employee Self-Serve Cloud Service Users: 85 for 216 each
NetSuite Specialized View and Approve Cloud Service  Users: 10 for 336 each
NetSuite OneWorld Cloud Service: 1 for 21,6K each
NetSuite Procurement Mid-Market Cloud Service: 1 for 6K480 each
NetSuite Inventory Management Mid-Market Cloud Service: 1 for 6k480 each</t>
  </si>
  <si>
    <t>SAP Finance and Supply Chain developer: 2 for 2K9 each
SAP Finance Base: 15 for 3K each
SAP Finance and Supply Chain operations: 35 for 700 each
SAP Finance and Supply Chain self-service: 90 for 146 each
SAP Ariba Central Invoice Management: 20 for 618 each 
SAP AI Units: 10 for 320 each
SAP BTPEA - Build Automation: 1 for 11K each</t>
  </si>
  <si>
    <t>Total amount of licenses for Core solution / per year</t>
  </si>
  <si>
    <t>Total amounts of licenses per year discounts included / with best of breed solution</t>
  </si>
  <si>
    <t>Total amount / by number of real Abivax users (142 in RFP)</t>
  </si>
  <si>
    <t>Best-of-breed implementation nb of days</t>
  </si>
  <si>
    <t>Company name</t>
  </si>
  <si>
    <t>Oracle Corporation UK Limited</t>
  </si>
  <si>
    <t xml:space="preserve">Solution name </t>
  </si>
  <si>
    <t>Netsuite</t>
  </si>
  <si>
    <t>DETAIL OF RUN</t>
  </si>
  <si>
    <t>Fields to be completed by applicant</t>
  </si>
  <si>
    <t>License cost</t>
  </si>
  <si>
    <t>Criteria</t>
  </si>
  <si>
    <t>Quantity</t>
  </si>
  <si>
    <t>Unit price by year by user</t>
  </si>
  <si>
    <t>Acquisition cost Public price</t>
  </si>
  <si>
    <t>Applicable rebate</t>
  </si>
  <si>
    <t>Final offer V1</t>
  </si>
  <si>
    <t>Comments</t>
  </si>
  <si>
    <t>Licences Core Model</t>
  </si>
  <si>
    <t>Nb of users</t>
  </si>
  <si>
    <t>Unit price € Excluding tax</t>
  </si>
  <si>
    <t>€ Excluding tax (by year)</t>
  </si>
  <si>
    <t>%</t>
  </si>
  <si>
    <t>€ Excluding tax</t>
  </si>
  <si>
    <t>NetSuite SuiteSuccess Financials Premium Cloud Service</t>
  </si>
  <si>
    <t>This refers to the core ERP, which includes all standard functionalities, excluding optional modules.</t>
  </si>
  <si>
    <t>NetSuite General Access Cloud Service User (full user)</t>
  </si>
  <si>
    <t>This represents the upper-bound assumption for the number of Full users. This number can be reduced in favor of “Self-Serve” or “View and Approve” user profiles, following our discussions to define the appropriate user volume based on business needs.</t>
  </si>
  <si>
    <t>NetSuite Employee Self-Serve Cloud Service Users</t>
  </si>
  <si>
    <t>The NetSuite Employee Self-Serve user is a limited-access internal user designed for employees to perform basic self-service activities. 
This user profile allows employees to:
Enter and submit their worked time
Submit personal expense reports
Submit purchase requests
Create and submit support tickets
Approve time and expense transactions
Create events, contacts, and tasks in the NetSuite calendar
This role does not provide any access to accounting, financial, sales, administrative, or marketing functions, nor to financial reports, budgets, or transactions (including view-only access). 
- One pack of 5 NetSuite Employee Self-Service Cloud Service Users is already included in the NetSuite SuiteSuccess Financials Premier core ERP.</t>
  </si>
  <si>
    <t>NetSuite Specialized View and Approve Cloud Service  Users</t>
  </si>
  <si>
    <t xml:space="preserve">NetSuite Specialized View and Approve Cloud Service 5-Pk Users allows a User to have read-only access and
approve specific records, as listed below, within the NetSuite Cloud Service.
• Invoices;
• Journal Entries;
• Return Authorizations;
• Sales Orders;
• Transfer Orders;
• Vendor Bills;
• Vendor Payments;
• Vendor In-Transit Payments; and
• Vendor Return Authorizations.
If Customer has Procurement Management Cloud Service (any edition), then NetSuite Specialized View and
Approve Cloud Service 5-Pk Users allows a User to have read-only access and approve specific records, as listed
below:
• Blanket Purchase Orders;
• Purchase Contract Approvals; and
• Requisitions Approvals.
NetSuite Specialized View and Approve Cloud Service 5-Pk Users cannot:
• Transact within the NetSuite Service;
• Set up or configure any NetSuite Service;
• Modify pre-established permissions already restricted to “Approve” or “View-Only” access;
• View payroll information; or
• View employee records.
Usage Limits: NetSuite Specialized View and Approve Cloud Service 5-Pk Users is subject to the following usage
limits:
• Customer is entitled to the quantity of NetSuite Specialized View and Approve Cloud Service 5-Pk
Users specified in Customer’s Estimate Order Form.
• NetSuite Specialized View and Approve Cloud Service 5-Pk Users is limited to only the features and
functionalities and Customer records listed above that the Customer makes available to the specific
NetSuite Specialized View and Approve Cloud Service 5-Pk Users. If customizations result in
modifications to the access and use rights granted to the NetSuite Specialized View and Approve Cloud </t>
  </si>
  <si>
    <t>NetSuite OneWorld Cloud Service</t>
  </si>
  <si>
    <t>NetSuite OneWorld allows a company to manage multiple subsidiaries, business units, and locations across different countries, including localized operations like US subsidiaries.</t>
  </si>
  <si>
    <t>NetSuite Procurement Mid-Market Cloud Service</t>
  </si>
  <si>
    <t>NetSuite Inventory Management Mid-Market Cloud Service</t>
  </si>
  <si>
    <t>Sub-total for licences cost (core model exc. Best of breed)</t>
  </si>
  <si>
    <t>Add-ons, best-of-breed and other licenses by domain</t>
  </si>
  <si>
    <t>NetSuite Analytics Warehouse Standard Cloud Service (NSAW)</t>
  </si>
  <si>
    <t>NetSuite Analytics Warehouse (NSAW) is NetSuite’s BI tool for reporting, analytics, and dashboards. 10 users included</t>
  </si>
  <si>
    <t>Oracle Integration Cloud Service for Oracle SaaS - Standard (NSIP)</t>
  </si>
  <si>
    <t>NSIP is NetSuite’s ETL tool for integrating, transforming, and syncing data</t>
  </si>
  <si>
    <t>ZoneCapture</t>
  </si>
  <si>
    <t>Partner solution (SDN) built for NetSuite for OCR. Pricing is based on the number of vendor invoices. The indicated price corresponds to a maximum volume of 500 invoices per month.</t>
  </si>
  <si>
    <t>Moved from "Other cost items</t>
  </si>
  <si>
    <t>NetSuite Electronic Invoices Mid-Market Cloud Service</t>
  </si>
  <si>
    <t>This service supports e-invoicing by enabling the creation, transmission, and management of electronic invoices directly within NetSuite.</t>
  </si>
  <si>
    <t>NetSuite Electronic Business Extension</t>
  </si>
  <si>
    <t>NetSuite Electronic Business Extension provides the secure integration layer required to enable electronic business communications, including e-invoicing, between NetSuite and external partners or networks.</t>
  </si>
  <si>
    <t>NetSuite Electronic Document Processing Cloud Service</t>
  </si>
  <si>
    <t>NetSuite Electronic Document Processing Cloud Service enables the electronic processing of various business documents (such as invoices, bills, credit memos, cash sales, purchase orders, and more) through Avalara networks, with each license including a cap of 1000 Documents Processed per 12-month period.</t>
  </si>
  <si>
    <t>Sub-total for licences cost (Best of breed)</t>
  </si>
  <si>
    <t>Support &amp; Maintenance</t>
  </si>
  <si>
    <t>Support (helpdesk) = 20 days per year NetSuite Premium Support</t>
  </si>
  <si>
    <t>Maintenance : 
   • Corrective maintenance = 30 days per year
   • Major release assistance = 10 days per year
   • Evolution assistance = 15 days a year
   • Project management related to the follow-up of               services provided = 2 hours by quarter</t>
  </si>
  <si>
    <t>refer to appendix ABIVAX - Appendix Delivery team NetSuite CS.zip document in 008 Maintenance team - ACS presentation</t>
  </si>
  <si>
    <t>Customer Learning Cloud Support Company Pass - Premium</t>
  </si>
  <si>
    <t>Total other services offered</t>
  </si>
  <si>
    <t>Other cost items (infrastructure, etc.)</t>
  </si>
  <si>
    <t>NetSuite Standard Tier Infrastructure Cloud Service (included)</t>
  </si>
  <si>
    <t>Standard Tier – Infrastructure sized according to transaction volume and user count; to be confirmed based on discussions. This is the Standard version, which can be upgraded to premium based on our discussions.</t>
  </si>
  <si>
    <t>NetSuite Sandbox Environment Cloud Service</t>
  </si>
  <si>
    <t>Sub-total for other items</t>
  </si>
  <si>
    <t>It is understood that further discussions and dialogue will take place between us and that these may lead us to agree changes to the solution which is currently envisaged. If that happens we will issue an updated estimate reflecting such changes.</t>
  </si>
  <si>
    <t>DETAIL OF BUILD</t>
  </si>
  <si>
    <t>Is the project costed on a fixed-price basis?</t>
  </si>
  <si>
    <t>Phases</t>
  </si>
  <si>
    <t>Workloads Provider / profile / phase</t>
  </si>
  <si>
    <t>GC workloads / profile / phase</t>
  </si>
  <si>
    <t>Assumptions / Comments</t>
  </si>
  <si>
    <t xml:space="preserve">Project Director Profile </t>
  </si>
  <si>
    <t xml:space="preserve">Project Manager Profile </t>
  </si>
  <si>
    <t xml:space="preserve">Technical Consultant Profile </t>
  </si>
  <si>
    <t xml:space="preserve">Functional Consultant Profile </t>
  </si>
  <si>
    <t xml:space="preserve">Trainer Profile </t>
  </si>
  <si>
    <t>IT Architect Profile</t>
  </si>
  <si>
    <t>Profile xxxxxx</t>
  </si>
  <si>
    <t>Profile  xxxxxx</t>
  </si>
  <si>
    <t>Total (Days)</t>
  </si>
  <si>
    <t>Total € by phase</t>
  </si>
  <si>
    <t>Project Manager</t>
  </si>
  <si>
    <t>BPO</t>
  </si>
  <si>
    <t>Key User</t>
  </si>
  <si>
    <t>Users</t>
  </si>
  <si>
    <t>IT team member (technical responsible)</t>
  </si>
  <si>
    <t>Total (D)</t>
  </si>
  <si>
    <t>Average daily rate by profile (in € excl. tax)</t>
  </si>
  <si>
    <t>Estimated workload (in days)</t>
  </si>
  <si>
    <t>Project follow-up</t>
  </si>
  <si>
    <t>Project scoping and launch</t>
  </si>
  <si>
    <t>Technical analysis</t>
  </si>
  <si>
    <t>Functional analysis</t>
  </si>
  <si>
    <t>Data analysis</t>
  </si>
  <si>
    <t>Preparation of environments</t>
  </si>
  <si>
    <t>Drafting of solution design file</t>
  </si>
  <si>
    <t>Definition of development plan</t>
  </si>
  <si>
    <t>Initialization and design</t>
  </si>
  <si>
    <t>Specific development and parameterization</t>
  </si>
  <si>
    <t>Realization of interfaces (please provide with the details in the Interfaces detail tab)</t>
  </si>
  <si>
    <t>Production of editions</t>
  </si>
  <si>
    <t>Production of indicators and dashboards</t>
  </si>
  <si>
    <t>Unit testing</t>
  </si>
  <si>
    <t>End-to-end testing support</t>
  </si>
  <si>
    <t>Data migration</t>
  </si>
  <si>
    <t>Cleaning and standardization of repositories</t>
  </si>
  <si>
    <t>Formalization of target data architecture</t>
  </si>
  <si>
    <t>Support during acceptance phase</t>
  </si>
  <si>
    <t>Formalization of training plan and training materials (for users, tool admins and managers)</t>
  </si>
  <si>
    <t>Conduct training sessions (for users, tool admins and managers)</t>
  </si>
  <si>
    <t>Decommissioning and changeover</t>
  </si>
  <si>
    <t>Maintenance and user support</t>
  </si>
  <si>
    <t>ACS support included in the Run section</t>
  </si>
  <si>
    <t>Best of breed implementation (only total amounts for each best of breed solution - you can copy this tab to make a separate financial grid for each solution)</t>
  </si>
  <si>
    <t>Best of breed 1 - NSAW (NetSuite Analytics DataWarehouse)  Total</t>
  </si>
  <si>
    <t>NSAW configuration included in the core project (around 100 hours)</t>
  </si>
  <si>
    <t>Best of breed 2 - Zone Capture (OCR) - Standard implementation -  Total</t>
  </si>
  <si>
    <t>Best of breed 3  Total</t>
  </si>
  <si>
    <t>Total Implementation (D)</t>
  </si>
  <si>
    <t>COST PER PROFILE ( € ) excl. tax (for the domain) / incl. Travel expenses</t>
  </si>
  <si>
    <t>TOTAL COST ( € ) excl. tax for the domain</t>
  </si>
  <si>
    <t>Average daily rate</t>
  </si>
  <si>
    <t>INTERFACES DETAILS</t>
  </si>
  <si>
    <t>ID</t>
  </si>
  <si>
    <t>No.</t>
  </si>
  <si>
    <t>Application name (t obe interfaced with the future ERP system</t>
  </si>
  <si>
    <t>Business objects exchanged</t>
  </si>
  <si>
    <t>Estimation in number of days</t>
  </si>
  <si>
    <t>Interfaces with existing solutions</t>
  </si>
  <si>
    <t>Trust Pair</t>
  </si>
  <si>
    <t>Supplier database verification (vendor master data, risk scoring, validation status)</t>
  </si>
  <si>
    <t>Agicap</t>
  </si>
  <si>
    <t>Treasury &amp; cash management (cash positions, bank transactions, forecasts)</t>
  </si>
  <si>
    <t>E-invoicing platform (TBD)</t>
  </si>
  <si>
    <t>E-invoicing management (customer &amp; supplier invoices, statuses, legal archiving references)</t>
  </si>
  <si>
    <t>ADP</t>
  </si>
  <si>
    <t>Payroll data, HR master data</t>
  </si>
  <si>
    <t>Lucca</t>
  </si>
  <si>
    <t>People management</t>
  </si>
  <si>
    <t>Workday Adaptive Planning</t>
  </si>
  <si>
    <t>Budget data, forecasts, analytical structures</t>
  </si>
  <si>
    <t>Workiva</t>
  </si>
  <si>
    <t>Financial reporting data (journals, adjustments, disclosure items)</t>
  </si>
  <si>
    <t>SAP Concur</t>
  </si>
  <si>
    <t>Expense report</t>
  </si>
  <si>
    <t>Interfaces with possible future solutions</t>
  </si>
  <si>
    <t>3PL</t>
  </si>
  <si>
    <t>Inventory, shipment, and logistics data</t>
  </si>
  <si>
    <t>Order to cash partner</t>
  </si>
  <si>
    <t>Order-to-cash information, including orders, billing, and customer transactions</t>
  </si>
  <si>
    <t>Production partner</t>
  </si>
  <si>
    <t>Production data such as manufacturing orders, consumption, and outputs with the production system.</t>
  </si>
  <si>
    <t>DETAIL OF CASH FORECAST</t>
  </si>
  <si>
    <t>Total</t>
  </si>
  <si>
    <t>Run (license cost and TMA)</t>
  </si>
  <si>
    <t>It is understood that further discussions and dialogue will take place between us and that these may lead us to agree changes to the solution which is currently envisaged. 
If that happens we will issue an updated estimate reflecting such changes.</t>
  </si>
  <si>
    <t>NB : KPMG a retiré le taux d'inflation de 7% car il est déjà comptabilisé dans l'analyse générale</t>
  </si>
  <si>
    <t>L</t>
  </si>
  <si>
    <t>ERP solution - Integrator</t>
  </si>
  <si>
    <t>Best-of-breed implementation</t>
  </si>
  <si>
    <t xml:space="preserve">It is understood that further discussions and dialogue will take place between us and that these may lead us to agree changes to the solution which is currently envisaged. If that happens we will issue an updated estimate reflecting such changes.														</t>
  </si>
  <si>
    <t>KPMG</t>
  </si>
  <si>
    <t>SAP S/4HANA Public Cloud</t>
  </si>
  <si>
    <t>SAP Finance and Supply Chain developer</t>
  </si>
  <si>
    <t>SAP Finance Base</t>
  </si>
  <si>
    <t>SAP Finance and Supply Chain operations</t>
  </si>
  <si>
    <t>SAP Finance and Supply Chain self-service</t>
  </si>
  <si>
    <t>SAP Ariba Central Invoice Management</t>
  </si>
  <si>
    <t>SAP AI Units</t>
  </si>
  <si>
    <t>SAP BTPEA - Build Automation</t>
  </si>
  <si>
    <t>SAP Document and Reporting Compliance (Recommended)</t>
  </si>
  <si>
    <t>Optional? To be checked in SAP doc</t>
  </si>
  <si>
    <t>Cloud Edition (Recommended)</t>
  </si>
  <si>
    <t>SAP intergration Suite, basic edition (Recommended)</t>
  </si>
  <si>
    <t>Customer-Managed Data Products</t>
  </si>
  <si>
    <t>SAP Business Data Cloud, core capacity</t>
  </si>
  <si>
    <t>WalkMe LearningArc</t>
  </si>
  <si>
    <t>Day</t>
  </si>
  <si>
    <t>Support (helpdesk) = 20 days per year</t>
  </si>
  <si>
    <t>List other services offered</t>
  </si>
  <si>
    <t>List the other cost items (hardware, servers, etc.) from an infrastructure point of view</t>
  </si>
  <si>
    <t>Best of breed 1  Total (Middleware)</t>
  </si>
  <si>
    <t>Best of breed 2  Total (eletronic invoicing)</t>
  </si>
  <si>
    <t>Best of breed 3  Total (business intelligence)</t>
  </si>
  <si>
    <t>per partner</t>
  </si>
  <si>
    <t>Comms Camille</t>
  </si>
  <si>
    <t>5 year contracts, possible to go up to 7</t>
  </si>
  <si>
    <t>Subjected to CPI / all years. Starting Y2</t>
  </si>
  <si>
    <t>Already apply a commercial effort.</t>
  </si>
  <si>
    <t>x</t>
  </si>
  <si>
    <t>Oracle</t>
  </si>
  <si>
    <t>Sage</t>
  </si>
  <si>
    <t>IFS Cloud</t>
  </si>
  <si>
    <t>Microsoft</t>
  </si>
  <si>
    <t>SAP</t>
  </si>
  <si>
    <t>Infor</t>
  </si>
  <si>
    <t>Licences Core model</t>
  </si>
  <si>
    <t>Add-ons, best-of-breed and other licenses by domain :</t>
  </si>
  <si>
    <t>Support / Maintenance</t>
  </si>
  <si>
    <t>Maintenance (TMA - annual basis)</t>
  </si>
  <si>
    <t>DETAIL of BUILD</t>
  </si>
  <si>
    <t>Oracle - x</t>
  </si>
  <si>
    <t>Sage - x</t>
  </si>
  <si>
    <t>IFS Cloud - x</t>
  </si>
  <si>
    <t>Microsoft - x</t>
  </si>
  <si>
    <t>SAP - x</t>
  </si>
  <si>
    <t>Infor - x</t>
  </si>
  <si>
    <t>Realization of interfaces</t>
  </si>
  <si>
    <t>Best of breed 1  Total</t>
  </si>
  <si>
    <t>Best of breed 2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</si>
</sst>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quot;€&quot;;\-#,##0\ &quot;€&quot;"/>
    <numFmt numFmtId="165" formatCode="#,##0\ &quot;€&quot;;[Red]\-#,##0\ &quot;€&quot;"/>
    <numFmt numFmtId="166" formatCode="_-* #,##0.00\ &quot;€&quot;_-;\-* #,##0.00\ &quot;€&quot;_-;_-* &quot;-&quot;??\ &quot;€&quot;_-;_-@_-"/>
    <numFmt numFmtId="167" formatCode="_-* #,##0.00_-;\-* #,##0.00_-;_-* &quot;-&quot;??_-;_-@_-"/>
    <numFmt numFmtId="168" formatCode="_-* #,##0.00\ &quot;F&quot;_-;\-* #,##0.00\ &quot;F&quot;_-;_-* &quot;-&quot;??\ &quot;F&quot;_-;_-@_-"/>
    <numFmt numFmtId="169" formatCode="_-* #,##0_-;\-* #,##0_-;_-* &quot;-&quot;??_-;_-@_-"/>
    <numFmt numFmtId="170" formatCode="_-* #,##0\ &quot;€&quot;_-;\-* #,##0\ &quot;€&quot;_-;_-* &quot;-&quot;??\ &quot;€&quot;_-;_-@_-"/>
    <numFmt numFmtId="171" formatCode="#,##0.00\ &quot;€&quot;"/>
    <numFmt numFmtId="172" formatCode="_-* #,##0.00\ [$€-40C]_-;\-* #,##0.00\ [$€-40C]_-;_-* &quot;-&quot;??\ [$€-40C]_-;_-@_-"/>
    <numFmt numFmtId="173" formatCode="_-* #,##0.00\ _€_-;\-* #,##0.00\ _€_-;_-* &quot;-&quot;??\ _€_-;_-@_-"/>
  </numFmts>
  <fonts count="55">
    <font>
      <sz val="11"/>
      <color theme="1"/>
      <name val="Source Sans Pro"/>
      <family val="2"/>
      <scheme val="minor"/>
    </font>
    <font>
      <sz val="8"/>
      <color theme="1"/>
      <name val="Arial"/>
      <family val="2"/>
    </font>
    <font>
      <sz val="11"/>
      <color theme="1"/>
      <name val="Source Sans Pro"/>
      <family val="2"/>
      <scheme val="minor"/>
    </font>
    <font>
      <b/>
      <sz val="11"/>
      <color theme="1"/>
      <name val="Source Sans Pro"/>
      <family val="2"/>
      <scheme val="minor"/>
    </font>
    <font>
      <sz val="10"/>
      <name val="Arial"/>
      <family val="2"/>
    </font>
    <font>
      <b/>
      <sz val="10"/>
      <name val="Arial"/>
      <family val="2"/>
    </font>
    <font>
      <sz val="10"/>
      <color theme="1"/>
      <name val="Arial"/>
      <family val="2"/>
    </font>
    <font>
      <b/>
      <sz val="10"/>
      <color theme="1"/>
      <name val="Arial"/>
      <family val="2"/>
    </font>
    <font>
      <b/>
      <i/>
      <sz val="10"/>
      <name val="Arial"/>
      <family val="2"/>
    </font>
    <font>
      <b/>
      <sz val="10"/>
      <color theme="0"/>
      <name val="Arial"/>
      <family val="2"/>
    </font>
    <font>
      <b/>
      <i/>
      <sz val="10"/>
      <color indexed="9"/>
      <name val="Arial"/>
      <family val="2"/>
    </font>
    <font>
      <b/>
      <sz val="10"/>
      <color indexed="9"/>
      <name val="Arial"/>
      <family val="2"/>
    </font>
    <font>
      <b/>
      <sz val="11"/>
      <color indexed="9"/>
      <name val="Arial"/>
      <family val="2"/>
    </font>
    <font>
      <sz val="8"/>
      <name val="MS Sans Serif"/>
      <family val="2"/>
    </font>
    <font>
      <sz val="22"/>
      <color theme="1"/>
      <name val="Source Sans Pro"/>
      <family val="2"/>
      <scheme val="minor"/>
    </font>
    <font>
      <b/>
      <sz val="20"/>
      <color rgb="FFFFFFFF"/>
      <name val="Arial"/>
      <family val="2"/>
    </font>
    <font>
      <b/>
      <sz val="11"/>
      <color rgb="FFFFFFFF"/>
      <name val="Arial"/>
      <family val="2"/>
    </font>
    <font>
      <sz val="8"/>
      <name val="Source Sans Pro"/>
      <family val="2"/>
      <scheme val="minor"/>
    </font>
    <font>
      <sz val="11"/>
      <color theme="1"/>
      <name val="Arial"/>
      <family val="2"/>
    </font>
    <font>
      <sz val="8"/>
      <color theme="1"/>
      <name val="Arial"/>
      <family val="2"/>
    </font>
    <font>
      <sz val="11"/>
      <name val="Arial"/>
      <family val="2"/>
    </font>
    <font>
      <b/>
      <sz val="11"/>
      <name val="Arial"/>
      <family val="2"/>
    </font>
    <font>
      <b/>
      <sz val="11"/>
      <color theme="0"/>
      <name val="Arial"/>
      <family val="2"/>
    </font>
    <font>
      <sz val="11"/>
      <color theme="0"/>
      <name val="Arial"/>
      <family val="2"/>
    </font>
    <font>
      <b/>
      <sz val="20"/>
      <color theme="0"/>
      <name val="Arial"/>
      <family val="2"/>
    </font>
    <font>
      <sz val="11"/>
      <color rgb="FF000000"/>
      <name val="Arial"/>
      <family val="2"/>
    </font>
    <font>
      <b/>
      <sz val="11"/>
      <color theme="1"/>
      <name val="Arial"/>
      <family val="2"/>
    </font>
    <font>
      <sz val="11"/>
      <color rgb="FFFFFFFF"/>
      <name val="Arial"/>
      <family val="2"/>
    </font>
    <font>
      <b/>
      <i/>
      <sz val="11"/>
      <name val="Arial"/>
      <family val="2"/>
    </font>
    <font>
      <b/>
      <i/>
      <sz val="11"/>
      <color indexed="9"/>
      <name val="Arial"/>
      <family val="2"/>
    </font>
    <font>
      <b/>
      <sz val="11"/>
      <color theme="0"/>
      <name val="Source Sans Pro"/>
      <family val="2"/>
      <scheme val="minor"/>
    </font>
    <font>
      <sz val="10"/>
      <color rgb="FF000000"/>
      <name val="Arial"/>
      <family val="2"/>
    </font>
    <font>
      <b/>
      <sz val="16"/>
      <color theme="0"/>
      <name val="Arial"/>
      <family val="2"/>
    </font>
    <font>
      <b/>
      <sz val="11"/>
      <color theme="2"/>
      <name val="Arial"/>
      <family val="2"/>
    </font>
    <font>
      <i/>
      <sz val="10"/>
      <name val="Arial"/>
      <family val="2"/>
    </font>
    <font>
      <b/>
      <sz val="9"/>
      <name val="Arial"/>
      <family val="2"/>
    </font>
    <font>
      <sz val="11"/>
      <color theme="1"/>
      <name val="Aptos Narrow"/>
      <family val="2"/>
    </font>
    <font>
      <sz val="9"/>
      <name val="Arial"/>
      <family val="2"/>
    </font>
    <font>
      <b/>
      <sz val="9"/>
      <color theme="0"/>
      <name val="Arial"/>
      <family val="2"/>
    </font>
    <font>
      <i/>
      <sz val="9"/>
      <name val="Arial"/>
      <family val="2"/>
    </font>
    <font>
      <sz val="9"/>
      <color theme="0"/>
      <name val="Arial"/>
      <family val="2"/>
    </font>
    <font>
      <b/>
      <sz val="9"/>
      <color theme="1"/>
      <name val="Arial"/>
      <family val="2"/>
    </font>
    <font>
      <sz val="9"/>
      <color theme="1"/>
      <name val="Arial"/>
      <family val="2"/>
    </font>
    <font>
      <b/>
      <sz val="9"/>
      <color indexed="8"/>
      <name val="Arial"/>
      <family val="2"/>
    </font>
    <font>
      <b/>
      <sz val="10"/>
      <color theme="1"/>
      <name val="Arial"/>
      <family val="2"/>
    </font>
    <font>
      <b/>
      <sz val="22"/>
      <color theme="0"/>
      <name val="Arial"/>
      <family val="2"/>
    </font>
    <font>
      <b/>
      <sz val="9"/>
      <color rgb="FFFFFFFF"/>
      <name val="Arial"/>
      <family val="2"/>
    </font>
    <font>
      <sz val="9"/>
      <color rgb="FFFFFFFF"/>
      <name val="Arial"/>
      <family val="2"/>
    </font>
    <font>
      <sz val="8"/>
      <color theme="1"/>
      <name val="Source Sans Pro"/>
      <family val="2"/>
      <scheme val="minor"/>
    </font>
    <font>
      <sz val="8"/>
      <name val="Arial"/>
      <family val="2"/>
    </font>
    <font>
      <i/>
      <sz val="11"/>
      <name val="Arial"/>
      <family val="2"/>
    </font>
    <font>
      <b/>
      <i/>
      <sz val="10"/>
      <color theme="0"/>
      <name val="Arial"/>
      <family val="2"/>
    </font>
    <font>
      <b/>
      <sz val="14"/>
      <color theme="0"/>
      <name val="Arial"/>
      <family val="2"/>
    </font>
    <font>
      <b/>
      <sz val="8"/>
      <color theme="0"/>
      <name val="Arial"/>
      <family val="2"/>
    </font>
    <font>
      <b/>
      <sz val="8"/>
      <name val="Arial"/>
      <family val="2"/>
    </font>
  </fonts>
  <fills count="2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rgb="FFFFFFFF"/>
        <bgColor indexed="64"/>
      </patternFill>
    </fill>
    <fill>
      <patternFill patternType="solid">
        <fgColor rgb="FFEDEDED"/>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bgColor rgb="FF000000"/>
      </patternFill>
    </fill>
    <fill>
      <patternFill patternType="solid">
        <fgColor theme="6" tint="0.39997558519241921"/>
        <bgColor indexed="64"/>
      </patternFill>
    </fill>
    <fill>
      <patternFill patternType="solid">
        <fgColor theme="8"/>
        <bgColor indexed="64"/>
      </patternFill>
    </fill>
    <fill>
      <patternFill patternType="solid">
        <fgColor theme="0" tint="-4.9989318521683403E-2"/>
        <bgColor indexed="64"/>
      </patternFill>
    </fill>
    <fill>
      <patternFill patternType="solid">
        <fgColor rgb="FF624ED4"/>
        <bgColor indexed="64"/>
      </patternFill>
    </fill>
    <fill>
      <patternFill patternType="solid">
        <fgColor rgb="FFE4C3EB"/>
        <bgColor indexed="64"/>
      </patternFill>
    </fill>
    <fill>
      <patternFill patternType="solid">
        <fgColor rgb="FFF3E2F6"/>
        <bgColor indexed="64"/>
      </patternFill>
    </fill>
    <fill>
      <patternFill patternType="solid">
        <fgColor theme="0" tint="-4.9989318521683403E-2"/>
        <bgColor rgb="FF000000"/>
      </patternFill>
    </fill>
    <fill>
      <patternFill patternType="solid">
        <fgColor rgb="FFEDEDED"/>
        <bgColor rgb="FF000000"/>
      </patternFill>
    </fill>
    <fill>
      <patternFill patternType="solid">
        <fgColor rgb="FF624ED4"/>
        <bgColor rgb="FF000000"/>
      </patternFill>
    </fill>
    <fill>
      <patternFill patternType="solid">
        <fgColor rgb="FFFFFF00"/>
        <bgColor indexed="64"/>
      </patternFill>
    </fill>
    <fill>
      <patternFill patternType="solid">
        <fgColor rgb="FFE7E6E6"/>
        <bgColor rgb="FF000000"/>
      </patternFill>
    </fill>
    <fill>
      <patternFill patternType="solid">
        <fgColor rgb="FFF3E2F6"/>
        <bgColor rgb="FF000000"/>
      </patternFill>
    </fill>
    <fill>
      <patternFill patternType="solid">
        <fgColor rgb="FF7030A0"/>
        <bgColor indexed="64"/>
      </patternFill>
    </fill>
    <fill>
      <patternFill patternType="solid">
        <fgColor rgb="FFE4E1F7"/>
        <bgColor indexed="64"/>
      </patternFill>
    </fill>
  </fills>
  <borders count="43">
    <border>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ck">
        <color theme="0"/>
      </right>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bottom style="thick">
        <color theme="0"/>
      </bottom>
      <diagonal/>
    </border>
    <border>
      <left style="thick">
        <color theme="0"/>
      </left>
      <right style="thick">
        <color theme="0"/>
      </right>
      <top/>
      <bottom style="thick">
        <color theme="0"/>
      </bottom>
      <diagonal/>
    </border>
    <border>
      <left style="thin">
        <color theme="0"/>
      </left>
      <right style="thin">
        <color theme="0"/>
      </right>
      <top style="thin">
        <color theme="0"/>
      </top>
      <bottom style="thin">
        <color theme="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thin">
        <color theme="0"/>
      </left>
      <right/>
      <top/>
      <bottom/>
      <diagonal/>
    </border>
    <border>
      <left/>
      <right style="medium">
        <color rgb="FFFFFFFF"/>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bottom/>
      <diagonal/>
    </border>
    <border>
      <left/>
      <right style="thick">
        <color theme="0"/>
      </right>
      <top/>
      <bottom/>
      <diagonal/>
    </border>
    <border>
      <left style="thick">
        <color theme="0"/>
      </left>
      <right style="thick">
        <color theme="0"/>
      </right>
      <top style="thick">
        <color theme="0"/>
      </top>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theme="0"/>
      </top>
      <bottom style="thin">
        <color theme="0"/>
      </bottom>
      <diagonal/>
    </border>
    <border>
      <left/>
      <right/>
      <top style="thin">
        <color theme="0"/>
      </top>
      <bottom/>
      <diagonal/>
    </border>
    <border>
      <left style="medium">
        <color rgb="FFFFFFFF"/>
      </left>
      <right style="thin">
        <color indexed="64"/>
      </right>
      <top/>
      <bottom/>
      <diagonal/>
    </border>
    <border>
      <left style="thin">
        <color theme="0"/>
      </left>
      <right style="thin">
        <color indexed="64"/>
      </right>
      <top style="thin">
        <color theme="0"/>
      </top>
      <bottom/>
      <diagonal/>
    </border>
    <border>
      <left style="thick">
        <color theme="0"/>
      </left>
      <right style="thin">
        <color indexed="64"/>
      </right>
      <top/>
      <bottom style="thick">
        <color theme="0"/>
      </bottom>
      <diagonal/>
    </border>
    <border>
      <left style="thick">
        <color theme="0"/>
      </left>
      <right style="thin">
        <color indexed="64"/>
      </right>
      <top style="thick">
        <color theme="0"/>
      </top>
      <bottom style="thick">
        <color theme="0"/>
      </bottom>
      <diagonal/>
    </border>
  </borders>
  <cellStyleXfs count="14">
    <xf numFmtId="0" fontId="0" fillId="0" borderId="0"/>
    <xf numFmtId="166" fontId="2" fillId="0" borderId="0" applyFont="0" applyFill="0" applyBorder="0" applyAlignment="0" applyProtection="0"/>
    <xf numFmtId="0" fontId="4" fillId="0" borderId="0"/>
    <xf numFmtId="168" fontId="4" fillId="0" borderId="0" applyFont="0" applyFill="0" applyBorder="0" applyAlignment="0" applyProtection="0"/>
    <xf numFmtId="0" fontId="6" fillId="0" borderId="0"/>
    <xf numFmtId="0" fontId="13" fillId="0" borderId="0">
      <alignment vertical="center"/>
    </xf>
    <xf numFmtId="167" fontId="2" fillId="0" borderId="0" applyFont="0" applyFill="0" applyBorder="0" applyAlignment="0" applyProtection="0"/>
    <xf numFmtId="166" fontId="2" fillId="0" borderId="0" applyFont="0" applyFill="0" applyBorder="0" applyAlignment="0" applyProtection="0"/>
    <xf numFmtId="0" fontId="18" fillId="0" borderId="0"/>
    <xf numFmtId="167" fontId="18" fillId="0" borderId="0" applyFont="0" applyFill="0" applyBorder="0" applyAlignment="0" applyProtection="0"/>
    <xf numFmtId="166" fontId="18" fillId="0" borderId="0" applyFont="0" applyFill="0" applyBorder="0" applyAlignment="0" applyProtection="0"/>
    <xf numFmtId="0" fontId="19" fillId="0" borderId="0"/>
    <xf numFmtId="167" fontId="19" fillId="0" borderId="0" applyFont="0" applyFill="0" applyBorder="0" applyAlignment="0" applyProtection="0"/>
    <xf numFmtId="9" fontId="2" fillId="0" borderId="0" applyFont="0" applyFill="0" applyBorder="0" applyAlignment="0" applyProtection="0"/>
  </cellStyleXfs>
  <cellXfs count="469">
    <xf numFmtId="0" fontId="0" fillId="0" borderId="0" xfId="0"/>
    <xf numFmtId="0" fontId="0" fillId="2" borderId="0" xfId="0" applyFill="1" applyProtection="1">
      <protection locked="0"/>
    </xf>
    <xf numFmtId="0" fontId="0" fillId="0" borderId="0" xfId="0" applyProtection="1">
      <protection locked="0"/>
    </xf>
    <xf numFmtId="0" fontId="4" fillId="2" borderId="0" xfId="2" applyFill="1" applyProtection="1">
      <protection locked="0"/>
    </xf>
    <xf numFmtId="0" fontId="4" fillId="0" borderId="1" xfId="2" applyBorder="1" applyProtection="1">
      <protection locked="0"/>
    </xf>
    <xf numFmtId="0" fontId="4" fillId="0" borderId="0" xfId="2" applyProtection="1">
      <protection locked="0"/>
    </xf>
    <xf numFmtId="0" fontId="0" fillId="2" borderId="0" xfId="0" applyFill="1" applyAlignment="1" applyProtection="1">
      <alignment vertical="center" wrapText="1"/>
      <protection locked="0"/>
    </xf>
    <xf numFmtId="0" fontId="0" fillId="0" borderId="0" xfId="0" applyAlignment="1" applyProtection="1">
      <alignment vertical="center" wrapText="1"/>
      <protection locked="0"/>
    </xf>
    <xf numFmtId="0" fontId="8" fillId="2" borderId="0" xfId="2" applyFont="1" applyFill="1" applyProtection="1">
      <protection locked="0"/>
    </xf>
    <xf numFmtId="0" fontId="10" fillId="0" borderId="0" xfId="2" applyFont="1" applyProtection="1">
      <protection locked="0"/>
    </xf>
    <xf numFmtId="0" fontId="4" fillId="2" borderId="0" xfId="2" applyFill="1" applyAlignment="1" applyProtection="1">
      <alignment horizontal="right"/>
      <protection locked="0"/>
    </xf>
    <xf numFmtId="0" fontId="4" fillId="0" borderId="0" xfId="2" applyAlignment="1" applyProtection="1">
      <alignment horizontal="right"/>
      <protection locked="0"/>
    </xf>
    <xf numFmtId="0" fontId="4" fillId="0" borderId="10" xfId="2" applyBorder="1" applyProtection="1">
      <protection locked="0"/>
    </xf>
    <xf numFmtId="0" fontId="0" fillId="2" borderId="0" xfId="0" applyFill="1"/>
    <xf numFmtId="0" fontId="0" fillId="0" borderId="0" xfId="0" applyAlignment="1">
      <alignment wrapText="1"/>
    </xf>
    <xf numFmtId="0" fontId="4" fillId="2" borderId="0" xfId="2" applyFill="1"/>
    <xf numFmtId="0" fontId="4" fillId="2" borderId="0" xfId="2" applyFill="1" applyAlignment="1">
      <alignment horizontal="center" vertical="center"/>
    </xf>
    <xf numFmtId="0" fontId="13" fillId="2" borderId="0" xfId="5" applyFill="1" applyAlignment="1"/>
    <xf numFmtId="0" fontId="5" fillId="2" borderId="0" xfId="2" applyFont="1" applyFill="1"/>
    <xf numFmtId="0" fontId="13" fillId="2" borderId="0" xfId="5" applyFill="1" applyAlignment="1">
      <alignment wrapText="1"/>
    </xf>
    <xf numFmtId="0" fontId="14" fillId="2" borderId="0" xfId="5" applyFont="1" applyFill="1" applyAlignment="1"/>
    <xf numFmtId="166" fontId="16" fillId="7" borderId="11" xfId="1" applyFont="1" applyFill="1" applyBorder="1" applyAlignment="1">
      <alignment vertical="center"/>
    </xf>
    <xf numFmtId="2" fontId="16" fillId="7" borderId="11" xfId="1" applyNumberFormat="1" applyFont="1" applyFill="1" applyBorder="1" applyAlignment="1">
      <alignment vertical="center"/>
    </xf>
    <xf numFmtId="2" fontId="16" fillId="7" borderId="11" xfId="1" applyNumberFormat="1" applyFont="1" applyFill="1" applyBorder="1" applyAlignment="1">
      <alignment vertical="center" wrapText="1"/>
    </xf>
    <xf numFmtId="0" fontId="18" fillId="2" borderId="0" xfId="0" applyFont="1" applyFill="1"/>
    <xf numFmtId="0" fontId="18" fillId="0" borderId="0" xfId="0" applyFont="1"/>
    <xf numFmtId="0" fontId="18" fillId="2" borderId="12" xfId="0" applyFont="1" applyFill="1" applyBorder="1"/>
    <xf numFmtId="0" fontId="9" fillId="4" borderId="11" xfId="0" applyFont="1" applyFill="1" applyBorder="1" applyAlignment="1">
      <alignment horizontal="left" vertical="top" wrapText="1"/>
    </xf>
    <xf numFmtId="0" fontId="18" fillId="2" borderId="20" xfId="0" applyFont="1" applyFill="1" applyBorder="1"/>
    <xf numFmtId="0" fontId="18" fillId="2" borderId="9" xfId="0" applyFont="1" applyFill="1" applyBorder="1"/>
    <xf numFmtId="0" fontId="18" fillId="2" borderId="13" xfId="0" applyFont="1" applyFill="1" applyBorder="1"/>
    <xf numFmtId="0" fontId="11" fillId="4" borderId="11" xfId="4" applyFont="1" applyFill="1" applyBorder="1" applyAlignment="1">
      <alignment horizontal="left" vertical="top" wrapText="1"/>
    </xf>
    <xf numFmtId="0" fontId="18" fillId="0" borderId="22" xfId="0" applyFont="1" applyBorder="1"/>
    <xf numFmtId="0" fontId="6" fillId="2" borderId="0" xfId="0" applyFont="1" applyFill="1" applyAlignment="1" applyProtection="1">
      <alignment horizontal="center" vertical="center"/>
      <protection locked="0"/>
    </xf>
    <xf numFmtId="0" fontId="20" fillId="0" borderId="0" xfId="11" applyFont="1"/>
    <xf numFmtId="0" fontId="21" fillId="0" borderId="0" xfId="11" applyFont="1"/>
    <xf numFmtId="0" fontId="18" fillId="2" borderId="0" xfId="0" applyFont="1" applyFill="1" applyProtection="1">
      <protection locked="0"/>
    </xf>
    <xf numFmtId="0" fontId="18" fillId="0" borderId="0" xfId="0" applyFont="1" applyProtection="1">
      <protection locked="0"/>
    </xf>
    <xf numFmtId="169" fontId="18" fillId="2" borderId="0" xfId="6" applyNumberFormat="1" applyFont="1" applyFill="1" applyProtection="1">
      <protection locked="0"/>
    </xf>
    <xf numFmtId="170" fontId="18" fillId="2" borderId="0" xfId="1" applyNumberFormat="1" applyFont="1" applyFill="1" applyProtection="1">
      <protection locked="0"/>
    </xf>
    <xf numFmtId="0" fontId="18" fillId="2" borderId="0" xfId="0" applyFont="1" applyFill="1" applyAlignment="1" applyProtection="1">
      <alignment vertical="center" wrapText="1"/>
      <protection locked="0"/>
    </xf>
    <xf numFmtId="0" fontId="18" fillId="0" borderId="0" xfId="0" applyFont="1" applyAlignment="1" applyProtection="1">
      <alignment vertical="center" wrapText="1"/>
      <protection locked="0"/>
    </xf>
    <xf numFmtId="0" fontId="18" fillId="2" borderId="23" xfId="0" applyFont="1" applyFill="1" applyBorder="1" applyProtection="1">
      <protection locked="0"/>
    </xf>
    <xf numFmtId="0" fontId="22" fillId="7" borderId="11" xfId="0" applyFont="1" applyFill="1" applyBorder="1" applyAlignment="1" applyProtection="1">
      <alignment horizontal="center" vertical="center"/>
      <protection locked="0"/>
    </xf>
    <xf numFmtId="0" fontId="25" fillId="3" borderId="11" xfId="0" applyFont="1" applyFill="1" applyBorder="1" applyAlignment="1" applyProtection="1">
      <alignment horizontal="center" vertical="center"/>
      <protection locked="0"/>
    </xf>
    <xf numFmtId="0" fontId="22" fillId="2" borderId="0" xfId="0" applyFont="1" applyFill="1" applyAlignment="1" applyProtection="1">
      <alignment horizontal="center" vertical="center"/>
      <protection locked="0"/>
    </xf>
    <xf numFmtId="0" fontId="20" fillId="2" borderId="0" xfId="2" applyFont="1" applyFill="1" applyProtection="1">
      <protection locked="0"/>
    </xf>
    <xf numFmtId="0" fontId="21" fillId="3" borderId="11" xfId="2" applyFont="1" applyFill="1" applyBorder="1" applyAlignment="1" applyProtection="1">
      <alignment horizontal="center" vertical="center"/>
      <protection locked="0"/>
    </xf>
    <xf numFmtId="0" fontId="20" fillId="0" borderId="27" xfId="2" applyFont="1" applyBorder="1" applyProtection="1">
      <protection locked="0"/>
    </xf>
    <xf numFmtId="0" fontId="20" fillId="0" borderId="1" xfId="2" applyFont="1" applyBorder="1" applyProtection="1">
      <protection locked="0"/>
    </xf>
    <xf numFmtId="164" fontId="20" fillId="2" borderId="1" xfId="3" applyNumberFormat="1" applyFont="1" applyFill="1" applyBorder="1" applyAlignment="1" applyProtection="1">
      <alignment horizontal="right"/>
      <protection locked="0"/>
    </xf>
    <xf numFmtId="164" fontId="20" fillId="2" borderId="1" xfId="3" applyNumberFormat="1" applyFont="1" applyFill="1" applyBorder="1" applyProtection="1">
      <protection locked="0"/>
    </xf>
    <xf numFmtId="0" fontId="20" fillId="2" borderId="2" xfId="2" applyFont="1" applyFill="1" applyBorder="1" applyProtection="1">
      <protection locked="0"/>
    </xf>
    <xf numFmtId="0" fontId="20" fillId="0" borderId="0" xfId="2" applyFont="1" applyProtection="1">
      <protection locked="0"/>
    </xf>
    <xf numFmtId="169" fontId="20" fillId="0" borderId="0" xfId="6" applyNumberFormat="1" applyFont="1" applyProtection="1">
      <protection locked="0"/>
    </xf>
    <xf numFmtId="170" fontId="20" fillId="0" borderId="0" xfId="1" applyNumberFormat="1" applyFont="1" applyProtection="1">
      <protection locked="0"/>
    </xf>
    <xf numFmtId="169" fontId="22" fillId="7" borderId="11" xfId="6" applyNumberFormat="1" applyFont="1" applyFill="1" applyBorder="1" applyAlignment="1" applyProtection="1">
      <alignment horizontal="center" vertical="center"/>
      <protection locked="0"/>
    </xf>
    <xf numFmtId="170" fontId="22" fillId="7" borderId="11" xfId="1" applyNumberFormat="1" applyFont="1" applyFill="1" applyBorder="1" applyAlignment="1" applyProtection="1">
      <alignment horizontal="center" vertical="center"/>
      <protection locked="0"/>
    </xf>
    <xf numFmtId="0" fontId="22" fillId="7" borderId="11" xfId="0" applyFont="1" applyFill="1" applyBorder="1" applyAlignment="1" applyProtection="1">
      <alignment horizontal="center" vertical="center" wrapText="1"/>
      <protection locked="0"/>
    </xf>
    <xf numFmtId="14" fontId="21" fillId="3" borderId="11" xfId="0" applyNumberFormat="1" applyFont="1" applyFill="1" applyBorder="1" applyAlignment="1" applyProtection="1">
      <alignment horizontal="left" vertical="center" wrapText="1" indent="2"/>
      <protection locked="0"/>
    </xf>
    <xf numFmtId="0" fontId="20" fillId="9" borderId="11" xfId="0" applyFont="1" applyFill="1" applyBorder="1" applyAlignment="1" applyProtection="1">
      <alignment vertical="center" wrapText="1"/>
      <protection locked="0"/>
    </xf>
    <xf numFmtId="0" fontId="20" fillId="2" borderId="23" xfId="2" applyFont="1" applyFill="1" applyBorder="1" applyProtection="1">
      <protection locked="0"/>
    </xf>
    <xf numFmtId="14" fontId="21" fillId="8" borderId="11" xfId="0" applyNumberFormat="1" applyFont="1" applyFill="1" applyBorder="1" applyAlignment="1" applyProtection="1">
      <alignment vertical="center" wrapText="1"/>
      <protection locked="0"/>
    </xf>
    <xf numFmtId="0" fontId="20" fillId="8" borderId="11" xfId="0" applyFont="1" applyFill="1" applyBorder="1" applyAlignment="1">
      <alignment vertical="center" wrapText="1"/>
    </xf>
    <xf numFmtId="2" fontId="21" fillId="8" borderId="11" xfId="1" applyNumberFormat="1" applyFont="1" applyFill="1" applyBorder="1"/>
    <xf numFmtId="166" fontId="21" fillId="8" borderId="11" xfId="1" applyFont="1" applyFill="1" applyBorder="1"/>
    <xf numFmtId="2" fontId="21" fillId="8" borderId="11" xfId="1" applyNumberFormat="1" applyFont="1" applyFill="1" applyBorder="1" applyAlignment="1">
      <alignment vertical="center" wrapText="1"/>
    </xf>
    <xf numFmtId="14" fontId="20" fillId="3" borderId="11" xfId="0" applyNumberFormat="1" applyFont="1" applyFill="1" applyBorder="1" applyAlignment="1" applyProtection="1">
      <alignment horizontal="left" vertical="center" wrapText="1" indent="2"/>
      <protection locked="0"/>
    </xf>
    <xf numFmtId="2" fontId="21" fillId="3" borderId="11" xfId="1" applyNumberFormat="1" applyFont="1" applyFill="1" applyBorder="1"/>
    <xf numFmtId="166" fontId="21" fillId="3" borderId="11" xfId="1" applyFont="1" applyFill="1" applyBorder="1"/>
    <xf numFmtId="2" fontId="21" fillId="3" borderId="11" xfId="1" applyNumberFormat="1" applyFont="1" applyFill="1" applyBorder="1" applyAlignment="1">
      <alignment vertical="center" wrapText="1"/>
    </xf>
    <xf numFmtId="14" fontId="21" fillId="8" borderId="11" xfId="0" applyNumberFormat="1" applyFont="1" applyFill="1" applyBorder="1" applyAlignment="1">
      <alignment vertical="center" wrapText="1"/>
    </xf>
    <xf numFmtId="14" fontId="16" fillId="7" borderId="11" xfId="0" applyNumberFormat="1" applyFont="1" applyFill="1" applyBorder="1" applyAlignment="1">
      <alignment vertical="center" wrapText="1"/>
    </xf>
    <xf numFmtId="0" fontId="27" fillId="7" borderId="11" xfId="0" applyFont="1" applyFill="1" applyBorder="1" applyAlignment="1">
      <alignment vertical="center" wrapText="1"/>
    </xf>
    <xf numFmtId="2" fontId="16" fillId="7" borderId="11" xfId="1" applyNumberFormat="1" applyFont="1" applyFill="1" applyBorder="1"/>
    <xf numFmtId="166" fontId="16" fillId="7" borderId="11" xfId="1" applyFont="1" applyFill="1" applyBorder="1"/>
    <xf numFmtId="0" fontId="28" fillId="2" borderId="23" xfId="2" applyFont="1" applyFill="1" applyBorder="1" applyProtection="1">
      <protection locked="0"/>
    </xf>
    <xf numFmtId="0" fontId="16" fillId="7" borderId="11" xfId="2" applyFont="1" applyFill="1" applyBorder="1"/>
    <xf numFmtId="0" fontId="26" fillId="9" borderId="11" xfId="0" applyFont="1" applyFill="1" applyBorder="1" applyAlignment="1" applyProtection="1">
      <alignment vertical="center" wrapText="1"/>
      <protection locked="0"/>
    </xf>
    <xf numFmtId="0" fontId="28" fillId="2" borderId="0" xfId="2" applyFont="1" applyFill="1" applyProtection="1">
      <protection locked="0"/>
    </xf>
    <xf numFmtId="0" fontId="28" fillId="0" borderId="0" xfId="2" applyFont="1" applyProtection="1">
      <protection locked="0"/>
    </xf>
    <xf numFmtId="0" fontId="28" fillId="2" borderId="9" xfId="2" applyFont="1" applyFill="1" applyBorder="1" applyProtection="1">
      <protection locked="0"/>
    </xf>
    <xf numFmtId="0" fontId="22" fillId="2" borderId="24" xfId="2" applyFont="1" applyFill="1" applyBorder="1" applyProtection="1">
      <protection locked="0"/>
    </xf>
    <xf numFmtId="0" fontId="22" fillId="2" borderId="25" xfId="0" applyFont="1" applyFill="1" applyBorder="1" applyAlignment="1" applyProtection="1">
      <alignment vertical="center" wrapText="1"/>
      <protection locked="0"/>
    </xf>
    <xf numFmtId="0" fontId="22" fillId="2" borderId="8" xfId="0" applyFont="1" applyFill="1" applyBorder="1" applyAlignment="1" applyProtection="1">
      <alignment vertical="center" wrapText="1"/>
      <protection locked="0"/>
    </xf>
    <xf numFmtId="169" fontId="23" fillId="2" borderId="8" xfId="6" applyNumberFormat="1" applyFont="1" applyFill="1" applyBorder="1" applyProtection="1">
      <protection locked="0"/>
    </xf>
    <xf numFmtId="170" fontId="23" fillId="2" borderId="3" xfId="1" applyNumberFormat="1" applyFont="1" applyFill="1" applyBorder="1" applyProtection="1">
      <protection locked="0"/>
    </xf>
    <xf numFmtId="0" fontId="22" fillId="2" borderId="3" xfId="0" applyFont="1" applyFill="1" applyBorder="1" applyAlignment="1" applyProtection="1">
      <alignment vertical="center" wrapText="1"/>
      <protection locked="0"/>
    </xf>
    <xf numFmtId="0" fontId="22" fillId="2" borderId="7" xfId="0" applyFont="1" applyFill="1" applyBorder="1" applyAlignment="1" applyProtection="1">
      <alignment vertical="center" wrapText="1"/>
      <protection locked="0"/>
    </xf>
    <xf numFmtId="0" fontId="26" fillId="2" borderId="7" xfId="0" applyFont="1" applyFill="1" applyBorder="1" applyAlignment="1" applyProtection="1">
      <alignment vertical="center" wrapText="1"/>
      <protection locked="0"/>
    </xf>
    <xf numFmtId="0" fontId="20" fillId="3" borderId="11" xfId="2" applyFont="1" applyFill="1" applyBorder="1" applyAlignment="1" applyProtection="1">
      <alignment vertical="center"/>
      <protection locked="0"/>
    </xf>
    <xf numFmtId="0" fontId="21" fillId="9" borderId="11" xfId="0" applyFont="1" applyFill="1" applyBorder="1" applyAlignment="1" applyProtection="1">
      <alignment vertical="center" wrapText="1"/>
      <protection locked="0"/>
    </xf>
    <xf numFmtId="0" fontId="26" fillId="0" borderId="6" xfId="0" applyFont="1" applyBorder="1" applyAlignment="1" applyProtection="1">
      <alignment vertical="center" wrapText="1"/>
      <protection locked="0"/>
    </xf>
    <xf numFmtId="0" fontId="26" fillId="0" borderId="4" xfId="0" applyFont="1" applyBorder="1" applyAlignment="1" applyProtection="1">
      <alignment vertical="center" wrapText="1"/>
      <protection locked="0"/>
    </xf>
    <xf numFmtId="169" fontId="22" fillId="0" borderId="4" xfId="6" applyNumberFormat="1" applyFont="1" applyBorder="1" applyProtection="1">
      <protection locked="0"/>
    </xf>
    <xf numFmtId="170" fontId="22" fillId="0" borderId="0" xfId="1" applyNumberFormat="1" applyFont="1" applyBorder="1" applyProtection="1">
      <protection locked="0"/>
    </xf>
    <xf numFmtId="0" fontId="20" fillId="2" borderId="9" xfId="2" applyFont="1" applyFill="1" applyBorder="1" applyProtection="1">
      <protection locked="0"/>
    </xf>
    <xf numFmtId="0" fontId="20" fillId="2" borderId="24" xfId="2" applyFont="1" applyFill="1" applyBorder="1" applyProtection="1">
      <protection locked="0"/>
    </xf>
    <xf numFmtId="0" fontId="26" fillId="2" borderId="25" xfId="0" applyFont="1" applyFill="1" applyBorder="1" applyAlignment="1" applyProtection="1">
      <alignment vertical="center" wrapText="1"/>
      <protection locked="0"/>
    </xf>
    <xf numFmtId="0" fontId="26" fillId="2" borderId="26" xfId="0" applyFont="1" applyFill="1" applyBorder="1" applyAlignment="1" applyProtection="1">
      <alignment vertical="center" wrapText="1"/>
      <protection locked="0"/>
    </xf>
    <xf numFmtId="169" fontId="20" fillId="0" borderId="4" xfId="6" applyNumberFormat="1" applyFont="1" applyBorder="1" applyProtection="1">
      <protection locked="0"/>
    </xf>
    <xf numFmtId="170" fontId="20" fillId="0" borderId="0" xfId="1" applyNumberFormat="1" applyFont="1" applyBorder="1" applyProtection="1">
      <protection locked="0"/>
    </xf>
    <xf numFmtId="0" fontId="26" fillId="2" borderId="5" xfId="0" applyFont="1" applyFill="1" applyBorder="1" applyAlignment="1" applyProtection="1">
      <alignment vertical="center" wrapText="1"/>
      <protection locked="0"/>
    </xf>
    <xf numFmtId="0" fontId="29" fillId="2" borderId="23" xfId="2" applyFont="1" applyFill="1" applyBorder="1" applyProtection="1">
      <protection locked="0"/>
    </xf>
    <xf numFmtId="0" fontId="22" fillId="7" borderId="11" xfId="2" applyFont="1" applyFill="1" applyBorder="1" applyAlignment="1">
      <alignment wrapText="1"/>
    </xf>
    <xf numFmtId="169" fontId="20" fillId="0" borderId="6" xfId="6" applyNumberFormat="1" applyFont="1" applyBorder="1" applyProtection="1">
      <protection locked="0"/>
    </xf>
    <xf numFmtId="0" fontId="29" fillId="2" borderId="0" xfId="2" applyFont="1" applyFill="1" applyProtection="1">
      <protection locked="0"/>
    </xf>
    <xf numFmtId="0" fontId="29" fillId="0" borderId="0" xfId="2" applyFont="1" applyProtection="1">
      <protection locked="0"/>
    </xf>
    <xf numFmtId="0" fontId="20" fillId="0" borderId="24" xfId="2" applyFont="1" applyBorder="1" applyProtection="1">
      <protection locked="0"/>
    </xf>
    <xf numFmtId="0" fontId="20" fillId="0" borderId="25" xfId="2" applyFont="1" applyBorder="1" applyProtection="1">
      <protection locked="0"/>
    </xf>
    <xf numFmtId="0" fontId="20" fillId="0" borderId="8" xfId="2" applyFont="1" applyBorder="1" applyProtection="1">
      <protection locked="0"/>
    </xf>
    <xf numFmtId="164" fontId="20" fillId="0" borderId="8" xfId="3" applyNumberFormat="1" applyFont="1" applyBorder="1" applyAlignment="1" applyProtection="1">
      <alignment horizontal="right"/>
      <protection locked="0"/>
    </xf>
    <xf numFmtId="164" fontId="20" fillId="0" borderId="8" xfId="3" applyNumberFormat="1" applyFont="1" applyBorder="1" applyProtection="1">
      <protection locked="0"/>
    </xf>
    <xf numFmtId="0" fontId="20" fillId="0" borderId="6" xfId="2" applyFont="1" applyBorder="1" applyProtection="1">
      <protection locked="0"/>
    </xf>
    <xf numFmtId="0" fontId="20" fillId="0" borderId="4" xfId="2" applyFont="1" applyBorder="1" applyProtection="1">
      <protection locked="0"/>
    </xf>
    <xf numFmtId="164" fontId="20" fillId="0" borderId="4" xfId="3" applyNumberFormat="1" applyFont="1" applyBorder="1" applyAlignment="1" applyProtection="1">
      <alignment horizontal="right"/>
      <protection locked="0"/>
    </xf>
    <xf numFmtId="164" fontId="20" fillId="0" borderId="4" xfId="3" applyNumberFormat="1" applyFont="1" applyBorder="1" applyProtection="1">
      <protection locked="0"/>
    </xf>
    <xf numFmtId="169" fontId="20" fillId="0" borderId="5" xfId="6" applyNumberFormat="1" applyFont="1" applyBorder="1" applyProtection="1">
      <protection locked="0"/>
    </xf>
    <xf numFmtId="0" fontId="12" fillId="7" borderId="11" xfId="2" applyFont="1" applyFill="1" applyBorder="1"/>
    <xf numFmtId="0" fontId="20" fillId="2" borderId="0" xfId="2" applyFont="1" applyFill="1" applyAlignment="1" applyProtection="1">
      <alignment horizontal="right"/>
      <protection locked="0"/>
    </xf>
    <xf numFmtId="169" fontId="20" fillId="2" borderId="0" xfId="6" applyNumberFormat="1" applyFont="1" applyFill="1" applyProtection="1">
      <protection locked="0"/>
    </xf>
    <xf numFmtId="170" fontId="20" fillId="2" borderId="0" xfId="1" applyNumberFormat="1" applyFont="1" applyFill="1" applyProtection="1">
      <protection locked="0"/>
    </xf>
    <xf numFmtId="0" fontId="20" fillId="0" borderId="0" xfId="2" applyFont="1" applyAlignment="1" applyProtection="1">
      <alignment horizontal="right"/>
      <protection locked="0"/>
    </xf>
    <xf numFmtId="0" fontId="20" fillId="0" borderId="10" xfId="2" applyFont="1" applyBorder="1" applyProtection="1">
      <protection locked="0"/>
    </xf>
    <xf numFmtId="171" fontId="21" fillId="9" borderId="11" xfId="0" applyNumberFormat="1" applyFont="1" applyFill="1" applyBorder="1" applyAlignment="1" applyProtection="1">
      <alignment vertical="center" wrapText="1"/>
      <protection locked="0"/>
    </xf>
    <xf numFmtId="0" fontId="16" fillId="7" borderId="11" xfId="0" applyFont="1" applyFill="1" applyBorder="1" applyAlignment="1">
      <alignment horizontal="center" vertical="center" wrapText="1"/>
    </xf>
    <xf numFmtId="0" fontId="16" fillId="7" borderId="21" xfId="0" applyFont="1" applyFill="1" applyBorder="1" applyAlignment="1">
      <alignment horizontal="center" vertical="center" wrapText="1"/>
    </xf>
    <xf numFmtId="14" fontId="21" fillId="8" borderId="11" xfId="0" applyNumberFormat="1" applyFont="1" applyFill="1" applyBorder="1" applyAlignment="1">
      <alignment horizontal="center" vertical="center" wrapText="1"/>
    </xf>
    <xf numFmtId="0" fontId="21" fillId="8" borderId="11" xfId="0" applyFont="1" applyFill="1" applyBorder="1" applyAlignment="1">
      <alignment horizontal="center" vertical="center" wrapText="1"/>
    </xf>
    <xf numFmtId="0" fontId="21" fillId="8" borderId="11" xfId="0" applyFont="1" applyFill="1" applyBorder="1" applyAlignment="1">
      <alignment vertical="center" wrapText="1"/>
    </xf>
    <xf numFmtId="0" fontId="21" fillId="9" borderId="11" xfId="0" applyFont="1" applyFill="1" applyBorder="1" applyAlignment="1" applyProtection="1">
      <alignment horizontal="center" vertical="center" wrapText="1"/>
      <protection locked="0"/>
    </xf>
    <xf numFmtId="166" fontId="21" fillId="3" borderId="11" xfId="1" applyFont="1" applyFill="1" applyBorder="1" applyAlignment="1">
      <alignment horizontal="center" vertical="center" wrapText="1"/>
    </xf>
    <xf numFmtId="9" fontId="21" fillId="3" borderId="11" xfId="13" applyFont="1" applyFill="1" applyBorder="1" applyAlignment="1">
      <alignment horizontal="center" vertical="center" wrapText="1"/>
    </xf>
    <xf numFmtId="166" fontId="21" fillId="3" borderId="11" xfId="0" applyNumberFormat="1" applyFont="1" applyFill="1" applyBorder="1" applyAlignment="1">
      <alignment horizontal="center" vertical="center" wrapText="1"/>
    </xf>
    <xf numFmtId="165" fontId="21" fillId="9" borderId="11" xfId="0" applyNumberFormat="1" applyFont="1" applyFill="1" applyBorder="1" applyAlignment="1" applyProtection="1">
      <alignment horizontal="center" vertical="center" wrapText="1"/>
      <protection locked="0"/>
    </xf>
    <xf numFmtId="0" fontId="21" fillId="11" borderId="11" xfId="0" applyFont="1" applyFill="1" applyBorder="1" applyAlignment="1" applyProtection="1">
      <alignment vertical="center" wrapText="1"/>
      <protection locked="0"/>
    </xf>
    <xf numFmtId="0" fontId="21" fillId="11" borderId="11" xfId="0" applyFont="1" applyFill="1" applyBorder="1" applyAlignment="1" applyProtection="1">
      <alignment horizontal="center" vertical="center" wrapText="1"/>
      <protection locked="0"/>
    </xf>
    <xf numFmtId="166" fontId="21" fillId="11" borderId="11" xfId="1" applyFont="1" applyFill="1" applyBorder="1" applyAlignment="1">
      <alignment horizontal="center" vertical="center" wrapText="1"/>
    </xf>
    <xf numFmtId="9" fontId="21" fillId="11" borderId="11" xfId="13" applyFont="1" applyFill="1" applyBorder="1" applyAlignment="1">
      <alignment horizontal="center" vertical="center" wrapText="1"/>
    </xf>
    <xf numFmtId="167" fontId="21" fillId="9" borderId="11" xfId="6" applyFont="1" applyFill="1" applyBorder="1" applyAlignment="1" applyProtection="1">
      <alignment horizontal="center" vertical="center" wrapText="1"/>
      <protection locked="0"/>
    </xf>
    <xf numFmtId="0" fontId="18" fillId="2" borderId="0" xfId="0" applyFont="1" applyFill="1" applyAlignment="1" applyProtection="1">
      <alignment vertical="center"/>
      <protection locked="0"/>
    </xf>
    <xf numFmtId="0" fontId="22" fillId="10" borderId="11" xfId="0" applyFont="1" applyFill="1" applyBorder="1" applyAlignment="1">
      <alignment horizontal="center" vertical="center" wrapText="1"/>
    </xf>
    <xf numFmtId="0" fontId="25" fillId="0" borderId="0" xfId="0" applyFont="1" applyAlignment="1">
      <alignment horizontal="center" vertical="center"/>
    </xf>
    <xf numFmtId="166" fontId="22" fillId="10" borderId="11" xfId="1" applyFont="1" applyFill="1" applyBorder="1" applyAlignment="1">
      <alignment horizontal="center" vertical="center" wrapText="1"/>
    </xf>
    <xf numFmtId="0" fontId="18" fillId="2" borderId="0" xfId="0" applyFont="1" applyFill="1" applyAlignment="1" applyProtection="1">
      <alignment horizontal="center" vertical="center"/>
      <protection locked="0"/>
    </xf>
    <xf numFmtId="166" fontId="21" fillId="11" borderId="11" xfId="0" applyNumberFormat="1" applyFont="1" applyFill="1" applyBorder="1" applyAlignment="1" applyProtection="1">
      <alignment horizontal="center" vertical="center" wrapText="1"/>
      <protection locked="0"/>
    </xf>
    <xf numFmtId="166" fontId="22" fillId="7" borderId="11" xfId="2" applyNumberFormat="1" applyFont="1" applyFill="1" applyBorder="1"/>
    <xf numFmtId="166" fontId="12" fillId="7" borderId="11" xfId="3" applyNumberFormat="1" applyFont="1" applyFill="1" applyBorder="1"/>
    <xf numFmtId="0" fontId="22" fillId="4" borderId="11" xfId="0" applyFont="1" applyFill="1" applyBorder="1" applyAlignment="1">
      <alignment horizontal="left" vertical="top" wrapText="1"/>
    </xf>
    <xf numFmtId="0" fontId="12" fillId="4" borderId="11" xfId="4" applyFont="1" applyFill="1" applyBorder="1" applyAlignment="1">
      <alignment horizontal="left" vertical="top" wrapText="1"/>
    </xf>
    <xf numFmtId="0" fontId="18" fillId="0" borderId="0" xfId="0" applyFont="1" applyAlignment="1">
      <alignment wrapText="1"/>
    </xf>
    <xf numFmtId="166" fontId="18" fillId="2" borderId="0" xfId="1" applyFont="1" applyFill="1"/>
    <xf numFmtId="166" fontId="18" fillId="2" borderId="0" xfId="0" applyNumberFormat="1" applyFont="1" applyFill="1"/>
    <xf numFmtId="0" fontId="32" fillId="2" borderId="0" xfId="0" applyFont="1" applyFill="1" applyAlignment="1" applyProtection="1">
      <alignment horizontal="center" vertical="center"/>
      <protection locked="0"/>
    </xf>
    <xf numFmtId="0" fontId="4" fillId="0" borderId="27" xfId="2" applyBorder="1" applyProtection="1">
      <protection locked="0"/>
    </xf>
    <xf numFmtId="164" fontId="4" fillId="2" borderId="1" xfId="3" applyNumberFormat="1" applyFont="1" applyFill="1" applyBorder="1" applyAlignment="1" applyProtection="1">
      <alignment horizontal="right"/>
      <protection locked="0"/>
    </xf>
    <xf numFmtId="164" fontId="4" fillId="2" borderId="1" xfId="3" applyNumberFormat="1" applyFont="1" applyFill="1" applyBorder="1" applyProtection="1">
      <protection locked="0"/>
    </xf>
    <xf numFmtId="169" fontId="4" fillId="0" borderId="0" xfId="6" applyNumberFormat="1" applyFont="1" applyProtection="1">
      <protection locked="0"/>
    </xf>
    <xf numFmtId="170" fontId="4" fillId="0" borderId="0" xfId="1" applyNumberFormat="1" applyFont="1" applyProtection="1">
      <protection locked="0"/>
    </xf>
    <xf numFmtId="169" fontId="4" fillId="2" borderId="0" xfId="6" applyNumberFormat="1" applyFont="1" applyFill="1" applyProtection="1">
      <protection locked="0"/>
    </xf>
    <xf numFmtId="0" fontId="30" fillId="7" borderId="11" xfId="0" applyFont="1" applyFill="1" applyBorder="1"/>
    <xf numFmtId="0" fontId="20" fillId="0" borderId="15" xfId="11" applyFont="1" applyBorder="1"/>
    <xf numFmtId="0" fontId="20" fillId="0" borderId="16" xfId="11" applyFont="1" applyBorder="1"/>
    <xf numFmtId="0" fontId="4" fillId="2" borderId="2" xfId="2" applyFill="1" applyBorder="1" applyProtection="1">
      <protection locked="0"/>
    </xf>
    <xf numFmtId="0" fontId="0" fillId="0" borderId="11" xfId="0" applyBorder="1"/>
    <xf numFmtId="0" fontId="3" fillId="0" borderId="0" xfId="0" applyFont="1"/>
    <xf numFmtId="0" fontId="30" fillId="7" borderId="11" xfId="0" applyFont="1" applyFill="1" applyBorder="1" applyAlignment="1">
      <alignment horizontal="center"/>
    </xf>
    <xf numFmtId="0" fontId="0" fillId="0" borderId="11" xfId="0" applyBorder="1" applyAlignment="1">
      <alignment horizontal="left"/>
    </xf>
    <xf numFmtId="0" fontId="3" fillId="0" borderId="11" xfId="0" applyFont="1" applyBorder="1" applyAlignment="1">
      <alignment horizontal="left"/>
    </xf>
    <xf numFmtId="171" fontId="34" fillId="6" borderId="11" xfId="11" applyNumberFormat="1" applyFont="1" applyFill="1" applyBorder="1" applyAlignment="1">
      <alignment vertical="center" wrapText="1"/>
    </xf>
    <xf numFmtId="0" fontId="0" fillId="0" borderId="15" xfId="0" applyBorder="1"/>
    <xf numFmtId="0" fontId="0" fillId="0" borderId="10" xfId="0" applyBorder="1"/>
    <xf numFmtId="171" fontId="0" fillId="0" borderId="0" xfId="0" applyNumberFormat="1"/>
    <xf numFmtId="171" fontId="0" fillId="0" borderId="11" xfId="0" applyNumberFormat="1" applyBorder="1"/>
    <xf numFmtId="0" fontId="36" fillId="0" borderId="0" xfId="0" applyFont="1"/>
    <xf numFmtId="0" fontId="21" fillId="0" borderId="11" xfId="11" applyFont="1" applyBorder="1" applyAlignment="1">
      <alignment horizontal="center" vertical="center" wrapText="1"/>
    </xf>
    <xf numFmtId="171" fontId="33" fillId="8" borderId="15" xfId="11" applyNumberFormat="1" applyFont="1" applyFill="1" applyBorder="1" applyAlignment="1">
      <alignment horizontal="center" vertical="center" wrapText="1" readingOrder="1"/>
    </xf>
    <xf numFmtId="166" fontId="4" fillId="2" borderId="0" xfId="1" applyFont="1" applyFill="1"/>
    <xf numFmtId="0" fontId="0" fillId="0" borderId="11" xfId="0" applyBorder="1" applyAlignment="1">
      <alignment wrapText="1"/>
    </xf>
    <xf numFmtId="171" fontId="3" fillId="0" borderId="0" xfId="0" applyNumberFormat="1" applyFont="1"/>
    <xf numFmtId="0" fontId="30" fillId="7" borderId="34" xfId="0" applyFont="1" applyFill="1" applyBorder="1" applyAlignment="1">
      <alignment horizontal="center"/>
    </xf>
    <xf numFmtId="0" fontId="30" fillId="0" borderId="0" xfId="0" applyFont="1" applyAlignment="1">
      <alignment horizontal="center"/>
    </xf>
    <xf numFmtId="171" fontId="34" fillId="0" borderId="0" xfId="11" applyNumberFormat="1" applyFont="1" applyAlignment="1">
      <alignment vertical="center" wrapText="1"/>
    </xf>
    <xf numFmtId="171" fontId="8" fillId="0" borderId="0" xfId="11" applyNumberFormat="1" applyFont="1" applyAlignment="1">
      <alignment vertical="center" wrapText="1"/>
    </xf>
    <xf numFmtId="0" fontId="30" fillId="0" borderId="0" xfId="0" applyFont="1"/>
    <xf numFmtId="171" fontId="3" fillId="0" borderId="15" xfId="0" applyNumberFormat="1" applyFont="1" applyBorder="1"/>
    <xf numFmtId="0" fontId="20" fillId="0" borderId="10" xfId="11" applyFont="1" applyBorder="1"/>
    <xf numFmtId="0" fontId="18" fillId="2" borderId="10" xfId="0" applyFont="1" applyFill="1" applyBorder="1"/>
    <xf numFmtId="0" fontId="18" fillId="2" borderId="37" xfId="0" applyFont="1" applyFill="1" applyBorder="1"/>
    <xf numFmtId="0" fontId="18" fillId="2" borderId="38" xfId="0" applyFont="1" applyFill="1" applyBorder="1"/>
    <xf numFmtId="0" fontId="22" fillId="2" borderId="0" xfId="4" applyFont="1" applyFill="1" applyAlignment="1" applyProtection="1">
      <alignment vertical="center" wrapText="1"/>
      <protection locked="0"/>
    </xf>
    <xf numFmtId="0" fontId="20" fillId="2" borderId="0" xfId="11" applyFont="1" applyFill="1"/>
    <xf numFmtId="166" fontId="37" fillId="5" borderId="39" xfId="11" applyNumberFormat="1" applyFont="1" applyFill="1" applyBorder="1" applyAlignment="1">
      <alignment horizontal="center" vertical="center" wrapText="1"/>
    </xf>
    <xf numFmtId="0" fontId="38" fillId="14" borderId="30" xfId="4" applyFont="1" applyFill="1" applyBorder="1" applyAlignment="1" applyProtection="1">
      <alignment horizontal="center" vertical="center" wrapText="1"/>
      <protection locked="0"/>
    </xf>
    <xf numFmtId="0" fontId="37" fillId="16" borderId="11" xfId="11" applyFont="1" applyFill="1" applyBorder="1" applyAlignment="1" applyProtection="1">
      <alignment vertical="center" wrapText="1"/>
      <protection locked="0"/>
    </xf>
    <xf numFmtId="166" fontId="39" fillId="6" borderId="11" xfId="1" applyFont="1" applyFill="1" applyBorder="1" applyAlignment="1">
      <alignment horizontal="center" vertical="center" wrapText="1"/>
    </xf>
    <xf numFmtId="0" fontId="38" fillId="14" borderId="33" xfId="4" applyFont="1" applyFill="1" applyBorder="1" applyAlignment="1" applyProtection="1">
      <alignment horizontal="left" vertical="center" wrapText="1"/>
      <protection locked="0"/>
    </xf>
    <xf numFmtId="166" fontId="38" fillId="14" borderId="30" xfId="1" applyFont="1" applyFill="1" applyBorder="1" applyAlignment="1" applyProtection="1">
      <alignment horizontal="center" vertical="center" wrapText="1"/>
      <protection locked="0"/>
    </xf>
    <xf numFmtId="0" fontId="40" fillId="14" borderId="33" xfId="4" applyFont="1" applyFill="1" applyBorder="1" applyAlignment="1" applyProtection="1">
      <alignment horizontal="left" vertical="center" wrapText="1"/>
      <protection locked="0"/>
    </xf>
    <xf numFmtId="166" fontId="40" fillId="14" borderId="30" xfId="1" applyFont="1" applyFill="1" applyBorder="1" applyAlignment="1" applyProtection="1">
      <alignment horizontal="center" vertical="center" wrapText="1"/>
      <protection locked="0"/>
    </xf>
    <xf numFmtId="0" fontId="37" fillId="0" borderId="0" xfId="11" applyFont="1" applyAlignment="1">
      <alignment vertical="center" wrapText="1"/>
    </xf>
    <xf numFmtId="0" fontId="37" fillId="0" borderId="10" xfId="11" applyFont="1" applyBorder="1" applyAlignment="1">
      <alignment horizontal="center" vertical="center" wrapText="1"/>
    </xf>
    <xf numFmtId="0" fontId="37" fillId="0" borderId="0" xfId="11" applyFont="1"/>
    <xf numFmtId="0" fontId="37" fillId="0" borderId="10" xfId="11" applyFont="1" applyBorder="1"/>
    <xf numFmtId="0" fontId="18" fillId="0" borderId="10" xfId="0" applyFont="1" applyBorder="1"/>
    <xf numFmtId="0" fontId="26" fillId="13" borderId="11" xfId="0" applyFont="1" applyFill="1" applyBorder="1" applyAlignment="1" applyProtection="1">
      <alignment horizontal="center" vertical="center" wrapText="1"/>
      <protection locked="0"/>
    </xf>
    <xf numFmtId="0" fontId="22" fillId="14" borderId="33" xfId="4" applyFont="1" applyFill="1" applyBorder="1" applyAlignment="1" applyProtection="1">
      <alignment horizontal="center" vertical="center" wrapText="1"/>
      <protection locked="0"/>
    </xf>
    <xf numFmtId="164" fontId="4" fillId="2" borderId="40" xfId="3" applyNumberFormat="1" applyFont="1" applyFill="1" applyBorder="1" applyProtection="1">
      <protection locked="0"/>
    </xf>
    <xf numFmtId="0" fontId="4" fillId="2" borderId="38" xfId="2" applyFill="1" applyBorder="1" applyProtection="1">
      <protection locked="0"/>
    </xf>
    <xf numFmtId="0" fontId="22" fillId="14" borderId="30" xfId="4" applyFont="1" applyFill="1" applyBorder="1" applyAlignment="1" applyProtection="1">
      <alignment horizontal="center" vertical="center" wrapText="1"/>
      <protection locked="0"/>
    </xf>
    <xf numFmtId="0" fontId="0" fillId="2" borderId="0" xfId="0" applyFill="1" applyAlignment="1">
      <alignment wrapText="1"/>
    </xf>
    <xf numFmtId="0" fontId="7" fillId="2" borderId="0" xfId="0" applyFont="1" applyFill="1"/>
    <xf numFmtId="0" fontId="37" fillId="16" borderId="11" xfId="0" applyFont="1" applyFill="1" applyBorder="1" applyAlignment="1" applyProtection="1">
      <alignment vertical="center" wrapText="1"/>
      <protection locked="0"/>
    </xf>
    <xf numFmtId="0" fontId="35" fillId="11" borderId="11" xfId="0" applyFont="1" applyFill="1" applyBorder="1" applyAlignment="1" applyProtection="1">
      <alignment horizontal="center" vertical="center" wrapText="1"/>
      <protection locked="0"/>
    </xf>
    <xf numFmtId="166" fontId="22" fillId="14" borderId="33" xfId="1" applyFont="1" applyFill="1" applyBorder="1" applyAlignment="1" applyProtection="1">
      <alignment horizontal="center" vertical="center" wrapText="1"/>
      <protection locked="0"/>
    </xf>
    <xf numFmtId="172" fontId="0" fillId="0" borderId="0" xfId="1" applyNumberFormat="1" applyFont="1"/>
    <xf numFmtId="0" fontId="31" fillId="3" borderId="11" xfId="0" applyFont="1" applyFill="1" applyBorder="1" applyAlignment="1" applyProtection="1">
      <alignment horizontal="center" vertical="center"/>
      <protection locked="0"/>
    </xf>
    <xf numFmtId="172" fontId="18" fillId="2" borderId="0" xfId="1" applyNumberFormat="1" applyFont="1" applyFill="1" applyProtection="1">
      <protection locked="0"/>
    </xf>
    <xf numFmtId="0" fontId="18" fillId="2" borderId="10" xfId="0" applyFont="1" applyFill="1" applyBorder="1" applyProtection="1">
      <protection locked="0"/>
    </xf>
    <xf numFmtId="172" fontId="4" fillId="0" borderId="0" xfId="1" applyNumberFormat="1" applyFont="1" applyProtection="1">
      <protection locked="0"/>
    </xf>
    <xf numFmtId="172" fontId="22" fillId="14" borderId="33" xfId="1" applyNumberFormat="1" applyFont="1" applyFill="1" applyBorder="1" applyAlignment="1" applyProtection="1">
      <alignment horizontal="center" vertical="center" wrapText="1"/>
      <protection locked="0"/>
    </xf>
    <xf numFmtId="0" fontId="38" fillId="14" borderId="33" xfId="4" applyFont="1" applyFill="1" applyBorder="1" applyAlignment="1" applyProtection="1">
      <alignment horizontal="center" vertical="center" wrapText="1"/>
      <protection locked="0"/>
    </xf>
    <xf numFmtId="14" fontId="37" fillId="3" borderId="11" xfId="0" applyNumberFormat="1" applyFont="1" applyFill="1" applyBorder="1" applyAlignment="1" applyProtection="1">
      <alignment horizontal="left" vertical="center" wrapText="1" indent="2"/>
      <protection locked="0"/>
    </xf>
    <xf numFmtId="0" fontId="37" fillId="2" borderId="0" xfId="2" applyFont="1" applyFill="1" applyProtection="1">
      <protection locked="0"/>
    </xf>
    <xf numFmtId="0" fontId="37" fillId="2" borderId="0" xfId="2" applyFont="1" applyFill="1" applyAlignment="1" applyProtection="1">
      <alignment horizontal="right"/>
      <protection locked="0"/>
    </xf>
    <xf numFmtId="172" fontId="4" fillId="2" borderId="0" xfId="1" applyNumberFormat="1" applyFont="1" applyFill="1" applyProtection="1">
      <protection locked="0"/>
    </xf>
    <xf numFmtId="0" fontId="4" fillId="2" borderId="10" xfId="2" applyFill="1" applyBorder="1" applyProtection="1">
      <protection locked="0"/>
    </xf>
    <xf numFmtId="0" fontId="0" fillId="2" borderId="10" xfId="0" applyFill="1" applyBorder="1"/>
    <xf numFmtId="0" fontId="18" fillId="2" borderId="24" xfId="0" applyFont="1" applyFill="1" applyBorder="1"/>
    <xf numFmtId="0" fontId="18" fillId="2" borderId="33" xfId="0" applyFont="1" applyFill="1" applyBorder="1"/>
    <xf numFmtId="0" fontId="22" fillId="2" borderId="0" xfId="4" applyFont="1" applyFill="1" applyAlignment="1" applyProtection="1">
      <alignment horizontal="center" vertical="center" wrapText="1"/>
      <protection locked="0"/>
    </xf>
    <xf numFmtId="0" fontId="22" fillId="2" borderId="10" xfId="4" applyFont="1" applyFill="1" applyBorder="1" applyAlignment="1" applyProtection="1">
      <alignment vertical="center" wrapText="1"/>
      <protection locked="0"/>
    </xf>
    <xf numFmtId="0" fontId="42" fillId="2" borderId="0" xfId="0" applyFont="1" applyFill="1"/>
    <xf numFmtId="0" fontId="9" fillId="14" borderId="33" xfId="4" applyFont="1" applyFill="1" applyBorder="1" applyAlignment="1" applyProtection="1">
      <alignment horizontal="center" vertical="center" wrapText="1"/>
      <protection locked="0"/>
    </xf>
    <xf numFmtId="0" fontId="42" fillId="0" borderId="11" xfId="0" applyFont="1" applyBorder="1"/>
    <xf numFmtId="166" fontId="42" fillId="0" borderId="11" xfId="1" applyFont="1" applyBorder="1"/>
    <xf numFmtId="0" fontId="42" fillId="2" borderId="10" xfId="0" applyFont="1" applyFill="1" applyBorder="1"/>
    <xf numFmtId="172" fontId="0" fillId="2" borderId="0" xfId="1" applyNumberFormat="1" applyFont="1" applyFill="1" applyBorder="1"/>
    <xf numFmtId="0" fontId="4" fillId="0" borderId="40" xfId="2" applyBorder="1" applyProtection="1">
      <protection locked="0"/>
    </xf>
    <xf numFmtId="164" fontId="4" fillId="2" borderId="0" xfId="3" applyNumberFormat="1" applyFont="1" applyFill="1" applyBorder="1" applyAlignment="1" applyProtection="1">
      <alignment horizontal="right"/>
      <protection locked="0"/>
    </xf>
    <xf numFmtId="164" fontId="4" fillId="2" borderId="0" xfId="3" applyNumberFormat="1" applyFont="1" applyFill="1" applyBorder="1" applyProtection="1">
      <protection locked="0"/>
    </xf>
    <xf numFmtId="169" fontId="4" fillId="2" borderId="0" xfId="6" applyNumberFormat="1" applyFont="1" applyFill="1" applyBorder="1" applyProtection="1">
      <protection locked="0"/>
    </xf>
    <xf numFmtId="172" fontId="4" fillId="2" borderId="0" xfId="1" applyNumberFormat="1" applyFont="1" applyFill="1" applyBorder="1" applyProtection="1">
      <protection locked="0"/>
    </xf>
    <xf numFmtId="14" fontId="40" fillId="14" borderId="15" xfId="0" applyNumberFormat="1" applyFont="1" applyFill="1" applyBorder="1" applyAlignment="1">
      <alignment vertical="center" wrapText="1"/>
    </xf>
    <xf numFmtId="0" fontId="40" fillId="14" borderId="28" xfId="0" applyFont="1" applyFill="1" applyBorder="1" applyAlignment="1">
      <alignment horizontal="center" vertical="center" wrapText="1"/>
    </xf>
    <xf numFmtId="14" fontId="38" fillId="14" borderId="28" xfId="0" applyNumberFormat="1" applyFont="1" applyFill="1" applyBorder="1" applyAlignment="1">
      <alignment horizontal="center" vertical="center" wrapText="1"/>
    </xf>
    <xf numFmtId="1" fontId="40" fillId="14" borderId="28" xfId="0" applyNumberFormat="1" applyFont="1" applyFill="1" applyBorder="1" applyAlignment="1">
      <alignment horizontal="center" vertical="center" wrapText="1"/>
    </xf>
    <xf numFmtId="1" fontId="40" fillId="14" borderId="16" xfId="0" applyNumberFormat="1" applyFont="1" applyFill="1" applyBorder="1" applyAlignment="1">
      <alignment horizontal="center" vertical="center" wrapText="1"/>
    </xf>
    <xf numFmtId="0" fontId="42" fillId="13" borderId="21" xfId="0" applyFont="1" applyFill="1" applyBorder="1" applyAlignment="1">
      <alignment horizontal="center" vertical="center" wrapText="1"/>
    </xf>
    <xf numFmtId="0" fontId="41" fillId="13" borderId="35" xfId="0" applyFont="1" applyFill="1" applyBorder="1" applyAlignment="1">
      <alignment horizontal="left" vertical="center" wrapText="1"/>
    </xf>
    <xf numFmtId="1" fontId="37" fillId="13" borderId="15" xfId="0" applyNumberFormat="1" applyFont="1" applyFill="1" applyBorder="1" applyAlignment="1">
      <alignment horizontal="left" vertical="center" wrapText="1"/>
    </xf>
    <xf numFmtId="0" fontId="41" fillId="13" borderId="21" xfId="0" applyFont="1" applyFill="1" applyBorder="1" applyAlignment="1">
      <alignment horizontal="left" vertical="center" wrapText="1"/>
    </xf>
    <xf numFmtId="0" fontId="35" fillId="17" borderId="11" xfId="0" applyFont="1" applyFill="1" applyBorder="1" applyAlignment="1">
      <alignment vertical="center" wrapText="1"/>
    </xf>
    <xf numFmtId="0" fontId="44" fillId="2" borderId="0" xfId="0" applyFont="1" applyFill="1"/>
    <xf numFmtId="0" fontId="45" fillId="14" borderId="33" xfId="4" applyFont="1" applyFill="1" applyBorder="1" applyAlignment="1" applyProtection="1">
      <alignment vertical="center" wrapText="1"/>
      <protection locked="0"/>
    </xf>
    <xf numFmtId="0" fontId="21" fillId="0" borderId="0" xfId="11" applyFont="1" applyAlignment="1">
      <alignment horizontal="center" vertical="center" wrapText="1"/>
    </xf>
    <xf numFmtId="166" fontId="39" fillId="18" borderId="11" xfId="1" applyFont="1" applyFill="1" applyBorder="1" applyAlignment="1">
      <alignment horizontal="center" vertical="center" wrapText="1"/>
    </xf>
    <xf numFmtId="166" fontId="46" fillId="19" borderId="30" xfId="1" applyFont="1" applyFill="1" applyBorder="1" applyAlignment="1">
      <alignment horizontal="center" vertical="center" wrapText="1"/>
    </xf>
    <xf numFmtId="166" fontId="47" fillId="19" borderId="30" xfId="1" applyFont="1" applyFill="1" applyBorder="1" applyAlignment="1">
      <alignment horizontal="center" vertical="center" wrapText="1"/>
    </xf>
    <xf numFmtId="166" fontId="37" fillId="0" borderId="10" xfId="1" applyFont="1" applyBorder="1" applyAlignment="1">
      <alignment horizontal="center" vertical="center" wrapText="1"/>
    </xf>
    <xf numFmtId="0" fontId="38" fillId="14" borderId="16" xfId="4" applyFont="1" applyFill="1" applyBorder="1" applyAlignment="1" applyProtection="1">
      <alignment horizontal="center" vertical="center" wrapText="1"/>
      <protection locked="0"/>
    </xf>
    <xf numFmtId="0" fontId="0" fillId="0" borderId="16" xfId="0" applyBorder="1" applyAlignment="1">
      <alignment wrapText="1"/>
    </xf>
    <xf numFmtId="166" fontId="35" fillId="0" borderId="11" xfId="1" applyFont="1" applyFill="1" applyBorder="1" applyAlignment="1">
      <alignment horizontal="center" vertical="center" wrapText="1" readingOrder="1"/>
    </xf>
    <xf numFmtId="166" fontId="22" fillId="4" borderId="11" xfId="1" applyFont="1" applyFill="1" applyBorder="1" applyAlignment="1">
      <alignment horizontal="left" vertical="top" wrapText="1"/>
    </xf>
    <xf numFmtId="166" fontId="12" fillId="4" borderId="11" xfId="1" applyFont="1" applyFill="1" applyBorder="1" applyAlignment="1">
      <alignment horizontal="left" vertical="top" wrapText="1"/>
    </xf>
    <xf numFmtId="166" fontId="18" fillId="0" borderId="24" xfId="1" applyFont="1" applyBorder="1"/>
    <xf numFmtId="166" fontId="4" fillId="0" borderId="27" xfId="1" applyFont="1" applyBorder="1" applyProtection="1">
      <protection locked="0"/>
    </xf>
    <xf numFmtId="166" fontId="31" fillId="0" borderId="0" xfId="1" applyFont="1" applyAlignment="1">
      <alignment horizontal="justify" vertical="center"/>
    </xf>
    <xf numFmtId="166" fontId="18" fillId="0" borderId="0" xfId="1" applyFont="1"/>
    <xf numFmtId="166" fontId="42" fillId="0" borderId="15" xfId="1" applyFont="1" applyBorder="1"/>
    <xf numFmtId="0" fontId="37" fillId="16" borderId="11" xfId="0" applyFont="1" applyFill="1" applyBorder="1" applyAlignment="1" applyProtection="1">
      <alignment horizontal="right" vertical="center" wrapText="1"/>
      <protection locked="0"/>
    </xf>
    <xf numFmtId="166" fontId="37" fillId="16" borderId="11" xfId="1" applyFont="1" applyFill="1" applyBorder="1" applyAlignment="1" applyProtection="1">
      <alignment horizontal="right" vertical="center" wrapText="1"/>
      <protection locked="0"/>
    </xf>
    <xf numFmtId="166" fontId="41" fillId="0" borderId="11" xfId="1" applyFont="1" applyBorder="1"/>
    <xf numFmtId="14" fontId="37" fillId="15" borderId="11" xfId="0" applyNumberFormat="1" applyFont="1" applyFill="1" applyBorder="1" applyAlignment="1">
      <alignment horizontal="right" vertical="center" wrapText="1"/>
    </xf>
    <xf numFmtId="166" fontId="37" fillId="15" borderId="11" xfId="1" applyFont="1" applyFill="1" applyBorder="1" applyAlignment="1">
      <alignment horizontal="right" vertical="center" wrapText="1"/>
    </xf>
    <xf numFmtId="166" fontId="45" fillId="14" borderId="33" xfId="1" applyFont="1" applyFill="1" applyBorder="1" applyAlignment="1" applyProtection="1">
      <alignment vertical="center" wrapText="1"/>
      <protection locked="0"/>
    </xf>
    <xf numFmtId="166" fontId="0" fillId="2" borderId="0" xfId="1" applyFont="1" applyFill="1" applyAlignment="1" applyProtection="1">
      <alignment vertical="center" wrapText="1"/>
      <protection locked="0"/>
    </xf>
    <xf numFmtId="166" fontId="0" fillId="0" borderId="0" xfId="1" applyFont="1" applyProtection="1">
      <protection locked="0"/>
    </xf>
    <xf numFmtId="0" fontId="41" fillId="2" borderId="0" xfId="0" applyFont="1" applyFill="1"/>
    <xf numFmtId="0" fontId="3" fillId="0" borderId="11" xfId="0" applyFont="1" applyBorder="1" applyAlignment="1">
      <alignment wrapText="1"/>
    </xf>
    <xf numFmtId="9" fontId="0" fillId="0" borderId="11" xfId="0" applyNumberFormat="1" applyBorder="1"/>
    <xf numFmtId="166" fontId="39" fillId="18" borderId="30" xfId="1" applyFont="1" applyFill="1" applyBorder="1" applyAlignment="1">
      <alignment horizontal="center" vertical="center" wrapText="1"/>
    </xf>
    <xf numFmtId="171" fontId="0" fillId="0" borderId="21" xfId="0" applyNumberFormat="1" applyBorder="1"/>
    <xf numFmtId="171" fontId="0" fillId="4" borderId="0" xfId="0" applyNumberFormat="1" applyFill="1"/>
    <xf numFmtId="166" fontId="38" fillId="19" borderId="30" xfId="1" applyFont="1" applyFill="1" applyBorder="1" applyAlignment="1">
      <alignment horizontal="center" vertical="center" wrapText="1"/>
    </xf>
    <xf numFmtId="0" fontId="0" fillId="0" borderId="15" xfId="0" applyBorder="1" applyAlignment="1">
      <alignment horizontal="left"/>
    </xf>
    <xf numFmtId="9" fontId="20" fillId="0" borderId="0" xfId="13" applyFont="1"/>
    <xf numFmtId="0" fontId="0" fillId="16" borderId="11" xfId="0" applyFill="1" applyBorder="1"/>
    <xf numFmtId="2" fontId="46" fillId="19" borderId="30" xfId="1" applyNumberFormat="1" applyFont="1" applyFill="1" applyBorder="1" applyAlignment="1">
      <alignment horizontal="center" vertical="center" wrapText="1"/>
    </xf>
    <xf numFmtId="166" fontId="35" fillId="11" borderId="11" xfId="1" applyFont="1" applyFill="1" applyBorder="1" applyAlignment="1" applyProtection="1">
      <alignment horizontal="right" vertical="center" wrapText="1"/>
      <protection locked="0"/>
    </xf>
    <xf numFmtId="0" fontId="48" fillId="0" borderId="0" xfId="0" applyFont="1"/>
    <xf numFmtId="0" fontId="50" fillId="0" borderId="0" xfId="11" applyFont="1"/>
    <xf numFmtId="0" fontId="50" fillId="20" borderId="0" xfId="11" applyFont="1" applyFill="1"/>
    <xf numFmtId="166" fontId="41" fillId="20" borderId="11" xfId="1" applyFont="1" applyFill="1" applyBorder="1"/>
    <xf numFmtId="0" fontId="37" fillId="21" borderId="11" xfId="0" applyFont="1" applyFill="1" applyBorder="1" applyAlignment="1">
      <alignment horizontal="left" vertical="center" wrapText="1" indent="2"/>
    </xf>
    <xf numFmtId="0" fontId="37" fillId="22" borderId="11" xfId="0" applyFont="1" applyFill="1" applyBorder="1" applyAlignment="1">
      <alignment vertical="center" wrapText="1"/>
    </xf>
    <xf numFmtId="1" fontId="37" fillId="20" borderId="11" xfId="0" applyNumberFormat="1" applyFont="1" applyFill="1" applyBorder="1" applyAlignment="1" applyProtection="1">
      <alignment horizontal="right" vertical="center" wrapText="1"/>
      <protection locked="0"/>
    </xf>
    <xf numFmtId="171" fontId="35" fillId="0" borderId="11" xfId="1" applyNumberFormat="1" applyFont="1" applyFill="1" applyBorder="1" applyAlignment="1">
      <alignment horizontal="center" vertical="center" wrapText="1" readingOrder="1"/>
    </xf>
    <xf numFmtId="171" fontId="51" fillId="23" borderId="11" xfId="11" applyNumberFormat="1" applyFont="1" applyFill="1" applyBorder="1" applyAlignment="1">
      <alignment vertical="center" wrapText="1"/>
    </xf>
    <xf numFmtId="171" fontId="30" fillId="23" borderId="15" xfId="0" applyNumberFormat="1" applyFont="1" applyFill="1" applyBorder="1"/>
    <xf numFmtId="0" fontId="30" fillId="23" borderId="11" xfId="0" applyFont="1" applyFill="1" applyBorder="1" applyAlignment="1">
      <alignment horizontal="left"/>
    </xf>
    <xf numFmtId="2" fontId="38" fillId="14" borderId="30" xfId="4" applyNumberFormat="1" applyFont="1" applyFill="1" applyBorder="1" applyAlignment="1" applyProtection="1">
      <alignment horizontal="center" vertical="center" wrapText="1"/>
      <protection locked="0"/>
    </xf>
    <xf numFmtId="9" fontId="0" fillId="2" borderId="0" xfId="13" applyFont="1" applyFill="1"/>
    <xf numFmtId="167" fontId="0" fillId="2" borderId="0" xfId="6" applyFont="1" applyFill="1"/>
    <xf numFmtId="173" fontId="37" fillId="16" borderId="11" xfId="0" applyNumberFormat="1" applyFont="1" applyFill="1" applyBorder="1" applyAlignment="1" applyProtection="1">
      <alignment vertical="center" wrapText="1"/>
      <protection locked="0"/>
    </xf>
    <xf numFmtId="0" fontId="0" fillId="0" borderId="0" xfId="0" applyAlignment="1">
      <alignment horizontal="left" vertical="center" wrapText="1"/>
    </xf>
    <xf numFmtId="0" fontId="0" fillId="0" borderId="11" xfId="0" applyBorder="1" applyAlignment="1">
      <alignment horizontal="center" vertical="center" wrapText="1"/>
    </xf>
    <xf numFmtId="0" fontId="16" fillId="14" borderId="11" xfId="0" applyFont="1" applyFill="1" applyBorder="1" applyAlignment="1">
      <alignment horizontal="left" vertical="center" wrapText="1" readingOrder="1"/>
    </xf>
    <xf numFmtId="0" fontId="52" fillId="14" borderId="11" xfId="11" applyFont="1" applyFill="1" applyBorder="1" applyAlignment="1">
      <alignment horizontal="center" vertical="center" wrapText="1"/>
    </xf>
    <xf numFmtId="166" fontId="0" fillId="24" borderId="11" xfId="0" applyNumberFormat="1" applyFill="1" applyBorder="1" applyAlignment="1">
      <alignment horizontal="center" vertical="center" wrapText="1"/>
    </xf>
    <xf numFmtId="0" fontId="0" fillId="24" borderId="11" xfId="0" applyFill="1" applyBorder="1" applyAlignment="1">
      <alignment horizontal="center" vertical="center" wrapText="1"/>
    </xf>
    <xf numFmtId="9" fontId="0" fillId="24" borderId="11" xfId="0" applyNumberFormat="1" applyFill="1" applyBorder="1" applyAlignment="1">
      <alignment horizontal="center" vertical="center" wrapText="1"/>
    </xf>
    <xf numFmtId="0" fontId="0" fillId="24" borderId="11" xfId="0" applyFill="1" applyBorder="1" applyAlignment="1">
      <alignment horizontal="left" vertical="center" wrapText="1"/>
    </xf>
    <xf numFmtId="0" fontId="0" fillId="24" borderId="11" xfId="0" quotePrefix="1" applyFill="1" applyBorder="1" applyAlignment="1">
      <alignment horizontal="left" vertical="center" wrapText="1"/>
    </xf>
    <xf numFmtId="0" fontId="49" fillId="0" borderId="0" xfId="11" applyFont="1" applyAlignment="1">
      <alignment wrapText="1"/>
    </xf>
    <xf numFmtId="0" fontId="1" fillId="2" borderId="0" xfId="0" applyFont="1" applyFill="1" applyAlignment="1">
      <alignment wrapText="1"/>
    </xf>
    <xf numFmtId="0" fontId="53" fillId="2" borderId="0" xfId="4" applyFont="1" applyFill="1" applyAlignment="1" applyProtection="1">
      <alignment vertical="center" wrapText="1"/>
      <protection locked="0"/>
    </xf>
    <xf numFmtId="0" fontId="54" fillId="2" borderId="0" xfId="11" applyFont="1" applyFill="1" applyAlignment="1">
      <alignment wrapText="1"/>
    </xf>
    <xf numFmtId="0" fontId="49" fillId="2" borderId="0" xfId="11" applyFont="1" applyFill="1" applyAlignment="1">
      <alignment wrapText="1"/>
    </xf>
    <xf numFmtId="0" fontId="49" fillId="0" borderId="0" xfId="11" applyFont="1"/>
    <xf numFmtId="0" fontId="48" fillId="2" borderId="0" xfId="0" applyFont="1" applyFill="1"/>
    <xf numFmtId="0" fontId="54" fillId="2" borderId="0" xfId="11" applyFont="1" applyFill="1"/>
    <xf numFmtId="0" fontId="49" fillId="2" borderId="0" xfId="11" applyFont="1" applyFill="1"/>
    <xf numFmtId="9" fontId="49" fillId="0" borderId="0" xfId="13" applyFont="1"/>
    <xf numFmtId="172" fontId="21" fillId="0" borderId="0" xfId="1" applyNumberFormat="1" applyFont="1" applyProtection="1">
      <protection locked="0"/>
    </xf>
    <xf numFmtId="166" fontId="42" fillId="20" borderId="11" xfId="1" applyFont="1" applyFill="1" applyBorder="1"/>
    <xf numFmtId="166" fontId="42" fillId="2" borderId="0" xfId="0" applyNumberFormat="1" applyFont="1" applyFill="1"/>
    <xf numFmtId="0" fontId="48" fillId="0" borderId="0" xfId="0" quotePrefix="1" applyFont="1"/>
    <xf numFmtId="0" fontId="37" fillId="20" borderId="0" xfId="0" applyFont="1" applyFill="1"/>
    <xf numFmtId="0" fontId="7" fillId="0" borderId="0" xfId="0" applyFont="1"/>
    <xf numFmtId="14" fontId="35" fillId="15" borderId="11" xfId="0" applyNumberFormat="1" applyFont="1" applyFill="1" applyBorder="1" applyAlignment="1">
      <alignment horizontal="center" vertical="center" wrapText="1"/>
    </xf>
    <xf numFmtId="166" fontId="35" fillId="15" borderId="11" xfId="1" applyFont="1" applyFill="1" applyBorder="1" applyAlignment="1">
      <alignment horizontal="center" vertical="center" wrapText="1"/>
    </xf>
    <xf numFmtId="0" fontId="35" fillId="15" borderId="11" xfId="0" applyFont="1" applyFill="1" applyBorder="1" applyAlignment="1">
      <alignment horizontal="center" vertical="center" wrapText="1"/>
    </xf>
    <xf numFmtId="0" fontId="35" fillId="15" borderId="11" xfId="0" applyFont="1" applyFill="1" applyBorder="1" applyAlignment="1">
      <alignment vertical="center" wrapText="1"/>
    </xf>
    <xf numFmtId="166" fontId="35" fillId="3" borderId="11" xfId="1" applyFont="1" applyFill="1" applyBorder="1" applyAlignment="1">
      <alignment horizontal="center" vertical="center" wrapText="1"/>
    </xf>
    <xf numFmtId="9" fontId="35" fillId="3" borderId="11" xfId="13" applyFont="1" applyFill="1" applyBorder="1" applyAlignment="1">
      <alignment horizontal="center" vertical="center" wrapText="1"/>
    </xf>
    <xf numFmtId="166" fontId="35" fillId="3" borderId="11" xfId="0" applyNumberFormat="1" applyFont="1" applyFill="1" applyBorder="1" applyAlignment="1">
      <alignment horizontal="center" vertical="center" wrapText="1"/>
    </xf>
    <xf numFmtId="0" fontId="35" fillId="16" borderId="11" xfId="0" applyFont="1" applyFill="1" applyBorder="1" applyAlignment="1" applyProtection="1">
      <alignment vertical="center" wrapText="1"/>
      <protection locked="0"/>
    </xf>
    <xf numFmtId="0" fontId="35" fillId="11" borderId="11" xfId="0" applyFont="1" applyFill="1" applyBorder="1" applyAlignment="1" applyProtection="1">
      <alignment vertical="center" wrapText="1"/>
      <protection locked="0"/>
    </xf>
    <xf numFmtId="166" fontId="35" fillId="11" borderId="11" xfId="1" applyFont="1" applyFill="1" applyBorder="1" applyAlignment="1">
      <alignment horizontal="center" vertical="center" wrapText="1"/>
    </xf>
    <xf numFmtId="9" fontId="35" fillId="11" borderId="11" xfId="13" applyFont="1" applyFill="1" applyBorder="1" applyAlignment="1">
      <alignment horizontal="center" vertical="center" wrapText="1"/>
    </xf>
    <xf numFmtId="0" fontId="1" fillId="0" borderId="0" xfId="0" applyFont="1"/>
    <xf numFmtId="166" fontId="35" fillId="11" borderId="11" xfId="1" applyFont="1" applyFill="1" applyBorder="1" applyAlignment="1" applyProtection="1">
      <alignment horizontal="center" vertical="center" wrapText="1"/>
      <protection locked="0"/>
    </xf>
    <xf numFmtId="0" fontId="18" fillId="2" borderId="10" xfId="0" applyFont="1" applyFill="1" applyBorder="1" applyAlignment="1" applyProtection="1">
      <alignment vertical="center"/>
      <protection locked="0"/>
    </xf>
    <xf numFmtId="0" fontId="18" fillId="2" borderId="10" xfId="0" applyFont="1" applyFill="1" applyBorder="1" applyAlignment="1" applyProtection="1">
      <alignment horizontal="center" vertical="center"/>
      <protection locked="0"/>
    </xf>
    <xf numFmtId="166" fontId="18" fillId="2" borderId="0" xfId="1" applyFont="1" applyFill="1" applyProtection="1">
      <protection locked="0"/>
    </xf>
    <xf numFmtId="166" fontId="35" fillId="3" borderId="11" xfId="1" applyFont="1" applyFill="1" applyBorder="1" applyAlignment="1" applyProtection="1">
      <alignment horizontal="left" vertical="center" wrapText="1" indent="2"/>
      <protection locked="0"/>
    </xf>
    <xf numFmtId="166" fontId="37" fillId="16" borderId="11" xfId="1" applyFont="1" applyFill="1" applyBorder="1" applyAlignment="1" applyProtection="1">
      <alignment vertical="center" wrapText="1"/>
      <protection locked="0"/>
    </xf>
    <xf numFmtId="0" fontId="4" fillId="2" borderId="23" xfId="2" applyFill="1" applyBorder="1" applyProtection="1">
      <protection locked="0"/>
    </xf>
    <xf numFmtId="0" fontId="35" fillId="15" borderId="11" xfId="0" applyFont="1" applyFill="1" applyBorder="1" applyAlignment="1">
      <alignment horizontal="right" vertical="center" wrapText="1"/>
    </xf>
    <xf numFmtId="172" fontId="35" fillId="15" borderId="11" xfId="1" applyNumberFormat="1" applyFont="1" applyFill="1" applyBorder="1" applyAlignment="1">
      <alignment horizontal="right" vertical="center" wrapText="1"/>
    </xf>
    <xf numFmtId="2" fontId="35" fillId="3" borderId="11" xfId="1" applyNumberFormat="1" applyFont="1" applyFill="1" applyBorder="1"/>
    <xf numFmtId="172" fontId="35" fillId="3" borderId="11" xfId="1" applyNumberFormat="1" applyFont="1" applyFill="1" applyBorder="1"/>
    <xf numFmtId="2" fontId="35" fillId="3" borderId="11" xfId="1" applyNumberFormat="1" applyFont="1" applyFill="1" applyBorder="1" applyAlignment="1">
      <alignment vertical="center" wrapText="1"/>
    </xf>
    <xf numFmtId="0" fontId="22" fillId="14" borderId="33" xfId="4" applyFont="1" applyFill="1" applyBorder="1" applyAlignment="1" applyProtection="1">
      <alignment horizontal="right" vertical="center" wrapText="1"/>
      <protection locked="0"/>
    </xf>
    <xf numFmtId="172" fontId="22" fillId="14" borderId="33" xfId="1" applyNumberFormat="1" applyFont="1" applyFill="1" applyBorder="1" applyAlignment="1" applyProtection="1">
      <alignment horizontal="right" vertical="center" wrapText="1"/>
      <protection locked="0"/>
    </xf>
    <xf numFmtId="0" fontId="8" fillId="2" borderId="9" xfId="2" applyFont="1" applyFill="1" applyBorder="1" applyProtection="1">
      <protection locked="0"/>
    </xf>
    <xf numFmtId="0" fontId="38" fillId="2" borderId="24" xfId="2" applyFont="1" applyFill="1" applyBorder="1" applyProtection="1">
      <protection locked="0"/>
    </xf>
    <xf numFmtId="0" fontId="38" fillId="2" borderId="25" xfId="0" applyFont="1" applyFill="1" applyBorder="1" applyAlignment="1" applyProtection="1">
      <alignment vertical="center" wrapText="1"/>
      <protection locked="0"/>
    </xf>
    <xf numFmtId="0" fontId="38" fillId="2" borderId="8" xfId="0" applyFont="1" applyFill="1" applyBorder="1" applyAlignment="1" applyProtection="1">
      <alignment vertical="center" wrapText="1"/>
      <protection locked="0"/>
    </xf>
    <xf numFmtId="172" fontId="23" fillId="2" borderId="3" xfId="1" applyNumberFormat="1" applyFont="1" applyFill="1" applyBorder="1" applyProtection="1">
      <protection locked="0"/>
    </xf>
    <xf numFmtId="0" fontId="26" fillId="2" borderId="41" xfId="0" applyFont="1" applyFill="1" applyBorder="1" applyAlignment="1" applyProtection="1">
      <alignment vertical="center" wrapText="1"/>
      <protection locked="0"/>
    </xf>
    <xf numFmtId="0" fontId="37" fillId="3" borderId="11" xfId="2" applyFont="1" applyFill="1" applyBorder="1" applyAlignment="1" applyProtection="1">
      <alignment vertical="center"/>
      <protection locked="0"/>
    </xf>
    <xf numFmtId="171" fontId="35" fillId="16" borderId="11" xfId="0" applyNumberFormat="1" applyFont="1" applyFill="1" applyBorder="1" applyAlignment="1" applyProtection="1">
      <alignment vertical="center" wrapText="1"/>
      <protection locked="0"/>
    </xf>
    <xf numFmtId="0" fontId="41" fillId="0" borderId="6" xfId="0" applyFont="1" applyBorder="1" applyAlignment="1" applyProtection="1">
      <alignment vertical="center" wrapText="1"/>
      <protection locked="0"/>
    </xf>
    <xf numFmtId="0" fontId="41" fillId="0" borderId="4" xfId="0" applyFont="1" applyBorder="1" applyAlignment="1" applyProtection="1">
      <alignment vertical="center" wrapText="1"/>
      <protection locked="0"/>
    </xf>
    <xf numFmtId="172" fontId="22" fillId="0" borderId="0" xfId="1" applyNumberFormat="1" applyFont="1" applyProtection="1">
      <protection locked="0"/>
    </xf>
    <xf numFmtId="0" fontId="20" fillId="2" borderId="10" xfId="2" applyFont="1" applyFill="1" applyBorder="1" applyProtection="1">
      <protection locked="0"/>
    </xf>
    <xf numFmtId="0" fontId="4" fillId="2" borderId="9" xfId="2" applyFill="1" applyBorder="1" applyProtection="1">
      <protection locked="0"/>
    </xf>
    <xf numFmtId="0" fontId="37" fillId="2" borderId="24" xfId="2" applyFont="1" applyFill="1" applyBorder="1" applyProtection="1">
      <protection locked="0"/>
    </xf>
    <xf numFmtId="0" fontId="41" fillId="2" borderId="25" xfId="0" applyFont="1" applyFill="1" applyBorder="1" applyAlignment="1" applyProtection="1">
      <alignment vertical="center" wrapText="1"/>
      <protection locked="0"/>
    </xf>
    <xf numFmtId="0" fontId="41" fillId="2" borderId="26" xfId="0" applyFont="1" applyFill="1" applyBorder="1" applyAlignment="1" applyProtection="1">
      <alignment vertical="center" wrapText="1"/>
      <protection locked="0"/>
    </xf>
    <xf numFmtId="172" fontId="20" fillId="0" borderId="0" xfId="1" applyNumberFormat="1" applyFont="1" applyProtection="1">
      <protection locked="0"/>
    </xf>
    <xf numFmtId="0" fontId="26" fillId="2" borderId="42" xfId="0" applyFont="1" applyFill="1" applyBorder="1" applyAlignment="1" applyProtection="1">
      <alignment vertical="center" wrapText="1"/>
      <protection locked="0"/>
    </xf>
    <xf numFmtId="0" fontId="10" fillId="2" borderId="23" xfId="2" applyFont="1" applyFill="1" applyBorder="1" applyProtection="1">
      <protection locked="0"/>
    </xf>
    <xf numFmtId="166" fontId="22" fillId="14" borderId="33" xfId="1" applyFont="1" applyFill="1" applyBorder="1" applyAlignment="1" applyProtection="1">
      <alignment horizontal="right" vertical="center" wrapText="1"/>
      <protection locked="0"/>
    </xf>
    <xf numFmtId="0" fontId="10" fillId="2" borderId="0" xfId="2" applyFont="1" applyFill="1" applyProtection="1">
      <protection locked="0"/>
    </xf>
    <xf numFmtId="0" fontId="37" fillId="0" borderId="24" xfId="2" applyFont="1" applyBorder="1" applyProtection="1">
      <protection locked="0"/>
    </xf>
    <xf numFmtId="0" fontId="37" fillId="0" borderId="25" xfId="2" applyFont="1" applyBorder="1" applyProtection="1">
      <protection locked="0"/>
    </xf>
    <xf numFmtId="0" fontId="37" fillId="0" borderId="8" xfId="2" applyFont="1" applyBorder="1" applyProtection="1">
      <protection locked="0"/>
    </xf>
    <xf numFmtId="164" fontId="37" fillId="0" borderId="8" xfId="3" applyNumberFormat="1" applyFont="1" applyBorder="1" applyAlignment="1" applyProtection="1">
      <alignment horizontal="right"/>
      <protection locked="0"/>
    </xf>
    <xf numFmtId="164" fontId="37" fillId="0" borderId="8" xfId="3" applyNumberFormat="1" applyFont="1" applyBorder="1" applyProtection="1">
      <protection locked="0"/>
    </xf>
    <xf numFmtId="0" fontId="37" fillId="0" borderId="6" xfId="2" applyFont="1" applyBorder="1" applyProtection="1">
      <protection locked="0"/>
    </xf>
    <xf numFmtId="0" fontId="37" fillId="0" borderId="4" xfId="2" applyFont="1" applyBorder="1" applyProtection="1">
      <protection locked="0"/>
    </xf>
    <xf numFmtId="164" fontId="37" fillId="0" borderId="4" xfId="3" applyNumberFormat="1" applyFont="1" applyBorder="1" applyAlignment="1" applyProtection="1">
      <alignment horizontal="right"/>
      <protection locked="0"/>
    </xf>
    <xf numFmtId="164" fontId="37" fillId="0" borderId="4" xfId="3" applyNumberFormat="1" applyFont="1" applyBorder="1" applyProtection="1">
      <protection locked="0"/>
    </xf>
    <xf numFmtId="172" fontId="20" fillId="2" borderId="0" xfId="1" applyNumberFormat="1" applyFont="1" applyFill="1" applyProtection="1">
      <protection locked="0"/>
    </xf>
    <xf numFmtId="0" fontId="5" fillId="2" borderId="0" xfId="2" applyFont="1" applyFill="1" applyProtection="1">
      <protection locked="0"/>
    </xf>
    <xf numFmtId="1" fontId="40" fillId="14" borderId="11" xfId="0" applyNumberFormat="1" applyFont="1" applyFill="1" applyBorder="1" applyAlignment="1">
      <alignment horizontal="center" vertical="center" wrapText="1"/>
    </xf>
    <xf numFmtId="166" fontId="37" fillId="20" borderId="11" xfId="1" applyFont="1" applyFill="1" applyBorder="1"/>
    <xf numFmtId="0" fontId="41" fillId="2" borderId="0" xfId="0" applyFont="1" applyFill="1" applyAlignment="1">
      <alignment vertical="top" wrapText="1"/>
    </xf>
    <xf numFmtId="0" fontId="5" fillId="0" borderId="11" xfId="11" applyFont="1" applyBorder="1" applyAlignment="1">
      <alignment horizontal="center" vertical="center"/>
    </xf>
    <xf numFmtId="166" fontId="35" fillId="15" borderId="11" xfId="1" applyFont="1" applyFill="1" applyBorder="1" applyAlignment="1">
      <alignment horizontal="center" vertical="center" wrapText="1" readingOrder="1"/>
    </xf>
    <xf numFmtId="166" fontId="20" fillId="0" borderId="0" xfId="11" applyNumberFormat="1" applyFont="1"/>
    <xf numFmtId="166" fontId="37" fillId="16" borderId="11" xfId="1" applyFont="1" applyFill="1" applyBorder="1" applyAlignment="1" applyProtection="1">
      <alignment horizontal="center" vertical="center" wrapText="1"/>
      <protection locked="0"/>
    </xf>
    <xf numFmtId="0" fontId="35" fillId="16" borderId="11" xfId="0" applyFont="1" applyFill="1" applyBorder="1" applyAlignment="1" applyProtection="1">
      <alignment horizontal="center" vertical="center" wrapText="1"/>
      <protection locked="0"/>
    </xf>
    <xf numFmtId="166" fontId="35" fillId="16" borderId="11" xfId="1" applyFont="1" applyFill="1" applyBorder="1" applyAlignment="1" applyProtection="1">
      <alignment horizontal="center" vertical="center" wrapText="1"/>
      <protection locked="0"/>
    </xf>
    <xf numFmtId="171" fontId="35" fillId="20" borderId="11" xfId="0" applyNumberFormat="1" applyFont="1" applyFill="1" applyBorder="1" applyAlignment="1" applyProtection="1">
      <alignment vertical="center" wrapText="1"/>
      <protection locked="0"/>
    </xf>
    <xf numFmtId="0" fontId="15" fillId="14" borderId="0" xfId="2" applyFont="1" applyFill="1" applyAlignment="1">
      <alignment horizontal="center" vertical="center"/>
    </xf>
    <xf numFmtId="0" fontId="7" fillId="2" borderId="17" xfId="5" applyFont="1" applyFill="1" applyBorder="1" applyAlignment="1">
      <alignment horizontal="center" vertical="center"/>
    </xf>
    <xf numFmtId="0" fontId="7" fillId="2" borderId="18" xfId="5" applyFont="1" applyFill="1" applyBorder="1" applyAlignment="1">
      <alignment horizontal="center" vertical="center"/>
    </xf>
    <xf numFmtId="0" fontId="7" fillId="2" borderId="19" xfId="5" applyFont="1" applyFill="1" applyBorder="1" applyAlignment="1">
      <alignment horizontal="center" vertical="center"/>
    </xf>
    <xf numFmtId="0" fontId="22" fillId="8" borderId="15" xfId="11" applyFont="1" applyFill="1" applyBorder="1" applyAlignment="1">
      <alignment horizontal="center" vertical="center" wrapText="1"/>
    </xf>
    <xf numFmtId="0" fontId="22" fillId="8" borderId="16" xfId="11" applyFont="1" applyFill="1" applyBorder="1" applyAlignment="1">
      <alignment horizontal="center" vertical="center" wrapText="1"/>
    </xf>
    <xf numFmtId="0" fontId="21" fillId="0" borderId="31" xfId="11" applyFont="1" applyBorder="1" applyAlignment="1">
      <alignment horizontal="center" vertical="center"/>
    </xf>
    <xf numFmtId="0" fontId="21" fillId="0" borderId="29" xfId="11" applyFont="1" applyBorder="1" applyAlignment="1">
      <alignment horizontal="center" vertical="center"/>
    </xf>
    <xf numFmtId="0" fontId="21" fillId="0" borderId="21" xfId="11" applyFont="1" applyBorder="1" applyAlignment="1">
      <alignment horizontal="center" vertical="center"/>
    </xf>
    <xf numFmtId="0" fontId="30" fillId="14" borderId="35" xfId="0" applyFont="1" applyFill="1" applyBorder="1" applyAlignment="1">
      <alignment horizontal="center"/>
    </xf>
    <xf numFmtId="0" fontId="30" fillId="14" borderId="36" xfId="0" applyFont="1" applyFill="1" applyBorder="1" applyAlignment="1">
      <alignment horizontal="center"/>
    </xf>
    <xf numFmtId="0" fontId="0" fillId="12" borderId="36" xfId="0" applyFill="1" applyBorder="1" applyAlignment="1">
      <alignment horizontal="center"/>
    </xf>
    <xf numFmtId="0" fontId="3" fillId="12" borderId="15" xfId="0" applyFont="1" applyFill="1" applyBorder="1" applyAlignment="1">
      <alignment horizontal="center"/>
    </xf>
    <xf numFmtId="0" fontId="3" fillId="12" borderId="16" xfId="0" applyFont="1" applyFill="1" applyBorder="1" applyAlignment="1">
      <alignment horizontal="center"/>
    </xf>
    <xf numFmtId="0" fontId="35" fillId="15" borderId="35" xfId="11" applyFont="1" applyFill="1" applyBorder="1" applyAlignment="1">
      <alignment horizontal="center" vertical="center" wrapText="1"/>
    </xf>
    <xf numFmtId="0" fontId="35" fillId="15" borderId="32" xfId="11" applyFont="1" applyFill="1" applyBorder="1" applyAlignment="1">
      <alignment horizontal="center" vertical="center" wrapText="1"/>
    </xf>
    <xf numFmtId="0" fontId="35" fillId="15" borderId="15" xfId="11" applyFont="1" applyFill="1" applyBorder="1" applyAlignment="1">
      <alignment horizontal="center" vertical="center" wrapText="1"/>
    </xf>
    <xf numFmtId="0" fontId="35" fillId="15" borderId="16" xfId="11" applyFont="1" applyFill="1" applyBorder="1" applyAlignment="1">
      <alignment horizontal="center" vertical="center" wrapText="1"/>
    </xf>
    <xf numFmtId="0" fontId="22" fillId="14" borderId="0" xfId="4" applyFont="1" applyFill="1" applyAlignment="1" applyProtection="1">
      <alignment horizontal="center" vertical="center" wrapText="1"/>
      <protection locked="0"/>
    </xf>
    <xf numFmtId="0" fontId="35" fillId="15" borderId="21" xfId="11" applyFont="1" applyFill="1" applyBorder="1" applyAlignment="1">
      <alignment horizontal="center" vertical="center" wrapText="1"/>
    </xf>
    <xf numFmtId="0" fontId="35" fillId="15" borderId="11" xfId="11" applyFont="1" applyFill="1" applyBorder="1" applyAlignment="1">
      <alignment horizontal="center" vertical="center" wrapText="1"/>
    </xf>
    <xf numFmtId="0" fontId="37" fillId="5" borderId="0" xfId="11" applyFont="1" applyFill="1" applyAlignment="1">
      <alignment horizontal="center" vertical="center" wrapText="1"/>
    </xf>
    <xf numFmtId="0" fontId="37" fillId="5" borderId="14" xfId="11" applyFont="1" applyFill="1" applyBorder="1" applyAlignment="1">
      <alignment horizontal="center" vertical="center" wrapText="1"/>
    </xf>
    <xf numFmtId="0" fontId="38" fillId="14" borderId="30" xfId="4" applyFont="1" applyFill="1" applyBorder="1" applyAlignment="1" applyProtection="1">
      <alignment horizontal="center" vertical="center" wrapText="1"/>
      <protection locked="0"/>
    </xf>
    <xf numFmtId="0" fontId="38" fillId="14" borderId="10" xfId="4" applyFont="1" applyFill="1" applyBorder="1" applyAlignment="1" applyProtection="1">
      <alignment horizontal="center" vertical="center" wrapText="1"/>
      <protection locked="0"/>
    </xf>
    <xf numFmtId="0" fontId="38" fillId="14" borderId="0" xfId="4" applyFont="1" applyFill="1" applyAlignment="1" applyProtection="1">
      <alignment horizontal="center" vertical="center" wrapText="1"/>
      <protection locked="0"/>
    </xf>
    <xf numFmtId="0" fontId="38" fillId="14" borderId="28" xfId="4" applyFont="1" applyFill="1" applyBorder="1" applyAlignment="1" applyProtection="1">
      <alignment horizontal="center" vertical="center" wrapText="1"/>
      <protection locked="0"/>
    </xf>
    <xf numFmtId="0" fontId="37" fillId="0" borderId="28" xfId="11" applyFont="1" applyBorder="1" applyAlignment="1">
      <alignment vertical="center" wrapText="1"/>
    </xf>
    <xf numFmtId="0" fontId="26" fillId="2" borderId="0" xfId="0" applyFont="1" applyFill="1" applyAlignment="1">
      <alignment horizontal="left" vertical="top"/>
    </xf>
    <xf numFmtId="0" fontId="26" fillId="2" borderId="10" xfId="0" applyFont="1" applyFill="1" applyBorder="1" applyAlignment="1">
      <alignment horizontal="left" vertical="top"/>
    </xf>
    <xf numFmtId="0" fontId="26" fillId="13" borderId="11" xfId="0" applyFont="1" applyFill="1" applyBorder="1" applyAlignment="1" applyProtection="1">
      <alignment horizontal="center" vertical="center" wrapText="1"/>
      <protection locked="0"/>
    </xf>
    <xf numFmtId="0" fontId="22" fillId="14" borderId="33" xfId="4" applyFont="1" applyFill="1" applyBorder="1" applyAlignment="1" applyProtection="1">
      <alignment horizontal="center" vertical="center" wrapText="1"/>
      <protection locked="0"/>
    </xf>
    <xf numFmtId="0" fontId="41" fillId="16" borderId="11" xfId="0" applyFont="1" applyFill="1" applyBorder="1" applyAlignment="1" applyProtection="1">
      <alignment horizontal="center" vertical="center" wrapText="1"/>
      <protection locked="0"/>
    </xf>
    <xf numFmtId="0" fontId="22" fillId="14" borderId="28" xfId="4" applyFont="1" applyFill="1" applyBorder="1" applyAlignment="1" applyProtection="1">
      <alignment horizontal="center" vertical="center" wrapText="1"/>
      <protection locked="0"/>
    </xf>
    <xf numFmtId="0" fontId="22" fillId="14" borderId="30" xfId="4" applyFont="1" applyFill="1" applyBorder="1" applyAlignment="1" applyProtection="1">
      <alignment horizontal="center" vertical="center" wrapText="1"/>
      <protection locked="0"/>
    </xf>
    <xf numFmtId="0" fontId="22" fillId="14" borderId="10" xfId="4" applyFont="1" applyFill="1" applyBorder="1" applyAlignment="1" applyProtection="1">
      <alignment horizontal="center" vertical="center" wrapText="1"/>
      <protection locked="0"/>
    </xf>
    <xf numFmtId="0" fontId="22" fillId="14" borderId="32" xfId="4" applyFont="1" applyFill="1" applyBorder="1" applyAlignment="1" applyProtection="1">
      <alignment horizontal="center" vertical="center" wrapText="1"/>
      <protection locked="0"/>
    </xf>
    <xf numFmtId="0" fontId="38" fillId="14" borderId="15" xfId="4" applyFont="1" applyFill="1" applyBorder="1" applyAlignment="1" applyProtection="1">
      <alignment horizontal="center" vertical="center" wrapText="1"/>
      <protection locked="0"/>
    </xf>
    <xf numFmtId="0" fontId="38" fillId="14" borderId="16" xfId="4" applyFont="1" applyFill="1" applyBorder="1" applyAlignment="1" applyProtection="1">
      <alignment horizontal="center" vertical="center" wrapText="1"/>
      <protection locked="0"/>
    </xf>
    <xf numFmtId="0" fontId="22" fillId="14" borderId="15" xfId="4" applyFont="1" applyFill="1" applyBorder="1" applyAlignment="1" applyProtection="1">
      <alignment horizontal="center" vertical="center" wrapText="1"/>
      <protection locked="0"/>
    </xf>
    <xf numFmtId="0" fontId="22" fillId="14" borderId="16" xfId="4" applyFont="1" applyFill="1" applyBorder="1" applyAlignment="1" applyProtection="1">
      <alignment horizontal="center" vertical="center" wrapText="1"/>
      <protection locked="0"/>
    </xf>
    <xf numFmtId="0" fontId="22" fillId="14" borderId="36" xfId="4" applyFont="1" applyFill="1" applyBorder="1" applyAlignment="1" applyProtection="1">
      <alignment horizontal="center" vertical="center" wrapText="1"/>
      <protection locked="0"/>
    </xf>
    <xf numFmtId="172" fontId="22" fillId="14" borderId="30" xfId="1" applyNumberFormat="1" applyFont="1" applyFill="1" applyBorder="1" applyAlignment="1" applyProtection="1">
      <alignment horizontal="center" vertical="center" wrapText="1"/>
      <protection locked="0"/>
    </xf>
    <xf numFmtId="172" fontId="22" fillId="14" borderId="10" xfId="1" applyNumberFormat="1" applyFont="1" applyFill="1" applyBorder="1" applyAlignment="1" applyProtection="1">
      <alignment horizontal="center" vertical="center" wrapText="1"/>
      <protection locked="0"/>
    </xf>
    <xf numFmtId="172" fontId="22" fillId="14" borderId="32" xfId="1" applyNumberFormat="1" applyFont="1" applyFill="1" applyBorder="1" applyAlignment="1" applyProtection="1">
      <alignment horizontal="center" vertical="center" wrapText="1"/>
      <protection locked="0"/>
    </xf>
    <xf numFmtId="14" fontId="35" fillId="13" borderId="31" xfId="0" applyNumberFormat="1" applyFont="1" applyFill="1" applyBorder="1" applyAlignment="1">
      <alignment horizontal="center" vertical="center" wrapText="1"/>
    </xf>
    <xf numFmtId="14" fontId="35" fillId="13" borderId="21" xfId="0" applyNumberFormat="1" applyFont="1" applyFill="1" applyBorder="1" applyAlignment="1">
      <alignment horizontal="center" vertical="center" wrapText="1"/>
    </xf>
    <xf numFmtId="0" fontId="43" fillId="13" borderId="31" xfId="0" applyFont="1" applyFill="1" applyBorder="1" applyAlignment="1">
      <alignment horizontal="center" vertical="center" wrapText="1"/>
    </xf>
    <xf numFmtId="0" fontId="43" fillId="13" borderId="21" xfId="0" applyFont="1" applyFill="1" applyBorder="1" applyAlignment="1">
      <alignment horizontal="center" vertical="center" wrapText="1"/>
    </xf>
    <xf numFmtId="14" fontId="43" fillId="13" borderId="31" xfId="0" applyNumberFormat="1" applyFont="1" applyFill="1" applyBorder="1" applyAlignment="1">
      <alignment horizontal="center" vertical="center" wrapText="1"/>
    </xf>
    <xf numFmtId="14" fontId="43" fillId="13" borderId="21" xfId="0" applyNumberFormat="1" applyFont="1" applyFill="1" applyBorder="1" applyAlignment="1">
      <alignment horizontal="center" vertical="center" wrapText="1"/>
    </xf>
    <xf numFmtId="0" fontId="9" fillId="14" borderId="36" xfId="4" applyFont="1" applyFill="1" applyBorder="1" applyAlignment="1" applyProtection="1">
      <alignment horizontal="center" vertical="center" wrapText="1"/>
      <protection locked="0"/>
    </xf>
    <xf numFmtId="0" fontId="9" fillId="14" borderId="32" xfId="4" applyFont="1" applyFill="1" applyBorder="1" applyAlignment="1" applyProtection="1">
      <alignment horizontal="center" vertical="center" wrapText="1"/>
      <protection locked="0"/>
    </xf>
    <xf numFmtId="0" fontId="41" fillId="2" borderId="0" xfId="0" applyFont="1" applyFill="1" applyAlignment="1">
      <alignment horizontal="left" vertical="top" wrapText="1"/>
    </xf>
    <xf numFmtId="0" fontId="41" fillId="2" borderId="10" xfId="0" applyFont="1" applyFill="1" applyBorder="1" applyAlignment="1">
      <alignment horizontal="left" vertical="top" wrapText="1"/>
    </xf>
    <xf numFmtId="0" fontId="21" fillId="0" borderId="0" xfId="11" applyFont="1" applyAlignment="1">
      <alignment horizontal="left" vertical="top" wrapText="1"/>
    </xf>
    <xf numFmtId="0" fontId="21" fillId="0" borderId="10" xfId="11" applyFont="1" applyBorder="1" applyAlignment="1">
      <alignment horizontal="left" vertical="top" wrapText="1"/>
    </xf>
    <xf numFmtId="0" fontId="5" fillId="9" borderId="15" xfId="0" applyFont="1" applyFill="1" applyBorder="1" applyAlignment="1">
      <alignment horizontal="center" vertical="top" wrapText="1"/>
    </xf>
    <xf numFmtId="0" fontId="5" fillId="9" borderId="28" xfId="0" applyFont="1" applyFill="1" applyBorder="1" applyAlignment="1">
      <alignment horizontal="center" vertical="top" wrapText="1"/>
    </xf>
    <xf numFmtId="0" fontId="5" fillId="9" borderId="16" xfId="0" applyFont="1" applyFill="1" applyBorder="1" applyAlignment="1">
      <alignment horizontal="center" vertical="top" wrapText="1"/>
    </xf>
    <xf numFmtId="0" fontId="16" fillId="7" borderId="15" xfId="0" applyFont="1" applyFill="1" applyBorder="1" applyAlignment="1">
      <alignment horizontal="center" vertical="center" wrapText="1"/>
    </xf>
    <xf numFmtId="0" fontId="16" fillId="7" borderId="28" xfId="0" applyFont="1" applyFill="1" applyBorder="1" applyAlignment="1">
      <alignment horizontal="center" vertical="center" wrapText="1"/>
    </xf>
    <xf numFmtId="0" fontId="16" fillId="7" borderId="16" xfId="0" applyFont="1" applyFill="1" applyBorder="1" applyAlignment="1">
      <alignment horizontal="center" vertical="center" wrapText="1"/>
    </xf>
    <xf numFmtId="170" fontId="22" fillId="7" borderId="11" xfId="1" applyNumberFormat="1" applyFont="1" applyFill="1" applyBorder="1" applyAlignment="1" applyProtection="1">
      <alignment horizontal="center" vertical="center" wrapText="1"/>
      <protection locked="0"/>
    </xf>
    <xf numFmtId="0" fontId="22" fillId="7" borderId="11" xfId="0" applyFont="1" applyFill="1" applyBorder="1" applyAlignment="1" applyProtection="1">
      <alignment horizontal="center" vertical="center"/>
      <protection locked="0"/>
    </xf>
    <xf numFmtId="169" fontId="22" fillId="7" borderId="11" xfId="6" applyNumberFormat="1" applyFont="1" applyFill="1" applyBorder="1" applyAlignment="1" applyProtection="1">
      <alignment horizontal="center" vertical="center" wrapText="1"/>
      <protection locked="0"/>
    </xf>
    <xf numFmtId="0" fontId="26" fillId="9" borderId="11" xfId="0" applyFont="1" applyFill="1" applyBorder="1" applyAlignment="1" applyProtection="1">
      <alignment horizontal="center" vertical="center" wrapText="1"/>
      <protection locked="0"/>
    </xf>
    <xf numFmtId="0" fontId="22" fillId="7" borderId="21" xfId="0" applyFont="1" applyFill="1" applyBorder="1" applyAlignment="1" applyProtection="1">
      <alignment horizontal="center" vertical="center"/>
      <protection locked="0"/>
    </xf>
    <xf numFmtId="0" fontId="22" fillId="7" borderId="11" xfId="0" applyFont="1" applyFill="1" applyBorder="1" applyAlignment="1">
      <alignment horizontal="center" vertical="center"/>
    </xf>
    <xf numFmtId="0" fontId="22" fillId="7" borderId="11" xfId="0" applyFont="1" applyFill="1" applyBorder="1" applyAlignment="1" applyProtection="1">
      <alignment horizontal="center" vertical="center" wrapText="1"/>
      <protection locked="0"/>
    </xf>
    <xf numFmtId="0" fontId="24" fillId="7" borderId="11" xfId="0" applyFont="1" applyFill="1" applyBorder="1" applyAlignment="1" applyProtection="1">
      <alignment horizontal="center" vertical="center"/>
      <protection locked="0"/>
    </xf>
  </cellXfs>
  <cellStyles count="14">
    <cellStyle name="Comma" xfId="6" builtinId="3"/>
    <cellStyle name="Currency" xfId="1" builtinId="4"/>
    <cellStyle name="Milliers 2" xfId="9" xr:uid="{E557A688-B103-4349-AAA2-C1DB08CD7C0A}"/>
    <cellStyle name="Milliers 3" xfId="12" xr:uid="{BF8A9538-6B4B-485F-B4E6-DB470A6515EE}"/>
    <cellStyle name="Monétaire 2" xfId="3" xr:uid="{F97EFBD7-A603-4E57-B2F5-A1540C56E16A}"/>
    <cellStyle name="Monétaire 3" xfId="7" xr:uid="{E3FA381E-961F-4B38-9317-C61F85145D70}"/>
    <cellStyle name="Monétaire 4" xfId="10" xr:uid="{50814D6F-DC87-44F2-B789-3CDE7B4BEA37}"/>
    <cellStyle name="Normal" xfId="0" builtinId="0"/>
    <cellStyle name="Normal 2" xfId="2" xr:uid="{88C7C75F-6FC5-4590-954F-6CAA19BF7634}"/>
    <cellStyle name="Normal 2 2" xfId="5" xr:uid="{3352958B-326D-48FA-96B7-80BA54631AC3}"/>
    <cellStyle name="Normal 3" xfId="8" xr:uid="{909AC6EF-0F4B-4B48-B736-73AFA1F93AB6}"/>
    <cellStyle name="Normal 4" xfId="11" xr:uid="{DD8DAC1F-5BC3-4D0A-B1EF-A5F1D60025EC}"/>
    <cellStyle name="Normal 6" xfId="4" xr:uid="{F0D55963-F79E-48ED-99D8-05F1E9297E54}"/>
    <cellStyle name="Percent" xfId="13" builtinId="5"/>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2A1D75"/>
      <color rgb="FFE4E1F7"/>
      <color rgb="FFA89DE7"/>
      <color rgb="FF624ED4"/>
      <color rgb="FFB4ABEB"/>
      <color rgb="FFCDC7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b="0" u="sng"/>
              <a:t>Build (ERP implementation total cost)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2"/>
          <c:tx>
            <c:strRef>
              <c:f>'Financial analysis conso'!$C$8</c:f>
              <c:strCache>
                <c:ptCount val="1"/>
                <c:pt idx="0">
                  <c:v>Netsuite - Oracle</c:v>
                </c:pt>
              </c:strCache>
            </c:strRef>
          </c:tx>
          <c:spPr>
            <a:solidFill>
              <a:srgbClr val="E4E1F7"/>
            </a:solidFill>
            <a:ln>
              <a:noFill/>
            </a:ln>
            <a:effectLst/>
          </c:spPr>
          <c:invertIfNegative val="0"/>
          <c:cat>
            <c:strRef>
              <c:f>'Financial analysis conso'!$A$26:$B$26</c:f>
              <c:strCache>
                <c:ptCount val="2"/>
                <c:pt idx="1">
                  <c:v>Sub-total “Build” (One-Off)</c:v>
                </c:pt>
              </c:strCache>
            </c:strRef>
          </c:cat>
          <c:val>
            <c:numRef>
              <c:f>'Financial analysis conso'!$C$26</c:f>
              <c:numCache>
                <c:formatCode>_-* #,##0.00\ "€"_-;\-* #,##0.00\ "€"_-;_-* "-"??\ "€"_-;_-@_-</c:formatCode>
                <c:ptCount val="1"/>
                <c:pt idx="0">
                  <c:v>451520</c:v>
                </c:pt>
              </c:numCache>
            </c:numRef>
          </c:val>
          <c:extLst>
            <c:ext xmlns:c16="http://schemas.microsoft.com/office/drawing/2014/chart" uri="{C3380CC4-5D6E-409C-BE32-E72D297353CC}">
              <c16:uniqueId val="{00000002-6FE1-4D1D-9562-002AB118E2A7}"/>
            </c:ext>
          </c:extLst>
        </c:ser>
        <c:ser>
          <c:idx val="3"/>
          <c:order val="3"/>
          <c:tx>
            <c:strRef>
              <c:f>'Financial analysis conso'!$D$8</c:f>
              <c:strCache>
                <c:ptCount val="1"/>
                <c:pt idx="0">
                  <c:v>SAP - KPMG</c:v>
                </c:pt>
              </c:strCache>
            </c:strRef>
          </c:tx>
          <c:spPr>
            <a:solidFill>
              <a:srgbClr val="B4ABEB"/>
            </a:solidFill>
            <a:ln>
              <a:noFill/>
            </a:ln>
            <a:effectLst/>
          </c:spPr>
          <c:invertIfNegative val="0"/>
          <c:cat>
            <c:strRef>
              <c:f>'Financial analysis conso'!$A$26:$B$26</c:f>
              <c:strCache>
                <c:ptCount val="2"/>
                <c:pt idx="1">
                  <c:v>Sub-total “Build” (One-Off)</c:v>
                </c:pt>
              </c:strCache>
            </c:strRef>
          </c:cat>
          <c:val>
            <c:numRef>
              <c:f>'Financial analysis conso'!$D$26</c:f>
              <c:numCache>
                <c:formatCode>_-* #,##0.00\ "€"_-;\-* #,##0.00\ "€"_-;_-* "-"??\ "€"_-;_-@_-</c:formatCode>
                <c:ptCount val="1"/>
                <c:pt idx="0">
                  <c:v>1066193.3018867923</c:v>
                </c:pt>
              </c:numCache>
            </c:numRef>
          </c:val>
          <c:extLst>
            <c:ext xmlns:c16="http://schemas.microsoft.com/office/drawing/2014/chart" uri="{C3380CC4-5D6E-409C-BE32-E72D297353CC}">
              <c16:uniqueId val="{00000003-6FE1-4D1D-9562-002AB118E2A7}"/>
            </c:ext>
          </c:extLst>
        </c:ser>
        <c:dLbls>
          <c:showLegendKey val="0"/>
          <c:showVal val="0"/>
          <c:showCatName val="0"/>
          <c:showSerName val="0"/>
          <c:showPercent val="0"/>
          <c:showBubbleSize val="0"/>
        </c:dLbls>
        <c:gapWidth val="219"/>
        <c:overlap val="-27"/>
        <c:axId val="1353964159"/>
        <c:axId val="1353971359"/>
        <c:extLst>
          <c:ext xmlns:c15="http://schemas.microsoft.com/office/drawing/2012/chart" uri="{02D57815-91ED-43cb-92C2-25804820EDAC}">
            <c15:filteredBarSeries>
              <c15:ser>
                <c:idx val="0"/>
                <c:order val="0"/>
                <c:tx>
                  <c:strRef>
                    <c:extLst>
                      <c:ext uri="{02D57815-91ED-43cb-92C2-25804820EDAC}">
                        <c15:formulaRef>
                          <c15:sqref>'Financial analysis conso'!#REF!</c15:sqref>
                        </c15:formulaRef>
                      </c:ext>
                    </c:extLst>
                    <c:strCache>
                      <c:ptCount val="1"/>
                      <c:pt idx="0">
                        <c:v>#REF!</c:v>
                      </c:pt>
                    </c:strCache>
                  </c:strRef>
                </c:tx>
                <c:spPr>
                  <a:solidFill>
                    <a:schemeClr val="accent1"/>
                  </a:solidFill>
                  <a:ln>
                    <a:noFill/>
                  </a:ln>
                  <a:effectLst/>
                </c:spPr>
                <c:invertIfNegative val="0"/>
                <c:cat>
                  <c:strRef>
                    <c:extLst>
                      <c:ext uri="{02D57815-91ED-43cb-92C2-25804820EDAC}">
                        <c15:formulaRef>
                          <c15:sqref>'Financial analysis conso'!$A$26:$B$26</c15:sqref>
                        </c15:formulaRef>
                      </c:ext>
                    </c:extLst>
                    <c:strCache>
                      <c:ptCount val="2"/>
                      <c:pt idx="1">
                        <c:v>Sub-total “Build” (One-Off)</c:v>
                      </c:pt>
                    </c:strCache>
                  </c:strRef>
                </c:cat>
                <c:val>
                  <c:numRef>
                    <c:extLst>
                      <c:ext uri="{02D57815-91ED-43cb-92C2-25804820EDAC}">
                        <c15:formulaRef>
                          <c15:sqref>'Financial analysis conso'!#REF!</c15:sqref>
                        </c15:formulaRef>
                      </c:ext>
                    </c:extLst>
                    <c:numCache>
                      <c:formatCode>General</c:formatCode>
                      <c:ptCount val="1"/>
                      <c:pt idx="0">
                        <c:v>1</c:v>
                      </c:pt>
                    </c:numCache>
                  </c:numRef>
                </c:val>
                <c:extLst>
                  <c:ext xmlns:c16="http://schemas.microsoft.com/office/drawing/2014/chart" uri="{C3380CC4-5D6E-409C-BE32-E72D297353CC}">
                    <c16:uniqueId val="{00000000-6FE1-4D1D-9562-002AB118E2A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'Financial analysis conso'!#REF!</c15:sqref>
                        </c15:formulaRef>
                      </c:ext>
                    </c:extLst>
                    <c:strCache>
                      <c:ptCount val="1"/>
                      <c:pt idx="0">
                        <c:v>#REF!</c:v>
                      </c:pt>
                    </c:strCache>
                  </c:strRef>
                </c:tx>
                <c:spPr>
                  <a:solidFill>
                    <a:schemeClr val="accent2"/>
                  </a:solidFill>
                  <a:ln>
                    <a:noFill/>
                  </a:ln>
                  <a:effectLst/>
                </c:spPr>
                <c:invertIfNegative val="0"/>
                <c:cat>
                  <c:strRef>
                    <c:extLst>
                      <c:ext xmlns:c15="http://schemas.microsoft.com/office/drawing/2012/chart" uri="{02D57815-91ED-43cb-92C2-25804820EDAC}">
                        <c15:formulaRef>
                          <c15:sqref>'Financial analysis conso'!$A$26:$B$26</c15:sqref>
                        </c15:formulaRef>
                      </c:ext>
                    </c:extLst>
                    <c:strCache>
                      <c:ptCount val="2"/>
                      <c:pt idx="1">
                        <c:v>Sub-total “Build” (One-Off)</c:v>
                      </c:pt>
                    </c:strCache>
                  </c:strRef>
                </c:cat>
                <c:val>
                  <c:numRef>
                    <c:extLst>
                      <c:ext xmlns:c15="http://schemas.microsoft.com/office/drawing/2012/chart" uri="{02D57815-91ED-43cb-92C2-25804820EDAC}">
                        <c15:formulaRef>
                          <c15:sqref>'Financial analysis conso'!#REF!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6FE1-4D1D-9562-002AB118E2A7}"/>
                  </c:ext>
                </c:extLst>
              </c15:ser>
            </c15:filteredBarSeries>
          </c:ext>
        </c:extLst>
      </c:barChart>
      <c:catAx>
        <c:axId val="1353964159"/>
        <c:scaling>
          <c:orientation val="minMax"/>
        </c:scaling>
        <c:delete val="1"/>
        <c:axPos val="b"/>
        <c:numFmt formatCode="General" sourceLinked="1"/>
        <c:majorTickMark val="out"/>
        <c:minorTickMark val="none"/>
        <c:tickLblPos val="nextTo"/>
        <c:crossAx val="1353971359"/>
        <c:crosses val="autoZero"/>
        <c:auto val="1"/>
        <c:lblAlgn val="ctr"/>
        <c:lblOffset val="100"/>
        <c:noMultiLvlLbl val="0"/>
      </c:catAx>
      <c:valAx>
        <c:axId val="1353971359"/>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396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u="sng"/>
              <a:t>Run (one year)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2"/>
          <c:tx>
            <c:strRef>
              <c:f>'Financial analysis conso'!$C$8</c:f>
              <c:strCache>
                <c:ptCount val="1"/>
                <c:pt idx="0">
                  <c:v>Netsuite - Oracle</c:v>
                </c:pt>
              </c:strCache>
            </c:strRef>
          </c:tx>
          <c:spPr>
            <a:solidFill>
              <a:srgbClr val="E4E1F7"/>
            </a:solidFill>
            <a:ln>
              <a:noFill/>
            </a:ln>
            <a:effectLst/>
          </c:spPr>
          <c:invertIfNegative val="0"/>
          <c:cat>
            <c:strRef>
              <c:f>'Financial analysis conso'!$A$38:$B$38</c:f>
              <c:strCache>
                <c:ptCount val="2"/>
                <c:pt idx="1">
                  <c:v>Sub-total “Run” Saas (annual)</c:v>
                </c:pt>
              </c:strCache>
            </c:strRef>
          </c:cat>
          <c:val>
            <c:numRef>
              <c:f>'Financial analysis conso'!$C$38</c:f>
              <c:numCache>
                <c:formatCode>_-* #,##0.00\ "€"_-;\-* #,##0.00\ "€"_-;_-* "-"??\ "€"_-;_-@_-</c:formatCode>
                <c:ptCount val="1"/>
                <c:pt idx="0">
                  <c:v>151017</c:v>
                </c:pt>
              </c:numCache>
            </c:numRef>
          </c:val>
          <c:extLst>
            <c:ext xmlns:c16="http://schemas.microsoft.com/office/drawing/2014/chart" uri="{C3380CC4-5D6E-409C-BE32-E72D297353CC}">
              <c16:uniqueId val="{00000002-8642-4836-A550-1E13839A838D}"/>
            </c:ext>
          </c:extLst>
        </c:ser>
        <c:ser>
          <c:idx val="3"/>
          <c:order val="3"/>
          <c:tx>
            <c:strRef>
              <c:f>'Financial analysis conso'!$D$8</c:f>
              <c:strCache>
                <c:ptCount val="1"/>
                <c:pt idx="0">
                  <c:v>SAP - KPMG</c:v>
                </c:pt>
              </c:strCache>
            </c:strRef>
          </c:tx>
          <c:spPr>
            <a:solidFill>
              <a:srgbClr val="B4ABEB"/>
            </a:solidFill>
            <a:ln>
              <a:noFill/>
            </a:ln>
            <a:effectLst/>
          </c:spPr>
          <c:invertIfNegative val="0"/>
          <c:cat>
            <c:strRef>
              <c:f>'Financial analysis conso'!$A$38:$B$38</c:f>
              <c:strCache>
                <c:ptCount val="2"/>
                <c:pt idx="1">
                  <c:v>Sub-total “Run” Saas (annual)</c:v>
                </c:pt>
              </c:strCache>
            </c:strRef>
          </c:cat>
          <c:val>
            <c:numRef>
              <c:f>'Financial analysis conso'!$D$38</c:f>
              <c:numCache>
                <c:formatCode>_-* #,##0.00\ "€"_-;\-* #,##0.00\ "€"_-;_-* "-"??\ "€"_-;_-@_-</c:formatCode>
                <c:ptCount val="1"/>
                <c:pt idx="0">
                  <c:v>172583</c:v>
                </c:pt>
              </c:numCache>
            </c:numRef>
          </c:val>
          <c:extLst>
            <c:ext xmlns:c16="http://schemas.microsoft.com/office/drawing/2014/chart" uri="{C3380CC4-5D6E-409C-BE32-E72D297353CC}">
              <c16:uniqueId val="{00000003-8642-4836-A550-1E13839A838D}"/>
            </c:ext>
          </c:extLst>
        </c:ser>
        <c:dLbls>
          <c:showLegendKey val="0"/>
          <c:showVal val="0"/>
          <c:showCatName val="0"/>
          <c:showSerName val="0"/>
          <c:showPercent val="0"/>
          <c:showBubbleSize val="0"/>
        </c:dLbls>
        <c:gapWidth val="219"/>
        <c:overlap val="-27"/>
        <c:axId val="1353964159"/>
        <c:axId val="1353971359"/>
        <c:extLst>
          <c:ext xmlns:c15="http://schemas.microsoft.com/office/drawing/2012/chart" uri="{02D57815-91ED-43cb-92C2-25804820EDAC}">
            <c15:filteredBarSeries>
              <c15:ser>
                <c:idx val="0"/>
                <c:order val="0"/>
                <c:tx>
                  <c:strRef>
                    <c:extLst>
                      <c:ext uri="{02D57815-91ED-43cb-92C2-25804820EDAC}">
                        <c15:formulaRef>
                          <c15:sqref>'Financial analysis conso'!#REF!</c15:sqref>
                        </c15:formulaRef>
                      </c:ext>
                    </c:extLst>
                    <c:strCache>
                      <c:ptCount val="1"/>
                      <c:pt idx="0">
                        <c:v>#REF!</c:v>
                      </c:pt>
                    </c:strCache>
                  </c:strRef>
                </c:tx>
                <c:spPr>
                  <a:solidFill>
                    <a:schemeClr val="accent1"/>
                  </a:solidFill>
                  <a:ln>
                    <a:noFill/>
                  </a:ln>
                  <a:effectLst/>
                </c:spPr>
                <c:invertIfNegative val="0"/>
                <c:cat>
                  <c:strRef>
                    <c:extLst>
                      <c:ext uri="{02D57815-91ED-43cb-92C2-25804820EDAC}">
                        <c15:formulaRef>
                          <c15:sqref>'Financial analysis conso'!$A$38:$B$38</c15:sqref>
                        </c15:formulaRef>
                      </c:ext>
                    </c:extLst>
                    <c:strCache>
                      <c:ptCount val="2"/>
                      <c:pt idx="1">
                        <c:v>Sub-total “Run” Saas (annual)</c:v>
                      </c:pt>
                    </c:strCache>
                  </c:strRef>
                </c:cat>
                <c:val>
                  <c:numRef>
                    <c:extLst>
                      <c:ext uri="{02D57815-91ED-43cb-92C2-25804820EDAC}">
                        <c15:formulaRef>
                          <c15:sqref>'Financial analysis conso'!#REF!</c15:sqref>
                        </c15:formulaRef>
                      </c:ext>
                    </c:extLst>
                    <c:numCache>
                      <c:formatCode>General</c:formatCode>
                      <c:ptCount val="1"/>
                      <c:pt idx="0">
                        <c:v>1</c:v>
                      </c:pt>
                    </c:numCache>
                  </c:numRef>
                </c:val>
                <c:extLst>
                  <c:ext xmlns:c16="http://schemas.microsoft.com/office/drawing/2014/chart" uri="{C3380CC4-5D6E-409C-BE32-E72D297353CC}">
                    <c16:uniqueId val="{00000000-8642-4836-A550-1E13839A838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'Financial analysis conso'!#REF!</c15:sqref>
                        </c15:formulaRef>
                      </c:ext>
                    </c:extLst>
                    <c:strCache>
                      <c:ptCount val="1"/>
                      <c:pt idx="0">
                        <c:v>#REF!</c:v>
                      </c:pt>
                    </c:strCache>
                  </c:strRef>
                </c:tx>
                <c:spPr>
                  <a:solidFill>
                    <a:schemeClr val="accent2"/>
                  </a:solidFill>
                  <a:ln>
                    <a:noFill/>
                  </a:ln>
                  <a:effectLst/>
                </c:spPr>
                <c:invertIfNegative val="0"/>
                <c:cat>
                  <c:strRef>
                    <c:extLst>
                      <c:ext xmlns:c15="http://schemas.microsoft.com/office/drawing/2012/chart" uri="{02D57815-91ED-43cb-92C2-25804820EDAC}">
                        <c15:formulaRef>
                          <c15:sqref>'Financial analysis conso'!$A$38:$B$38</c15:sqref>
                        </c15:formulaRef>
                      </c:ext>
                    </c:extLst>
                    <c:strCache>
                      <c:ptCount val="2"/>
                      <c:pt idx="1">
                        <c:v>Sub-total “Run” Saas (annual)</c:v>
                      </c:pt>
                    </c:strCache>
                  </c:strRef>
                </c:cat>
                <c:val>
                  <c:numRef>
                    <c:extLst>
                      <c:ext xmlns:c15="http://schemas.microsoft.com/office/drawing/2012/chart" uri="{02D57815-91ED-43cb-92C2-25804820EDAC}">
                        <c15:formulaRef>
                          <c15:sqref>'Financial analysis conso'!#REF!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8642-4836-A550-1E13839A838D}"/>
                  </c:ext>
                </c:extLst>
              </c15:ser>
            </c15:filteredBarSeries>
          </c:ext>
        </c:extLst>
      </c:barChart>
      <c:catAx>
        <c:axId val="1353964159"/>
        <c:scaling>
          <c:orientation val="minMax"/>
        </c:scaling>
        <c:delete val="1"/>
        <c:axPos val="b"/>
        <c:numFmt formatCode="General" sourceLinked="1"/>
        <c:majorTickMark val="out"/>
        <c:minorTickMark val="none"/>
        <c:tickLblPos val="nextTo"/>
        <c:crossAx val="1353971359"/>
        <c:crosses val="autoZero"/>
        <c:auto val="1"/>
        <c:lblAlgn val="ctr"/>
        <c:lblOffset val="100"/>
        <c:noMultiLvlLbl val="0"/>
      </c:catAx>
      <c:valAx>
        <c:axId val="1353971359"/>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396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u="sng"/>
              <a:t>ERP daily rate comparison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2"/>
          <c:tx>
            <c:strRef>
              <c:f>'Financial analysis conso'!$C$8</c:f>
              <c:strCache>
                <c:ptCount val="1"/>
                <c:pt idx="0">
                  <c:v>Netsuite - Oracle</c:v>
                </c:pt>
              </c:strCache>
            </c:strRef>
          </c:tx>
          <c:spPr>
            <a:solidFill>
              <a:srgbClr val="E4E1F7"/>
            </a:solidFill>
            <a:ln>
              <a:noFill/>
            </a:ln>
            <a:effectLst/>
          </c:spPr>
          <c:invertIfNegative val="0"/>
          <c:cat>
            <c:strRef>
              <c:f>'Financial analysis conso'!$A$42:$B$42</c:f>
              <c:strCache>
                <c:ptCount val="1"/>
                <c:pt idx="0">
                  <c:v>Integrator's average daily rate </c:v>
                </c:pt>
              </c:strCache>
            </c:strRef>
          </c:cat>
          <c:val>
            <c:numRef>
              <c:f>'Financial analysis conso'!$C$42</c:f>
              <c:numCache>
                <c:formatCode>_-* #,##0.00\ "€"_-;\-* #,##0.00\ "€"_-;_-* "-"??\ "€"_-;_-@_-</c:formatCode>
                <c:ptCount val="1"/>
                <c:pt idx="0">
                  <c:v>1165.3763440860216</c:v>
                </c:pt>
              </c:numCache>
            </c:numRef>
          </c:val>
          <c:extLst>
            <c:ext xmlns:c16="http://schemas.microsoft.com/office/drawing/2014/chart" uri="{C3380CC4-5D6E-409C-BE32-E72D297353CC}">
              <c16:uniqueId val="{00000002-5135-46F2-A3E3-610E6BFBA19A}"/>
            </c:ext>
          </c:extLst>
        </c:ser>
        <c:ser>
          <c:idx val="3"/>
          <c:order val="3"/>
          <c:tx>
            <c:strRef>
              <c:f>'Financial analysis conso'!$D$8</c:f>
              <c:strCache>
                <c:ptCount val="1"/>
                <c:pt idx="0">
                  <c:v>SAP - KPMG</c:v>
                </c:pt>
              </c:strCache>
            </c:strRef>
          </c:tx>
          <c:spPr>
            <a:solidFill>
              <a:srgbClr val="B4ABEB"/>
            </a:solidFill>
            <a:ln>
              <a:noFill/>
            </a:ln>
            <a:effectLst/>
          </c:spPr>
          <c:invertIfNegative val="0"/>
          <c:cat>
            <c:strRef>
              <c:f>'Financial analysis conso'!$A$42:$B$42</c:f>
              <c:strCache>
                <c:ptCount val="1"/>
                <c:pt idx="0">
                  <c:v>Integrator's average daily rate </c:v>
                </c:pt>
              </c:strCache>
            </c:strRef>
          </c:cat>
          <c:val>
            <c:numRef>
              <c:f>'Financial analysis conso'!$D$42</c:f>
              <c:numCache>
                <c:formatCode>_-* #,##0.00\ "€"_-;\-* #,##0.00\ "€"_-;_-* "-"??\ "€"_-;_-@_-</c:formatCode>
                <c:ptCount val="1"/>
                <c:pt idx="0">
                  <c:v>1402.2652868050734</c:v>
                </c:pt>
              </c:numCache>
            </c:numRef>
          </c:val>
          <c:extLst>
            <c:ext xmlns:c16="http://schemas.microsoft.com/office/drawing/2014/chart" uri="{C3380CC4-5D6E-409C-BE32-E72D297353CC}">
              <c16:uniqueId val="{00000003-5135-46F2-A3E3-610E6BFBA19A}"/>
            </c:ext>
          </c:extLst>
        </c:ser>
        <c:dLbls>
          <c:showLegendKey val="0"/>
          <c:showVal val="0"/>
          <c:showCatName val="0"/>
          <c:showSerName val="0"/>
          <c:showPercent val="0"/>
          <c:showBubbleSize val="0"/>
        </c:dLbls>
        <c:gapWidth val="219"/>
        <c:overlap val="-27"/>
        <c:axId val="1353964159"/>
        <c:axId val="1353971359"/>
        <c:extLst>
          <c:ext xmlns:c15="http://schemas.microsoft.com/office/drawing/2012/chart" uri="{02D57815-91ED-43cb-92C2-25804820EDAC}">
            <c15:filteredBarSeries>
              <c15:ser>
                <c:idx val="0"/>
                <c:order val="0"/>
                <c:tx>
                  <c:strRef>
                    <c:extLst>
                      <c:ext uri="{02D57815-91ED-43cb-92C2-25804820EDAC}">
                        <c15:formulaRef>
                          <c15:sqref>'Financial analysis conso'!#REF!</c15:sqref>
                        </c15:formulaRef>
                      </c:ext>
                    </c:extLst>
                    <c:strCache>
                      <c:ptCount val="1"/>
                      <c:pt idx="0">
                        <c:v>#REF!</c:v>
                      </c:pt>
                    </c:strCache>
                  </c:strRef>
                </c:tx>
                <c:spPr>
                  <a:solidFill>
                    <a:schemeClr val="accent1"/>
                  </a:solidFill>
                  <a:ln>
                    <a:noFill/>
                  </a:ln>
                  <a:effectLst/>
                </c:spPr>
                <c:invertIfNegative val="0"/>
                <c:cat>
                  <c:strRef>
                    <c:extLst>
                      <c:ext uri="{02D57815-91ED-43cb-92C2-25804820EDAC}">
                        <c15:formulaRef>
                          <c15:sqref>'Financial analysis conso'!$A$42:$B$42</c15:sqref>
                        </c15:formulaRef>
                      </c:ext>
                    </c:extLst>
                    <c:strCache>
                      <c:ptCount val="1"/>
                      <c:pt idx="0">
                        <c:v>Integrator's average daily rate </c:v>
                      </c:pt>
                    </c:strCache>
                  </c:strRef>
                </c:cat>
                <c:val>
                  <c:numRef>
                    <c:extLst>
                      <c:ext uri="{02D57815-91ED-43cb-92C2-25804820EDAC}">
                        <c15:formulaRef>
                          <c15:sqref>'Financial analysis conso'!#REF!</c15:sqref>
                        </c15:formulaRef>
                      </c:ext>
                    </c:extLst>
                    <c:numCache>
                      <c:formatCode>General</c:formatCode>
                      <c:ptCount val="1"/>
                      <c:pt idx="0">
                        <c:v>1</c:v>
                      </c:pt>
                    </c:numCache>
                  </c:numRef>
                </c:val>
                <c:extLst>
                  <c:ext xmlns:c16="http://schemas.microsoft.com/office/drawing/2014/chart" uri="{C3380CC4-5D6E-409C-BE32-E72D297353CC}">
                    <c16:uniqueId val="{00000000-5135-46F2-A3E3-610E6BFBA19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'Financial analysis conso'!#REF!</c15:sqref>
                        </c15:formulaRef>
                      </c:ext>
                    </c:extLst>
                    <c:strCache>
                      <c:ptCount val="1"/>
                      <c:pt idx="0">
                        <c:v>#REF!</c:v>
                      </c:pt>
                    </c:strCache>
                  </c:strRef>
                </c:tx>
                <c:spPr>
                  <a:solidFill>
                    <a:schemeClr val="accent2"/>
                  </a:solidFill>
                  <a:ln>
                    <a:noFill/>
                  </a:ln>
                  <a:effectLst/>
                </c:spPr>
                <c:invertIfNegative val="0"/>
                <c:cat>
                  <c:strRef>
                    <c:extLst>
                      <c:ext xmlns:c15="http://schemas.microsoft.com/office/drawing/2012/chart" uri="{02D57815-91ED-43cb-92C2-25804820EDAC}">
                        <c15:formulaRef>
                          <c15:sqref>'Financial analysis conso'!$A$42:$B$42</c15:sqref>
                        </c15:formulaRef>
                      </c:ext>
                    </c:extLst>
                    <c:strCache>
                      <c:ptCount val="1"/>
                      <c:pt idx="0">
                        <c:v>Integrator's average daily rate </c:v>
                      </c:pt>
                    </c:strCache>
                  </c:strRef>
                </c:cat>
                <c:val>
                  <c:numRef>
                    <c:extLst>
                      <c:ext xmlns:c15="http://schemas.microsoft.com/office/drawing/2012/chart" uri="{02D57815-91ED-43cb-92C2-25804820EDAC}">
                        <c15:formulaRef>
                          <c15:sqref>'Financial analysis conso'!#REF!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5135-46F2-A3E3-610E6BFBA19A}"/>
                  </c:ext>
                </c:extLst>
              </c15:ser>
            </c15:filteredBarSeries>
          </c:ext>
        </c:extLst>
      </c:barChart>
      <c:catAx>
        <c:axId val="1353964159"/>
        <c:scaling>
          <c:orientation val="minMax"/>
        </c:scaling>
        <c:delete val="1"/>
        <c:axPos val="b"/>
        <c:numFmt formatCode="General" sourceLinked="1"/>
        <c:majorTickMark val="out"/>
        <c:minorTickMark val="none"/>
        <c:tickLblPos val="nextTo"/>
        <c:crossAx val="1353971359"/>
        <c:crosses val="autoZero"/>
        <c:auto val="1"/>
        <c:lblAlgn val="ctr"/>
        <c:lblOffset val="100"/>
        <c:noMultiLvlLbl val="0"/>
      </c:catAx>
      <c:valAx>
        <c:axId val="1353971359"/>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396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b="0" i="0" u="sng" strike="noStrike" kern="1200" spc="0" baseline="0">
                <a:solidFill>
                  <a:srgbClr val="58585B">
                    <a:lumMod val="65000"/>
                    <a:lumOff val="35000"/>
                  </a:srgbClr>
                </a:solidFill>
              </a:rPr>
              <a:t>ERP license cost comparison (SaaS rent - annual basis)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2"/>
          <c:tx>
            <c:strRef>
              <c:f>'Financial analysis conso'!$C$8</c:f>
              <c:strCache>
                <c:ptCount val="1"/>
                <c:pt idx="0">
                  <c:v>Netsuite - Oracle</c:v>
                </c:pt>
              </c:strCache>
            </c:strRef>
          </c:tx>
          <c:spPr>
            <a:solidFill>
              <a:srgbClr val="E4E1F7"/>
            </a:solidFill>
            <a:ln>
              <a:noFill/>
            </a:ln>
            <a:effectLst/>
          </c:spPr>
          <c:invertIfNegative val="0"/>
          <c:cat>
            <c:strRef>
              <c:f>'Financial analysis conso'!$A$30:$B$30</c:f>
              <c:strCache>
                <c:ptCount val="2"/>
                <c:pt idx="1">
                  <c:v>SaaS rent (annual basis)</c:v>
                </c:pt>
              </c:strCache>
            </c:strRef>
          </c:cat>
          <c:val>
            <c:numRef>
              <c:f>'Financial analysis conso'!$C$30</c:f>
              <c:numCache>
                <c:formatCode>_-* #,##0.00\ "€"_-;\-* #,##0.00\ "€"_-;_-* "-"??\ "€"_-;_-@_-</c:formatCode>
                <c:ptCount val="1"/>
                <c:pt idx="0">
                  <c:v>109908</c:v>
                </c:pt>
              </c:numCache>
            </c:numRef>
          </c:val>
          <c:extLst>
            <c:ext xmlns:c16="http://schemas.microsoft.com/office/drawing/2014/chart" uri="{C3380CC4-5D6E-409C-BE32-E72D297353CC}">
              <c16:uniqueId val="{00000002-F015-47B7-8651-D28D47A8C1AC}"/>
            </c:ext>
          </c:extLst>
        </c:ser>
        <c:ser>
          <c:idx val="3"/>
          <c:order val="3"/>
          <c:tx>
            <c:strRef>
              <c:f>'Financial analysis conso'!$D$8</c:f>
              <c:strCache>
                <c:ptCount val="1"/>
                <c:pt idx="0">
                  <c:v>SAP - KPMG</c:v>
                </c:pt>
              </c:strCache>
            </c:strRef>
          </c:tx>
          <c:spPr>
            <a:solidFill>
              <a:srgbClr val="B4ABEB"/>
            </a:solidFill>
            <a:ln>
              <a:noFill/>
            </a:ln>
            <a:effectLst/>
          </c:spPr>
          <c:invertIfNegative val="0"/>
          <c:cat>
            <c:strRef>
              <c:f>'Financial analysis conso'!$A$30:$B$30</c:f>
              <c:strCache>
                <c:ptCount val="2"/>
                <c:pt idx="1">
                  <c:v>SaaS rent (annual basis)</c:v>
                </c:pt>
              </c:strCache>
            </c:strRef>
          </c:cat>
          <c:val>
            <c:numRef>
              <c:f>'Financial analysis conso'!$D$30</c:f>
              <c:numCache>
                <c:formatCode>_-* #,##0.00\ "€"_-;\-* #,##0.00\ "€"_-;_-* "-"??\ "€"_-;_-@_-</c:formatCode>
                <c:ptCount val="1"/>
                <c:pt idx="0">
                  <c:v>115333</c:v>
                </c:pt>
              </c:numCache>
            </c:numRef>
          </c:val>
          <c:extLst>
            <c:ext xmlns:c16="http://schemas.microsoft.com/office/drawing/2014/chart" uri="{C3380CC4-5D6E-409C-BE32-E72D297353CC}">
              <c16:uniqueId val="{00000003-F015-47B7-8651-D28D47A8C1AC}"/>
            </c:ext>
          </c:extLst>
        </c:ser>
        <c:dLbls>
          <c:showLegendKey val="0"/>
          <c:showVal val="0"/>
          <c:showCatName val="0"/>
          <c:showSerName val="0"/>
          <c:showPercent val="0"/>
          <c:showBubbleSize val="0"/>
        </c:dLbls>
        <c:gapWidth val="219"/>
        <c:overlap val="-27"/>
        <c:axId val="1236294640"/>
        <c:axId val="1236296080"/>
        <c:extLst>
          <c:ext xmlns:c15="http://schemas.microsoft.com/office/drawing/2012/chart" uri="{02D57815-91ED-43cb-92C2-25804820EDAC}">
            <c15:filteredBarSeries>
              <c15:ser>
                <c:idx val="0"/>
                <c:order val="0"/>
                <c:tx>
                  <c:strRef>
                    <c:extLst>
                      <c:ext uri="{02D57815-91ED-43cb-92C2-25804820EDAC}">
                        <c15:formulaRef>
                          <c15:sqref>'Financial analysis conso'!#REF!</c15:sqref>
                        </c15:formulaRef>
                      </c:ext>
                    </c:extLst>
                    <c:strCache>
                      <c:ptCount val="1"/>
                      <c:pt idx="0">
                        <c:v>#REF!</c:v>
                      </c:pt>
                    </c:strCache>
                  </c:strRef>
                </c:tx>
                <c:spPr>
                  <a:solidFill>
                    <a:schemeClr val="accent1"/>
                  </a:solidFill>
                  <a:ln>
                    <a:noFill/>
                  </a:ln>
                  <a:effectLst/>
                </c:spPr>
                <c:invertIfNegative val="0"/>
                <c:cat>
                  <c:strRef>
                    <c:extLst>
                      <c:ext uri="{02D57815-91ED-43cb-92C2-25804820EDAC}">
                        <c15:formulaRef>
                          <c15:sqref>'Financial analysis conso'!$A$30:$B$30</c15:sqref>
                        </c15:formulaRef>
                      </c:ext>
                    </c:extLst>
                    <c:strCache>
                      <c:ptCount val="2"/>
                      <c:pt idx="1">
                        <c:v>SaaS rent (annual basis)</c:v>
                      </c:pt>
                    </c:strCache>
                  </c:strRef>
                </c:cat>
                <c:val>
                  <c:numRef>
                    <c:extLst>
                      <c:ext uri="{02D57815-91ED-43cb-92C2-25804820EDAC}">
                        <c15:formulaRef>
                          <c15:sqref>'Financial analysis conso'!#REF!</c15:sqref>
                        </c15:formulaRef>
                      </c:ext>
                    </c:extLst>
                    <c:numCache>
                      <c:formatCode>General</c:formatCode>
                      <c:ptCount val="1"/>
                      <c:pt idx="0">
                        <c:v>1</c:v>
                      </c:pt>
                    </c:numCache>
                  </c:numRef>
                </c:val>
                <c:extLst>
                  <c:ext xmlns:c16="http://schemas.microsoft.com/office/drawing/2014/chart" uri="{C3380CC4-5D6E-409C-BE32-E72D297353CC}">
                    <c16:uniqueId val="{00000000-F015-47B7-8651-D28D47A8C1AC}"/>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'Financial analysis conso'!#REF!</c15:sqref>
                        </c15:formulaRef>
                      </c:ext>
                    </c:extLst>
                    <c:strCache>
                      <c:ptCount val="1"/>
                      <c:pt idx="0">
                        <c:v>#REF!</c:v>
                      </c:pt>
                    </c:strCache>
                  </c:strRef>
                </c:tx>
                <c:spPr>
                  <a:solidFill>
                    <a:schemeClr val="accent2"/>
                  </a:solidFill>
                  <a:ln>
                    <a:noFill/>
                  </a:ln>
                  <a:effectLst/>
                </c:spPr>
                <c:invertIfNegative val="0"/>
                <c:cat>
                  <c:strRef>
                    <c:extLst>
                      <c:ext xmlns:c15="http://schemas.microsoft.com/office/drawing/2012/chart" uri="{02D57815-91ED-43cb-92C2-25804820EDAC}">
                        <c15:formulaRef>
                          <c15:sqref>'Financial analysis conso'!$A$30:$B$30</c15:sqref>
                        </c15:formulaRef>
                      </c:ext>
                    </c:extLst>
                    <c:strCache>
                      <c:ptCount val="2"/>
                      <c:pt idx="1">
                        <c:v>SaaS rent (annual basis)</c:v>
                      </c:pt>
                    </c:strCache>
                  </c:strRef>
                </c:cat>
                <c:val>
                  <c:numRef>
                    <c:extLst>
                      <c:ext xmlns:c15="http://schemas.microsoft.com/office/drawing/2012/chart" uri="{02D57815-91ED-43cb-92C2-25804820EDAC}">
                        <c15:formulaRef>
                          <c15:sqref>'Financial analysis conso'!#REF!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F015-47B7-8651-D28D47A8C1AC}"/>
                  </c:ext>
                </c:extLst>
              </c15:ser>
            </c15:filteredBarSeries>
          </c:ext>
        </c:extLst>
      </c:barChart>
      <c:catAx>
        <c:axId val="1236294640"/>
        <c:scaling>
          <c:orientation val="minMax"/>
        </c:scaling>
        <c:delete val="1"/>
        <c:axPos val="b"/>
        <c:numFmt formatCode="General" sourceLinked="1"/>
        <c:majorTickMark val="out"/>
        <c:minorTickMark val="none"/>
        <c:tickLblPos val="nextTo"/>
        <c:crossAx val="1236296080"/>
        <c:crosses val="autoZero"/>
        <c:auto val="1"/>
        <c:lblAlgn val="ctr"/>
        <c:lblOffset val="100"/>
        <c:noMultiLvlLbl val="0"/>
      </c:catAx>
      <c:valAx>
        <c:axId val="1236296080"/>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629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sng" strike="noStrike" kern="1200" spc="0" baseline="0">
                <a:solidFill>
                  <a:schemeClr val="tx1">
                    <a:lumMod val="65000"/>
                    <a:lumOff val="35000"/>
                  </a:schemeClr>
                </a:solidFill>
                <a:latin typeface="+mn-lt"/>
                <a:ea typeface="+mn-ea"/>
                <a:cs typeface="+mn-cs"/>
              </a:defRPr>
            </a:pPr>
            <a:r>
              <a:rPr lang="fr-FR" sz="1200" b="0" i="0" u="sng" strike="noStrike" kern="1200" spc="0" baseline="0">
                <a:solidFill>
                  <a:srgbClr val="58585B">
                    <a:lumMod val="65000"/>
                    <a:lumOff val="35000"/>
                  </a:srgbClr>
                </a:solidFill>
              </a:rPr>
              <a:t>ERP maintenance cost / year comparison</a:t>
            </a:r>
          </a:p>
        </c:rich>
      </c:tx>
      <c:overlay val="0"/>
      <c:spPr>
        <a:noFill/>
        <a:ln>
          <a:noFill/>
        </a:ln>
        <a:effectLst/>
      </c:spPr>
      <c:txPr>
        <a:bodyPr rot="0" spcFirstLastPara="1" vertOverflow="ellipsis" vert="horz" wrap="square" anchor="ctr" anchorCtr="1"/>
        <a:lstStyle/>
        <a:p>
          <a:pPr>
            <a:defRPr sz="1200" b="0" i="0" u="sng"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2"/>
          <c:tx>
            <c:strRef>
              <c:f>'Financial analysis conso'!$C$8</c:f>
              <c:strCache>
                <c:ptCount val="1"/>
                <c:pt idx="0">
                  <c:v>Netsuite - Oracle</c:v>
                </c:pt>
              </c:strCache>
            </c:strRef>
          </c:tx>
          <c:spPr>
            <a:solidFill>
              <a:srgbClr val="E4E1F7"/>
            </a:solidFill>
            <a:ln>
              <a:noFill/>
            </a:ln>
            <a:effectLst/>
          </c:spPr>
          <c:invertIfNegative val="0"/>
          <c:cat>
            <c:strRef>
              <c:f>'Financial analysis conso'!$A$34:$B$34</c:f>
              <c:strCache>
                <c:ptCount val="2"/>
                <c:pt idx="1">
                  <c:v>TMA (annual)</c:v>
                </c:pt>
              </c:strCache>
            </c:strRef>
          </c:cat>
          <c:val>
            <c:numRef>
              <c:f>'Financial analysis conso'!$C$34</c:f>
              <c:numCache>
                <c:formatCode>_-* #,##0.00\ "€"_-;\-* #,##0.00\ "€"_-;_-* "-"??\ "€"_-;_-@_-</c:formatCode>
                <c:ptCount val="1"/>
                <c:pt idx="0">
                  <c:v>41109</c:v>
                </c:pt>
              </c:numCache>
            </c:numRef>
          </c:val>
          <c:extLst>
            <c:ext xmlns:c16="http://schemas.microsoft.com/office/drawing/2014/chart" uri="{C3380CC4-5D6E-409C-BE32-E72D297353CC}">
              <c16:uniqueId val="{00000002-6053-4D47-9306-4D18888996D9}"/>
            </c:ext>
          </c:extLst>
        </c:ser>
        <c:ser>
          <c:idx val="3"/>
          <c:order val="3"/>
          <c:tx>
            <c:strRef>
              <c:f>'Financial analysis conso'!$D$8</c:f>
              <c:strCache>
                <c:ptCount val="1"/>
                <c:pt idx="0">
                  <c:v>SAP - KPMG</c:v>
                </c:pt>
              </c:strCache>
            </c:strRef>
          </c:tx>
          <c:spPr>
            <a:solidFill>
              <a:srgbClr val="B4ABEB"/>
            </a:solidFill>
            <a:ln>
              <a:noFill/>
            </a:ln>
            <a:effectLst/>
          </c:spPr>
          <c:invertIfNegative val="0"/>
          <c:cat>
            <c:strRef>
              <c:f>'Financial analysis conso'!$A$34:$B$34</c:f>
              <c:strCache>
                <c:ptCount val="2"/>
                <c:pt idx="1">
                  <c:v>TMA (annual)</c:v>
                </c:pt>
              </c:strCache>
            </c:strRef>
          </c:cat>
          <c:val>
            <c:numRef>
              <c:f>'Financial analysis conso'!$D$34</c:f>
              <c:numCache>
                <c:formatCode>_-* #,##0.00\ "€"_-;\-* #,##0.00\ "€"_-;_-* "-"??\ "€"_-;_-@_-</c:formatCode>
                <c:ptCount val="1"/>
                <c:pt idx="0">
                  <c:v>57250</c:v>
                </c:pt>
              </c:numCache>
            </c:numRef>
          </c:val>
          <c:extLst>
            <c:ext xmlns:c16="http://schemas.microsoft.com/office/drawing/2014/chart" uri="{C3380CC4-5D6E-409C-BE32-E72D297353CC}">
              <c16:uniqueId val="{00000003-6053-4D47-9306-4D18888996D9}"/>
            </c:ext>
          </c:extLst>
        </c:ser>
        <c:dLbls>
          <c:showLegendKey val="0"/>
          <c:showVal val="0"/>
          <c:showCatName val="0"/>
          <c:showSerName val="0"/>
          <c:showPercent val="0"/>
          <c:showBubbleSize val="0"/>
        </c:dLbls>
        <c:gapWidth val="219"/>
        <c:overlap val="-27"/>
        <c:axId val="1236294640"/>
        <c:axId val="1236296080"/>
        <c:extLst>
          <c:ext xmlns:c15="http://schemas.microsoft.com/office/drawing/2012/chart" uri="{02D57815-91ED-43cb-92C2-25804820EDAC}">
            <c15:filteredBarSeries>
              <c15:ser>
                <c:idx val="0"/>
                <c:order val="0"/>
                <c:tx>
                  <c:strRef>
                    <c:extLst>
                      <c:ext uri="{02D57815-91ED-43cb-92C2-25804820EDAC}">
                        <c15:formulaRef>
                          <c15:sqref>'Financial analysis conso'!#REF!</c15:sqref>
                        </c15:formulaRef>
                      </c:ext>
                    </c:extLst>
                    <c:strCache>
                      <c:ptCount val="1"/>
                      <c:pt idx="0">
                        <c:v>#REF!</c:v>
                      </c:pt>
                    </c:strCache>
                  </c:strRef>
                </c:tx>
                <c:spPr>
                  <a:solidFill>
                    <a:schemeClr val="accent1"/>
                  </a:solidFill>
                  <a:ln>
                    <a:noFill/>
                  </a:ln>
                  <a:effectLst/>
                </c:spPr>
                <c:invertIfNegative val="0"/>
                <c:cat>
                  <c:strRef>
                    <c:extLst>
                      <c:ext uri="{02D57815-91ED-43cb-92C2-25804820EDAC}">
                        <c15:formulaRef>
                          <c15:sqref>'Financial analysis conso'!$A$34:$B$34</c15:sqref>
                        </c15:formulaRef>
                      </c:ext>
                    </c:extLst>
                    <c:strCache>
                      <c:ptCount val="2"/>
                      <c:pt idx="1">
                        <c:v>TMA (annual)</c:v>
                      </c:pt>
                    </c:strCache>
                  </c:strRef>
                </c:cat>
                <c:val>
                  <c:numRef>
                    <c:extLst>
                      <c:ext uri="{02D57815-91ED-43cb-92C2-25804820EDAC}">
                        <c15:formulaRef>
                          <c15:sqref>'Financial analysis conso'!#REF!</c15:sqref>
                        </c15:formulaRef>
                      </c:ext>
                    </c:extLst>
                    <c:numCache>
                      <c:formatCode>General</c:formatCode>
                      <c:ptCount val="1"/>
                      <c:pt idx="0">
                        <c:v>1</c:v>
                      </c:pt>
                    </c:numCache>
                  </c:numRef>
                </c:val>
                <c:extLst>
                  <c:ext xmlns:c16="http://schemas.microsoft.com/office/drawing/2014/chart" uri="{C3380CC4-5D6E-409C-BE32-E72D297353CC}">
                    <c16:uniqueId val="{00000000-6053-4D47-9306-4D18888996D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'Financial analysis conso'!#REF!</c15:sqref>
                        </c15:formulaRef>
                      </c:ext>
                    </c:extLst>
                    <c:strCache>
                      <c:ptCount val="1"/>
                      <c:pt idx="0">
                        <c:v>#REF!</c:v>
                      </c:pt>
                    </c:strCache>
                  </c:strRef>
                </c:tx>
                <c:spPr>
                  <a:solidFill>
                    <a:schemeClr val="accent2"/>
                  </a:solidFill>
                  <a:ln>
                    <a:noFill/>
                  </a:ln>
                  <a:effectLst/>
                </c:spPr>
                <c:invertIfNegative val="0"/>
                <c:cat>
                  <c:strRef>
                    <c:extLst>
                      <c:ext xmlns:c15="http://schemas.microsoft.com/office/drawing/2012/chart" uri="{02D57815-91ED-43cb-92C2-25804820EDAC}">
                        <c15:formulaRef>
                          <c15:sqref>'Financial analysis conso'!$A$34:$B$34</c15:sqref>
                        </c15:formulaRef>
                      </c:ext>
                    </c:extLst>
                    <c:strCache>
                      <c:ptCount val="2"/>
                      <c:pt idx="1">
                        <c:v>TMA (annual)</c:v>
                      </c:pt>
                    </c:strCache>
                  </c:strRef>
                </c:cat>
                <c:val>
                  <c:numRef>
                    <c:extLst>
                      <c:ext xmlns:c15="http://schemas.microsoft.com/office/drawing/2012/chart" uri="{02D57815-91ED-43cb-92C2-25804820EDAC}">
                        <c15:formulaRef>
                          <c15:sqref>'Financial analysis conso'!#REF!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6053-4D47-9306-4D18888996D9}"/>
                  </c:ext>
                </c:extLst>
              </c15:ser>
            </c15:filteredBarSeries>
          </c:ext>
        </c:extLst>
      </c:barChart>
      <c:catAx>
        <c:axId val="1236294640"/>
        <c:scaling>
          <c:orientation val="minMax"/>
        </c:scaling>
        <c:delete val="1"/>
        <c:axPos val="b"/>
        <c:numFmt formatCode="General" sourceLinked="1"/>
        <c:majorTickMark val="out"/>
        <c:minorTickMark val="none"/>
        <c:tickLblPos val="nextTo"/>
        <c:crossAx val="1236296080"/>
        <c:crosses val="autoZero"/>
        <c:auto val="1"/>
        <c:lblAlgn val="ctr"/>
        <c:lblOffset val="100"/>
        <c:noMultiLvlLbl val="0"/>
      </c:catAx>
      <c:valAx>
        <c:axId val="1236296080"/>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629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u="sng"/>
              <a:t>Overall cost over 10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2"/>
          <c:tx>
            <c:strRef>
              <c:f>'Financial analysis conso'!$C$8</c:f>
              <c:strCache>
                <c:ptCount val="1"/>
                <c:pt idx="0">
                  <c:v>Netsuite - Oracle</c:v>
                </c:pt>
              </c:strCache>
            </c:strRef>
          </c:tx>
          <c:spPr>
            <a:solidFill>
              <a:srgbClr val="E4E1F7"/>
            </a:solidFill>
            <a:ln>
              <a:noFill/>
            </a:ln>
            <a:effectLst/>
          </c:spPr>
          <c:invertIfNegative val="0"/>
          <c:cat>
            <c:strRef>
              <c:f>'Financial analysis conso'!$A$12:$B$12</c:f>
              <c:strCache>
                <c:ptCount val="1"/>
                <c:pt idx="0">
                  <c:v>Overall cost over 10 years</c:v>
                </c:pt>
              </c:strCache>
            </c:strRef>
          </c:cat>
          <c:val>
            <c:numRef>
              <c:f>'Financial analysis conso'!$C$12</c:f>
              <c:numCache>
                <c:formatCode>_-* #,##0.00\ "€"_-;\-* #,##0.00\ "€"_-;_-* "-"??\ "€"_-;_-@_-</c:formatCode>
                <c:ptCount val="1"/>
                <c:pt idx="0">
                  <c:v>1961690</c:v>
                </c:pt>
              </c:numCache>
            </c:numRef>
          </c:val>
          <c:extLst>
            <c:ext xmlns:c16="http://schemas.microsoft.com/office/drawing/2014/chart" uri="{C3380CC4-5D6E-409C-BE32-E72D297353CC}">
              <c16:uniqueId val="{00000002-CD01-4F58-88A8-80D4905EEDEC}"/>
            </c:ext>
          </c:extLst>
        </c:ser>
        <c:ser>
          <c:idx val="3"/>
          <c:order val="3"/>
          <c:tx>
            <c:strRef>
              <c:f>'Financial analysis conso'!$D$8</c:f>
              <c:strCache>
                <c:ptCount val="1"/>
                <c:pt idx="0">
                  <c:v>SAP - KPMG</c:v>
                </c:pt>
              </c:strCache>
            </c:strRef>
          </c:tx>
          <c:spPr>
            <a:solidFill>
              <a:srgbClr val="B4ABEB"/>
            </a:solidFill>
            <a:ln>
              <a:noFill/>
            </a:ln>
            <a:effectLst/>
          </c:spPr>
          <c:invertIfNegative val="0"/>
          <c:cat>
            <c:strRef>
              <c:f>'Financial analysis conso'!$A$12:$B$12</c:f>
              <c:strCache>
                <c:ptCount val="1"/>
                <c:pt idx="0">
                  <c:v>Overall cost over 10 years</c:v>
                </c:pt>
              </c:strCache>
            </c:strRef>
          </c:cat>
          <c:val>
            <c:numRef>
              <c:f>'Financial analysis conso'!$D$12</c:f>
              <c:numCache>
                <c:formatCode>_-* #,##0.00\ "€"_-;\-* #,##0.00\ "€"_-;_-* "-"??\ "€"_-;_-@_-</c:formatCode>
                <c:ptCount val="1"/>
                <c:pt idx="0">
                  <c:v>2792023.3018867923</c:v>
                </c:pt>
              </c:numCache>
            </c:numRef>
          </c:val>
          <c:extLst>
            <c:ext xmlns:c16="http://schemas.microsoft.com/office/drawing/2014/chart" uri="{C3380CC4-5D6E-409C-BE32-E72D297353CC}">
              <c16:uniqueId val="{00000003-CD01-4F58-88A8-80D4905EEDEC}"/>
            </c:ext>
          </c:extLst>
        </c:ser>
        <c:dLbls>
          <c:showLegendKey val="0"/>
          <c:showVal val="0"/>
          <c:showCatName val="0"/>
          <c:showSerName val="0"/>
          <c:showPercent val="0"/>
          <c:showBubbleSize val="0"/>
        </c:dLbls>
        <c:gapWidth val="219"/>
        <c:overlap val="-27"/>
        <c:axId val="593742560"/>
        <c:axId val="593790080"/>
        <c:extLst>
          <c:ext xmlns:c15="http://schemas.microsoft.com/office/drawing/2012/chart" uri="{02D57815-91ED-43cb-92C2-25804820EDAC}">
            <c15:filteredBarSeries>
              <c15:ser>
                <c:idx val="0"/>
                <c:order val="0"/>
                <c:tx>
                  <c:strRef>
                    <c:extLst>
                      <c:ext uri="{02D57815-91ED-43cb-92C2-25804820EDAC}">
                        <c15:formulaRef>
                          <c15:sqref>'Financial analysis conso'!#REF!</c15:sqref>
                        </c15:formulaRef>
                      </c:ext>
                    </c:extLst>
                    <c:strCache>
                      <c:ptCount val="1"/>
                      <c:pt idx="0">
                        <c:v>#REF!</c:v>
                      </c:pt>
                    </c:strCache>
                  </c:strRef>
                </c:tx>
                <c:spPr>
                  <a:solidFill>
                    <a:schemeClr val="accent1"/>
                  </a:solidFill>
                  <a:ln>
                    <a:noFill/>
                  </a:ln>
                  <a:effectLst/>
                </c:spPr>
                <c:invertIfNegative val="0"/>
                <c:cat>
                  <c:strRef>
                    <c:extLst>
                      <c:ext uri="{02D57815-91ED-43cb-92C2-25804820EDAC}">
                        <c15:formulaRef>
                          <c15:sqref>'Financial analysis conso'!$A$12:$B$12</c15:sqref>
                        </c15:formulaRef>
                      </c:ext>
                    </c:extLst>
                    <c:strCache>
                      <c:ptCount val="1"/>
                      <c:pt idx="0">
                        <c:v>Overall cost over 10 years</c:v>
                      </c:pt>
                    </c:strCache>
                  </c:strRef>
                </c:cat>
                <c:val>
                  <c:numRef>
                    <c:extLst>
                      <c:ext uri="{02D57815-91ED-43cb-92C2-25804820EDAC}">
                        <c15:formulaRef>
                          <c15:sqref>'Financial analysis conso'!#REF!</c15:sqref>
                        </c15:formulaRef>
                      </c:ext>
                    </c:extLst>
                    <c:numCache>
                      <c:formatCode>General</c:formatCode>
                      <c:ptCount val="1"/>
                      <c:pt idx="0">
                        <c:v>1</c:v>
                      </c:pt>
                    </c:numCache>
                  </c:numRef>
                </c:val>
                <c:extLst>
                  <c:ext xmlns:c16="http://schemas.microsoft.com/office/drawing/2014/chart" uri="{C3380CC4-5D6E-409C-BE32-E72D297353CC}">
                    <c16:uniqueId val="{00000000-CD01-4F58-88A8-80D4905EEDEC}"/>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'Financial analysis conso'!#REF!</c15:sqref>
                        </c15:formulaRef>
                      </c:ext>
                    </c:extLst>
                    <c:strCache>
                      <c:ptCount val="1"/>
                      <c:pt idx="0">
                        <c:v>#REF!</c:v>
                      </c:pt>
                    </c:strCache>
                  </c:strRef>
                </c:tx>
                <c:spPr>
                  <a:solidFill>
                    <a:schemeClr val="accent2"/>
                  </a:solidFill>
                  <a:ln>
                    <a:noFill/>
                  </a:ln>
                  <a:effectLst/>
                </c:spPr>
                <c:invertIfNegative val="0"/>
                <c:cat>
                  <c:strRef>
                    <c:extLst>
                      <c:ext xmlns:c15="http://schemas.microsoft.com/office/drawing/2012/chart" uri="{02D57815-91ED-43cb-92C2-25804820EDAC}">
                        <c15:formulaRef>
                          <c15:sqref>'Financial analysis conso'!$A$12:$B$12</c15:sqref>
                        </c15:formulaRef>
                      </c:ext>
                    </c:extLst>
                    <c:strCache>
                      <c:ptCount val="1"/>
                      <c:pt idx="0">
                        <c:v>Overall cost over 10 years</c:v>
                      </c:pt>
                    </c:strCache>
                  </c:strRef>
                </c:cat>
                <c:val>
                  <c:numRef>
                    <c:extLst>
                      <c:ext xmlns:c15="http://schemas.microsoft.com/office/drawing/2012/chart" uri="{02D57815-91ED-43cb-92C2-25804820EDAC}">
                        <c15:formulaRef>
                          <c15:sqref>'Financial analysis conso'!#REF!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CD01-4F58-88A8-80D4905EEDEC}"/>
                  </c:ext>
                </c:extLst>
              </c15:ser>
            </c15:filteredBarSeries>
          </c:ext>
        </c:extLst>
      </c:barChart>
      <c:catAx>
        <c:axId val="593742560"/>
        <c:scaling>
          <c:orientation val="minMax"/>
        </c:scaling>
        <c:delete val="1"/>
        <c:axPos val="b"/>
        <c:numFmt formatCode="General" sourceLinked="1"/>
        <c:majorTickMark val="out"/>
        <c:minorTickMark val="none"/>
        <c:tickLblPos val="nextTo"/>
        <c:crossAx val="593790080"/>
        <c:crosses val="autoZero"/>
        <c:auto val="1"/>
        <c:lblAlgn val="ctr"/>
        <c:lblOffset val="100"/>
        <c:noMultiLvlLbl val="0"/>
      </c:catAx>
      <c:valAx>
        <c:axId val="593790080"/>
        <c:scaling>
          <c:orientation val="minMax"/>
        </c:scaling>
        <c:delete val="0"/>
        <c:axPos val="l"/>
        <c:majorGridlines>
          <c:spPr>
            <a:ln w="9525" cap="flat" cmpd="sng" algn="ctr">
              <a:solidFill>
                <a:schemeClr val="tx1">
                  <a:lumMod val="15000"/>
                  <a:lumOff val="85000"/>
                </a:schemeClr>
              </a:solidFill>
              <a:round/>
            </a:ln>
            <a:effectLst/>
          </c:spPr>
        </c:majorGridlines>
        <c:numFmt formatCode="_-* #,##0.00\ &quot;€&quot;_-;\-* #,##0.00\ &quot;€&quot;_-;_-* &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374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rgbClr val="00338D"/>
                </a:solidFill>
                <a:latin typeface="Arial" panose="020B0604020202020204" pitchFamily="34" charset="0"/>
                <a:ea typeface="Arial"/>
                <a:cs typeface="Arial"/>
              </a:defRPr>
            </a:pPr>
            <a:r>
              <a:rPr lang="en-US" sz="900" b="1" i="0" u="none">
                <a:solidFill>
                  <a:srgbClr val="00338D"/>
                </a:solidFill>
                <a:latin typeface="Arial" panose="020B0604020202020204" pitchFamily="34" charset="0"/>
              </a:rPr>
              <a:t>Analysis</a:t>
            </a:r>
            <a:r>
              <a:rPr lang="en-US" sz="900" b="1" i="0" u="none" baseline="0">
                <a:solidFill>
                  <a:srgbClr val="00338D"/>
                </a:solidFill>
                <a:latin typeface="Arial" panose="020B0604020202020204" pitchFamily="34" charset="0"/>
              </a:rPr>
              <a:t> of volumes of days by phase</a:t>
            </a:r>
            <a:endParaRPr lang="en-US" sz="900" b="1" i="0" u="none">
              <a:solidFill>
                <a:srgbClr val="00338D"/>
              </a:solidFill>
              <a:latin typeface="Arial" panose="020B0604020202020204" pitchFamily="34" charset="0"/>
            </a:endParaRPr>
          </a:p>
        </c:rich>
      </c:tx>
      <c:layout>
        <c:manualLayout>
          <c:xMode val="edge"/>
          <c:yMode val="edge"/>
          <c:x val="2.0208223972003499E-2"/>
          <c:y val="2.7777777777777776E-2"/>
        </c:manualLayout>
      </c:layout>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1" i="0" u="none" strike="noStrike" kern="1200" spc="0" baseline="0">
              <a:solidFill>
                <a:srgbClr val="00338D"/>
              </a:solidFill>
              <a:latin typeface="Arial" panose="020B0604020202020204" pitchFamily="34" charset="0"/>
              <a:ea typeface="Arial"/>
              <a:cs typeface="Arial"/>
            </a:defRPr>
          </a:pPr>
          <a:endParaRPr lang="en-US"/>
        </a:p>
      </c:txPr>
    </c:title>
    <c:autoTitleDeleted val="0"/>
    <c:plotArea>
      <c:layout/>
      <c:barChart>
        <c:barDir val="bar"/>
        <c:grouping val="clustered"/>
        <c:varyColors val="0"/>
        <c:ser>
          <c:idx val="3"/>
          <c:order val="0"/>
          <c:tx>
            <c:strRef>
              <c:f>Graph!$D$38</c:f>
              <c:strCache>
                <c:ptCount val="1"/>
                <c:pt idx="0">
                  <c:v>SAP - KPMG</c:v>
                </c:pt>
              </c:strCache>
            </c:strRef>
          </c:tx>
          <c:spPr>
            <a:solidFill>
              <a:srgbClr val="A89DE7"/>
            </a:solidFill>
            <a:ln w="3175" cap="flat" cmpd="sng" algn="ctr">
              <a:solidFill>
                <a:srgbClr val="FFFFFF"/>
              </a:solidFill>
              <a:prstDash val="solid"/>
              <a:round/>
              <a:headEnd type="none" w="med" len="med"/>
              <a:tailEnd type="none" w="med" len="med"/>
            </a:ln>
            <a:effectLst/>
          </c:spPr>
          <c:invertIfNegative val="0"/>
          <c:dLbls>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Graph!$B$39:$B$49</c:f>
              <c:strCache>
                <c:ptCount val="7"/>
                <c:pt idx="0">
                  <c:v>Project management</c:v>
                </c:pt>
                <c:pt idx="1">
                  <c:v>Total design</c:v>
                </c:pt>
                <c:pt idx="2">
                  <c:v>Solution implementation</c:v>
                </c:pt>
                <c:pt idx="3">
                  <c:v>Data recovery</c:v>
                </c:pt>
                <c:pt idx="4">
                  <c:v>Acceptance</c:v>
                </c:pt>
                <c:pt idx="5">
                  <c:v>Training</c:v>
                </c:pt>
                <c:pt idx="6">
                  <c:v>Production start-up and assistance</c:v>
                </c:pt>
              </c:strCache>
            </c:strRef>
          </c:cat>
          <c:val>
            <c:numRef>
              <c:f>Graph!$D$39:$D$49</c:f>
              <c:numCache>
                <c:formatCode>General</c:formatCode>
                <c:ptCount val="7"/>
                <c:pt idx="0">
                  <c:v>144</c:v>
                </c:pt>
                <c:pt idx="1">
                  <c:v>113.5</c:v>
                </c:pt>
                <c:pt idx="2">
                  <c:v>296</c:v>
                </c:pt>
                <c:pt idx="3">
                  <c:v>0</c:v>
                </c:pt>
                <c:pt idx="4">
                  <c:v>94</c:v>
                </c:pt>
                <c:pt idx="5">
                  <c:v>0</c:v>
                </c:pt>
                <c:pt idx="6">
                  <c:v>100</c:v>
                </c:pt>
              </c:numCache>
            </c:numRef>
          </c:val>
          <c:extLst>
            <c:ext xmlns:c16="http://schemas.microsoft.com/office/drawing/2014/chart" uri="{C3380CC4-5D6E-409C-BE32-E72D297353CC}">
              <c16:uniqueId val="{00000003-68F4-43B9-9934-7E19A74DC594}"/>
            </c:ext>
          </c:extLst>
        </c:ser>
        <c:ser>
          <c:idx val="2"/>
          <c:order val="1"/>
          <c:tx>
            <c:strRef>
              <c:f>Graph!$C$38</c:f>
              <c:strCache>
                <c:ptCount val="1"/>
                <c:pt idx="0">
                  <c:v>Netsuite - Oracle</c:v>
                </c:pt>
              </c:strCache>
            </c:strRef>
          </c:tx>
          <c:spPr>
            <a:solidFill>
              <a:schemeClr val="accent3"/>
            </a:solidFill>
            <a:ln>
              <a:noFill/>
            </a:ln>
            <a:effectLst/>
          </c:spPr>
          <c:invertIfNegative val="0"/>
          <c:dLbls>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Graph!$B$39:$B$49</c:f>
              <c:strCache>
                <c:ptCount val="7"/>
                <c:pt idx="0">
                  <c:v>Project management</c:v>
                </c:pt>
                <c:pt idx="1">
                  <c:v>Total design</c:v>
                </c:pt>
                <c:pt idx="2">
                  <c:v>Solution implementation</c:v>
                </c:pt>
                <c:pt idx="3">
                  <c:v>Data recovery</c:v>
                </c:pt>
                <c:pt idx="4">
                  <c:v>Acceptance</c:v>
                </c:pt>
                <c:pt idx="5">
                  <c:v>Training</c:v>
                </c:pt>
                <c:pt idx="6">
                  <c:v>Production start-up and assistance</c:v>
                </c:pt>
              </c:strCache>
            </c:strRef>
          </c:cat>
          <c:val>
            <c:numRef>
              <c:f>Graph!$C$39:$C$49</c:f>
              <c:numCache>
                <c:formatCode>General</c:formatCode>
                <c:ptCount val="7"/>
                <c:pt idx="0">
                  <c:v>18</c:v>
                </c:pt>
                <c:pt idx="1">
                  <c:v>61</c:v>
                </c:pt>
                <c:pt idx="2">
                  <c:v>235</c:v>
                </c:pt>
                <c:pt idx="3">
                  <c:v>16</c:v>
                </c:pt>
                <c:pt idx="4">
                  <c:v>10</c:v>
                </c:pt>
                <c:pt idx="5">
                  <c:v>12</c:v>
                </c:pt>
                <c:pt idx="6">
                  <c:v>14</c:v>
                </c:pt>
              </c:numCache>
            </c:numRef>
          </c:val>
          <c:extLst>
            <c:ext xmlns:c16="http://schemas.microsoft.com/office/drawing/2014/chart" uri="{C3380CC4-5D6E-409C-BE32-E72D297353CC}">
              <c16:uniqueId val="{00000002-68F4-43B9-9934-7E19A74DC594}"/>
            </c:ext>
          </c:extLst>
        </c:ser>
        <c:dLbls>
          <c:showLegendKey val="0"/>
          <c:showVal val="0"/>
          <c:showCatName val="0"/>
          <c:showSerName val="0"/>
          <c:showPercent val="0"/>
          <c:showBubbleSize val="0"/>
        </c:dLbls>
        <c:gapWidth val="150"/>
        <c:axId val="2048366160"/>
        <c:axId val="2048368560"/>
      </c:barChart>
      <c:catAx>
        <c:axId val="2048366160"/>
        <c:scaling>
          <c:orientation val="minMax"/>
        </c:scaling>
        <c:delete val="0"/>
        <c:axPos val="l"/>
        <c:title>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54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title>
        <c:numFmt formatCode="General" sourceLinked="1"/>
        <c:majorTickMark val="out"/>
        <c:minorTickMark val="none"/>
        <c:tickLblPos val="nextTo"/>
        <c:spPr>
          <a:noFill/>
          <a:ln w="3175" cap="flat" cmpd="sng" algn="ctr">
            <a:solidFill>
              <a:srgbClr val="333333"/>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crossAx val="2048368560"/>
        <c:crosses val="autoZero"/>
        <c:auto val="1"/>
        <c:lblAlgn val="ctr"/>
        <c:lblOffset val="100"/>
        <c:noMultiLvlLbl val="0"/>
      </c:catAx>
      <c:valAx>
        <c:axId val="2048368560"/>
        <c:scaling>
          <c:orientation val="minMax"/>
        </c:scaling>
        <c:delete val="0"/>
        <c:axPos val="b"/>
        <c:majorGridlines>
          <c:spPr>
            <a:ln w="9525" cap="flat" cmpd="sng" algn="ctr">
              <a:noFill/>
              <a:round/>
            </a:ln>
            <a:effectLst/>
            <a:extLst>
              <a:ext uri="{91240B29-F687-4F45-9708-019B960494DF}">
                <a14:hiddenLine xmlns:a14="http://schemas.microsoft.com/office/drawing/2010/main" w="9525" cap="flat" cmpd="sng" algn="ctr">
                  <a:solidFill>
                    <a:srgbClr val="58585B">
                      <a:lumMod val="15000"/>
                      <a:lumOff val="85000"/>
                    </a:srgbClr>
                  </a:solidFill>
                  <a:round/>
                </a14:hiddenLine>
              </a:ext>
            </a:extLst>
          </c:spPr>
        </c:majorGridlines>
        <c:title>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title>
        <c:numFmt formatCode="General" sourceLinked="1"/>
        <c:majorTickMark val="out"/>
        <c:minorTickMark val="none"/>
        <c:tickLblPos val="nextTo"/>
        <c:spPr>
          <a:noFill/>
          <a:ln w="3175">
            <a:solidFill>
              <a:srgbClr val="333333"/>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crossAx val="2048366160"/>
        <c:crosses val="autoZero"/>
        <c:crossBetween val="between"/>
      </c:valAx>
      <c:spPr>
        <a:noFill/>
        <a:ln>
          <a:noFill/>
        </a:ln>
        <a:effectLst/>
        <a:extLst>
          <a:ext uri="{91240B29-F687-4F45-9708-019B960494DF}">
            <a14:hiddenLine xmlns:a14="http://schemas.microsoft.com/office/drawing/2010/main">
              <a:noFill/>
            </a14:hiddenLine>
          </a:ext>
        </a:extLst>
      </c:spPr>
    </c:plotArea>
    <c:legend>
      <c:legendPos val="b"/>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fr-FR"/>
        </a:p>
      </c:txPr>
    </c:legend>
    <c:plotVisOnly val="1"/>
    <c:dispBlanksAs val="gap"/>
    <c:showDLblsOverMax val="0"/>
  </c:chart>
  <c:spPr>
    <a:noFill/>
    <a:ln w="25400" cap="flat" cmpd="sng" algn="ctr">
      <a:noFill/>
      <a:round/>
    </a:ln>
    <a:effectLst/>
  </c:spPr>
  <c:txPr>
    <a:bodyPr/>
    <a:lstStyle/>
    <a:p>
      <a:pPr>
        <a:defRPr sz="800">
          <a:latin typeface="Arial"/>
          <a:ea typeface="Arial"/>
          <a:cs typeface="Arial"/>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1</xdr:row>
      <xdr:rowOff>114300</xdr:rowOff>
    </xdr:from>
    <xdr:to>
      <xdr:col>2</xdr:col>
      <xdr:colOff>549275</xdr:colOff>
      <xdr:row>3</xdr:row>
      <xdr:rowOff>3428</xdr:rowOff>
    </xdr:to>
    <xdr:pic>
      <xdr:nvPicPr>
        <xdr:cNvPr id="3" name="Image 3" descr="A purple letter v on a black background&#10;&#10;AI-generated content may be incorrect.">
          <a:extLst>
            <a:ext uri="{FF2B5EF4-FFF2-40B4-BE49-F238E27FC236}">
              <a16:creationId xmlns:a16="http://schemas.microsoft.com/office/drawing/2014/main" id="{809187B2-B0A4-4D41-9A6B-105373B0E4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304800"/>
          <a:ext cx="1781810" cy="270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1036320</xdr:colOff>
      <xdr:row>16</xdr:row>
      <xdr:rowOff>121920</xdr:rowOff>
    </xdr:from>
    <xdr:to>
      <xdr:col>17</xdr:col>
      <xdr:colOff>609600</xdr:colOff>
      <xdr:row>22</xdr:row>
      <xdr:rowOff>20955</xdr:rowOff>
    </xdr:to>
    <xdr:sp macro="" textlink="">
      <xdr:nvSpPr>
        <xdr:cNvPr id="3" name="Rectangle 1">
          <a:extLst>
            <a:ext uri="{FF2B5EF4-FFF2-40B4-BE49-F238E27FC236}">
              <a16:creationId xmlns:a16="http://schemas.microsoft.com/office/drawing/2014/main" id="{5E266A95-8A4F-4E9B-8D8A-E0A9879239AA}"/>
            </a:ext>
          </a:extLst>
        </xdr:cNvPr>
        <xdr:cNvSpPr/>
      </xdr:nvSpPr>
      <xdr:spPr>
        <a:xfrm>
          <a:off x="15838170" y="4103370"/>
          <a:ext cx="3497580" cy="984885"/>
        </a:xfrm>
        <a:prstGeom prst="rect">
          <a:avLst/>
        </a:prstGeom>
        <a:solidFill>
          <a:srgbClr val="624E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Consolidation of the offers sent</a:t>
          </a:r>
          <a:r>
            <a:rPr lang="fr-FR" sz="1100" baseline="0"/>
            <a:t> by applicants - with no additions from KPMG choice assistance team</a:t>
          </a:r>
        </a:p>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236855</xdr:colOff>
      <xdr:row>1</xdr:row>
      <xdr:rowOff>97789</xdr:rowOff>
    </xdr:from>
    <xdr:to>
      <xdr:col>9</xdr:col>
      <xdr:colOff>21590</xdr:colOff>
      <xdr:row>5</xdr:row>
      <xdr:rowOff>145676</xdr:rowOff>
    </xdr:to>
    <xdr:sp macro="" textlink="">
      <xdr:nvSpPr>
        <xdr:cNvPr id="2" name="Rectangle 1">
          <a:extLst>
            <a:ext uri="{FF2B5EF4-FFF2-40B4-BE49-F238E27FC236}">
              <a16:creationId xmlns:a16="http://schemas.microsoft.com/office/drawing/2014/main" id="{98EFB70D-4738-48B1-9BCD-C18834DD4189}"/>
            </a:ext>
          </a:extLst>
        </xdr:cNvPr>
        <xdr:cNvSpPr/>
      </xdr:nvSpPr>
      <xdr:spPr>
        <a:xfrm>
          <a:off x="9761855" y="97789"/>
          <a:ext cx="2698264" cy="765063"/>
        </a:xfrm>
        <a:prstGeom prst="rect">
          <a:avLst/>
        </a:prstGeom>
        <a:solidFill>
          <a:srgbClr val="624E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Consolidation of the offers sent</a:t>
          </a:r>
          <a:r>
            <a:rPr lang="fr-FR" sz="1100" baseline="0"/>
            <a:t> by applicants - with no additions from KPMG choice assistance team</a:t>
          </a:r>
        </a:p>
        <a:p>
          <a:pPr algn="l"/>
          <a:endParaRPr lang="fr-FR" sz="1100"/>
        </a:p>
      </xdr:txBody>
    </xdr:sp>
    <xdr:clientData/>
  </xdr:twoCellAnchor>
  <xdr:twoCellAnchor editAs="oneCell">
    <xdr:from>
      <xdr:col>0</xdr:col>
      <xdr:colOff>101330</xdr:colOff>
      <xdr:row>1</xdr:row>
      <xdr:rowOff>141862</xdr:rowOff>
    </xdr:from>
    <xdr:to>
      <xdr:col>0</xdr:col>
      <xdr:colOff>1889649</xdr:colOff>
      <xdr:row>3</xdr:row>
      <xdr:rowOff>59502</xdr:rowOff>
    </xdr:to>
    <xdr:pic>
      <xdr:nvPicPr>
        <xdr:cNvPr id="3" name="Image 2" descr="A purple letter v on a black background&#10;&#10;AI-generated content may be incorrect.">
          <a:extLst>
            <a:ext uri="{FF2B5EF4-FFF2-40B4-BE49-F238E27FC236}">
              <a16:creationId xmlns:a16="http://schemas.microsoft.com/office/drawing/2014/main" id="{A7BD6106-B1CA-42AA-9C13-D735A64221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30" y="141862"/>
          <a:ext cx="1784509" cy="2839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236855</xdr:colOff>
      <xdr:row>1</xdr:row>
      <xdr:rowOff>97789</xdr:rowOff>
    </xdr:from>
    <xdr:to>
      <xdr:col>9</xdr:col>
      <xdr:colOff>21590</xdr:colOff>
      <xdr:row>5</xdr:row>
      <xdr:rowOff>145676</xdr:rowOff>
    </xdr:to>
    <xdr:sp macro="" textlink="">
      <xdr:nvSpPr>
        <xdr:cNvPr id="2" name="Rectangle 1">
          <a:extLst>
            <a:ext uri="{FF2B5EF4-FFF2-40B4-BE49-F238E27FC236}">
              <a16:creationId xmlns:a16="http://schemas.microsoft.com/office/drawing/2014/main" id="{93306441-CF37-444B-993A-306E3F19A59C}"/>
            </a:ext>
          </a:extLst>
        </xdr:cNvPr>
        <xdr:cNvSpPr/>
      </xdr:nvSpPr>
      <xdr:spPr>
        <a:xfrm>
          <a:off x="11120755" y="97789"/>
          <a:ext cx="2781935" cy="784487"/>
        </a:xfrm>
        <a:prstGeom prst="rect">
          <a:avLst/>
        </a:prstGeom>
        <a:solidFill>
          <a:srgbClr val="624E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Consolidation of the offers sent</a:t>
          </a:r>
          <a:r>
            <a:rPr lang="fr-FR" sz="1100" baseline="0"/>
            <a:t> by applicants - with no additions from KPMG choice assistance team</a:t>
          </a:r>
        </a:p>
        <a:p>
          <a:pPr algn="l"/>
          <a:endParaRPr lang="fr-FR" sz="1100"/>
        </a:p>
      </xdr:txBody>
    </xdr:sp>
    <xdr:clientData/>
  </xdr:twoCellAnchor>
  <xdr:twoCellAnchor editAs="oneCell">
    <xdr:from>
      <xdr:col>0</xdr:col>
      <xdr:colOff>101330</xdr:colOff>
      <xdr:row>1</xdr:row>
      <xdr:rowOff>141862</xdr:rowOff>
    </xdr:from>
    <xdr:to>
      <xdr:col>0</xdr:col>
      <xdr:colOff>1889649</xdr:colOff>
      <xdr:row>3</xdr:row>
      <xdr:rowOff>59502</xdr:rowOff>
    </xdr:to>
    <xdr:pic>
      <xdr:nvPicPr>
        <xdr:cNvPr id="3" name="Image 2" descr="A purple letter v on a black background&#10;&#10;AI-generated content may be incorrect.">
          <a:extLst>
            <a:ext uri="{FF2B5EF4-FFF2-40B4-BE49-F238E27FC236}">
              <a16:creationId xmlns:a16="http://schemas.microsoft.com/office/drawing/2014/main" id="{4B2D2F66-C3F2-4600-A37C-7025AB950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30" y="141862"/>
          <a:ext cx="1788319" cy="2859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15935</xdr:colOff>
      <xdr:row>1</xdr:row>
      <xdr:rowOff>7620</xdr:rowOff>
    </xdr:from>
    <xdr:to>
      <xdr:col>6</xdr:col>
      <xdr:colOff>19918</xdr:colOff>
      <xdr:row>17</xdr:row>
      <xdr:rowOff>7621</xdr:rowOff>
    </xdr:to>
    <xdr:graphicFrame macro="">
      <xdr:nvGraphicFramePr>
        <xdr:cNvPr id="323" name="Graphique 1">
          <a:extLst>
            <a:ext uri="{FF2B5EF4-FFF2-40B4-BE49-F238E27FC236}">
              <a16:creationId xmlns:a16="http://schemas.microsoft.com/office/drawing/2014/main" id="{DD484F1B-5692-4589-801A-58031242F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1735</xdr:colOff>
      <xdr:row>17</xdr:row>
      <xdr:rowOff>175088</xdr:rowOff>
    </xdr:from>
    <xdr:to>
      <xdr:col>13</xdr:col>
      <xdr:colOff>19920</xdr:colOff>
      <xdr:row>34</xdr:row>
      <xdr:rowOff>7621</xdr:rowOff>
    </xdr:to>
    <xdr:graphicFrame macro="">
      <xdr:nvGraphicFramePr>
        <xdr:cNvPr id="321" name="Graphique 2">
          <a:extLst>
            <a:ext uri="{FF2B5EF4-FFF2-40B4-BE49-F238E27FC236}">
              <a16:creationId xmlns:a16="http://schemas.microsoft.com/office/drawing/2014/main" id="{DAF554D0-387E-4A74-8160-CBBA70F2D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1734</xdr:colOff>
      <xdr:row>18</xdr:row>
      <xdr:rowOff>7620</xdr:rowOff>
    </xdr:from>
    <xdr:to>
      <xdr:col>6</xdr:col>
      <xdr:colOff>2773</xdr:colOff>
      <xdr:row>33</xdr:row>
      <xdr:rowOff>173182</xdr:rowOff>
    </xdr:to>
    <xdr:graphicFrame macro="">
      <xdr:nvGraphicFramePr>
        <xdr:cNvPr id="3" name="Graphique 3">
          <a:extLst>
            <a:ext uri="{FF2B5EF4-FFF2-40B4-BE49-F238E27FC236}">
              <a16:creationId xmlns:a16="http://schemas.microsoft.com/office/drawing/2014/main" id="{5CCC535E-67DE-4648-B937-2041139D2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1734</xdr:colOff>
      <xdr:row>0</xdr:row>
      <xdr:rowOff>173182</xdr:rowOff>
    </xdr:from>
    <xdr:to>
      <xdr:col>13</xdr:col>
      <xdr:colOff>40008</xdr:colOff>
      <xdr:row>17</xdr:row>
      <xdr:rowOff>9699</xdr:rowOff>
    </xdr:to>
    <xdr:graphicFrame macro="">
      <xdr:nvGraphicFramePr>
        <xdr:cNvPr id="320" name="Graphique 4">
          <a:extLst>
            <a:ext uri="{FF2B5EF4-FFF2-40B4-BE49-F238E27FC236}">
              <a16:creationId xmlns:a16="http://schemas.microsoft.com/office/drawing/2014/main" id="{79B20CA8-3A2A-4A9E-9A06-0EF414498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1734</xdr:colOff>
      <xdr:row>0</xdr:row>
      <xdr:rowOff>161751</xdr:rowOff>
    </xdr:from>
    <xdr:to>
      <xdr:col>19</xdr:col>
      <xdr:colOff>740009</xdr:colOff>
      <xdr:row>17</xdr:row>
      <xdr:rowOff>8659</xdr:rowOff>
    </xdr:to>
    <xdr:graphicFrame macro="">
      <xdr:nvGraphicFramePr>
        <xdr:cNvPr id="319" name="Graphique 5">
          <a:extLst>
            <a:ext uri="{FF2B5EF4-FFF2-40B4-BE49-F238E27FC236}">
              <a16:creationId xmlns:a16="http://schemas.microsoft.com/office/drawing/2014/main" id="{25A55160-68D4-465C-B8FB-6EE3471AC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1734</xdr:colOff>
      <xdr:row>17</xdr:row>
      <xdr:rowOff>173182</xdr:rowOff>
    </xdr:from>
    <xdr:to>
      <xdr:col>20</xdr:col>
      <xdr:colOff>1734</xdr:colOff>
      <xdr:row>34</xdr:row>
      <xdr:rowOff>11430</xdr:rowOff>
    </xdr:to>
    <xdr:graphicFrame macro="">
      <xdr:nvGraphicFramePr>
        <xdr:cNvPr id="318" name="Graphique 6">
          <a:extLst>
            <a:ext uri="{FF2B5EF4-FFF2-40B4-BE49-F238E27FC236}">
              <a16:creationId xmlns:a16="http://schemas.microsoft.com/office/drawing/2014/main" id="{FEA46C47-D7FA-4A90-ADEB-9A86E3E6F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301624</xdr:colOff>
      <xdr:row>35</xdr:row>
      <xdr:rowOff>114300</xdr:rowOff>
    </xdr:from>
    <xdr:to>
      <xdr:col>17</xdr:col>
      <xdr:colOff>781049</xdr:colOff>
      <xdr:row>56</xdr:row>
      <xdr:rowOff>177800</xdr:rowOff>
    </xdr:to>
    <xdr:graphicFrame macro="">
      <xdr:nvGraphicFramePr>
        <xdr:cNvPr id="2" name="Graphique 1">
          <a:extLst>
            <a:ext uri="{FF2B5EF4-FFF2-40B4-BE49-F238E27FC236}">
              <a16:creationId xmlns:a16="http://schemas.microsoft.com/office/drawing/2014/main" id="{1981759A-F2EF-D3DC-DBE0-D389137B4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0F77EF03-B384-1B2D-1156-32772341A21C}"/>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kern="1200"/>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1</xdr:col>
      <xdr:colOff>390525</xdr:colOff>
      <xdr:row>2</xdr:row>
      <xdr:rowOff>38100</xdr:rowOff>
    </xdr:from>
    <xdr:to>
      <xdr:col>1</xdr:col>
      <xdr:colOff>2193290</xdr:colOff>
      <xdr:row>3</xdr:row>
      <xdr:rowOff>98678</xdr:rowOff>
    </xdr:to>
    <xdr:pic>
      <xdr:nvPicPr>
        <xdr:cNvPr id="3" name="Image 2" descr="A purple letter v on a black background&#10;&#10;AI-generated content may be incorrect.">
          <a:extLst>
            <a:ext uri="{FF2B5EF4-FFF2-40B4-BE49-F238E27FC236}">
              <a16:creationId xmlns:a16="http://schemas.microsoft.com/office/drawing/2014/main" id="{5CD4CB91-A500-41EB-BB6F-54881BC84E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1555" y="400050"/>
          <a:ext cx="1800860" cy="241553"/>
        </a:xfrm>
        <a:prstGeom prst="rect">
          <a:avLst/>
        </a:prstGeom>
      </xdr:spPr>
    </xdr:pic>
    <xdr:clientData/>
  </xdr:twoCellAnchor>
  <xdr:twoCellAnchor editAs="oneCell">
    <xdr:from>
      <xdr:col>0</xdr:col>
      <xdr:colOff>171450</xdr:colOff>
      <xdr:row>0</xdr:row>
      <xdr:rowOff>114300</xdr:rowOff>
    </xdr:from>
    <xdr:to>
      <xdr:col>1</xdr:col>
      <xdr:colOff>1350169</xdr:colOff>
      <xdr:row>2</xdr:row>
      <xdr:rowOff>22002</xdr:rowOff>
    </xdr:to>
    <xdr:pic>
      <xdr:nvPicPr>
        <xdr:cNvPr id="4" name="Image 3" descr="A purple letter v on a black background&#10;&#10;AI-generated content may be incorrect.">
          <a:extLst>
            <a:ext uri="{FF2B5EF4-FFF2-40B4-BE49-F238E27FC236}">
              <a16:creationId xmlns:a16="http://schemas.microsoft.com/office/drawing/2014/main" id="{83EBC6E6-5D2D-42E9-B3C3-67C7A029B7A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640" y="114300"/>
          <a:ext cx="1801654" cy="26965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209550</xdr:colOff>
      <xdr:row>1</xdr:row>
      <xdr:rowOff>38100</xdr:rowOff>
    </xdr:from>
    <xdr:to>
      <xdr:col>1</xdr:col>
      <xdr:colOff>1773555</xdr:colOff>
      <xdr:row>2</xdr:row>
      <xdr:rowOff>134873</xdr:rowOff>
    </xdr:to>
    <xdr:pic>
      <xdr:nvPicPr>
        <xdr:cNvPr id="2" name="Image 1" descr="A purple letter v on a black background&#10;&#10;AI-generated content may be incorrect.">
          <a:extLst>
            <a:ext uri="{FF2B5EF4-FFF2-40B4-BE49-F238E27FC236}">
              <a16:creationId xmlns:a16="http://schemas.microsoft.com/office/drawing/2014/main" id="{C55D5B45-3BF8-4CB3-9212-77652D97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40" y="219075"/>
          <a:ext cx="1796415" cy="27774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209550</xdr:colOff>
      <xdr:row>1</xdr:row>
      <xdr:rowOff>38100</xdr:rowOff>
    </xdr:from>
    <xdr:to>
      <xdr:col>1</xdr:col>
      <xdr:colOff>1200150</xdr:colOff>
      <xdr:row>2</xdr:row>
      <xdr:rowOff>131063</xdr:rowOff>
    </xdr:to>
    <xdr:pic>
      <xdr:nvPicPr>
        <xdr:cNvPr id="2" name="Image 1" descr="A purple letter v on a black background&#10;&#10;AI-generated content may be incorrect.">
          <a:extLst>
            <a:ext uri="{FF2B5EF4-FFF2-40B4-BE49-F238E27FC236}">
              <a16:creationId xmlns:a16="http://schemas.microsoft.com/office/drawing/2014/main" id="{D007C68A-DBEC-41F4-8BDC-CF1A7214E0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40" y="219075"/>
          <a:ext cx="1784985" cy="27393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781049</xdr:colOff>
      <xdr:row>14</xdr:row>
      <xdr:rowOff>133351</xdr:rowOff>
    </xdr:from>
    <xdr:to>
      <xdr:col>12</xdr:col>
      <xdr:colOff>0</xdr:colOff>
      <xdr:row>16</xdr:row>
      <xdr:rowOff>129541</xdr:rowOff>
    </xdr:to>
    <xdr:sp macro="" textlink="">
      <xdr:nvSpPr>
        <xdr:cNvPr id="2" name="Rectangle 1">
          <a:extLst>
            <a:ext uri="{FF2B5EF4-FFF2-40B4-BE49-F238E27FC236}">
              <a16:creationId xmlns:a16="http://schemas.microsoft.com/office/drawing/2014/main" id="{95FD1DDC-49B2-4A38-A393-818D1E8E1FE2}"/>
            </a:ext>
          </a:extLst>
        </xdr:cNvPr>
        <xdr:cNvSpPr/>
      </xdr:nvSpPr>
      <xdr:spPr>
        <a:xfrm>
          <a:off x="784859" y="3196591"/>
          <a:ext cx="9616441" cy="289560"/>
        </a:xfrm>
        <a:prstGeom prst="rect">
          <a:avLst/>
        </a:prstGeom>
        <a:solidFill>
          <a:srgbClr val="E4C3EB"/>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900">
              <a:solidFill>
                <a:schemeClr val="tx1"/>
              </a:solidFill>
              <a:latin typeface="Arial" panose="020B0604020202020204" pitchFamily="34" charset="0"/>
              <a:cs typeface="Arial" panose="020B0604020202020204" pitchFamily="34" charset="0"/>
            </a:rPr>
            <a:t>Please use assumptions</a:t>
          </a:r>
          <a:r>
            <a:rPr lang="fr-FR" sz="900" baseline="0">
              <a:solidFill>
                <a:schemeClr val="tx1"/>
              </a:solidFill>
              <a:latin typeface="Arial" panose="020B0604020202020204" pitchFamily="34" charset="0"/>
              <a:cs typeface="Arial" panose="020B0604020202020204" pitchFamily="34" charset="0"/>
            </a:rPr>
            <a:t> for roll-out detailed in the RFP main document.</a:t>
          </a:r>
          <a:endParaRPr lang="fr-FR" sz="900">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152400</xdr:colOff>
      <xdr:row>0</xdr:row>
      <xdr:rowOff>114300</xdr:rowOff>
    </xdr:from>
    <xdr:to>
      <xdr:col>1</xdr:col>
      <xdr:colOff>1235869</xdr:colOff>
      <xdr:row>2</xdr:row>
      <xdr:rowOff>22002</xdr:rowOff>
    </xdr:to>
    <xdr:pic>
      <xdr:nvPicPr>
        <xdr:cNvPr id="3" name="Image 2" descr="A purple letter v on a black background&#10;&#10;AI-generated content may be incorrect.">
          <a:extLst>
            <a:ext uri="{FF2B5EF4-FFF2-40B4-BE49-F238E27FC236}">
              <a16:creationId xmlns:a16="http://schemas.microsoft.com/office/drawing/2014/main" id="{07E5EF94-6347-4127-BF18-F5A959EAF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14300"/>
          <a:ext cx="1874044" cy="269652"/>
        </a:xfrm>
        <a:prstGeom prst="rect">
          <a:avLst/>
        </a:prstGeom>
      </xdr:spPr>
    </xdr:pic>
    <xdr:clientData/>
  </xdr:twoCellAnchor>
  <xdr:twoCellAnchor>
    <xdr:from>
      <xdr:col>0</xdr:col>
      <xdr:colOff>781049</xdr:colOff>
      <xdr:row>14</xdr:row>
      <xdr:rowOff>133351</xdr:rowOff>
    </xdr:from>
    <xdr:to>
      <xdr:col>12</xdr:col>
      <xdr:colOff>914400</xdr:colOff>
      <xdr:row>16</xdr:row>
      <xdr:rowOff>129541</xdr:rowOff>
    </xdr:to>
    <xdr:sp macro="" textlink="">
      <xdr:nvSpPr>
        <xdr:cNvPr id="4" name="Rectangle 1">
          <a:extLst>
            <a:ext uri="{FF2B5EF4-FFF2-40B4-BE49-F238E27FC236}">
              <a16:creationId xmlns:a16="http://schemas.microsoft.com/office/drawing/2014/main" id="{AB7C7C3F-182C-49C6-B539-B35E7C8F9B1E}"/>
            </a:ext>
          </a:extLst>
        </xdr:cNvPr>
        <xdr:cNvSpPr/>
      </xdr:nvSpPr>
      <xdr:spPr>
        <a:xfrm>
          <a:off x="781049" y="3219451"/>
          <a:ext cx="11258551" cy="281940"/>
        </a:xfrm>
        <a:prstGeom prst="rect">
          <a:avLst/>
        </a:prstGeom>
        <a:solidFill>
          <a:srgbClr val="E4C3EB"/>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900">
              <a:solidFill>
                <a:schemeClr val="tx1"/>
              </a:solidFill>
              <a:latin typeface="Arial" panose="020B0604020202020204" pitchFamily="34" charset="0"/>
              <a:cs typeface="Arial" panose="020B0604020202020204" pitchFamily="34" charset="0"/>
            </a:rPr>
            <a:t>Please use assumptions</a:t>
          </a:r>
          <a:r>
            <a:rPr lang="fr-FR" sz="900" baseline="0">
              <a:solidFill>
                <a:schemeClr val="tx1"/>
              </a:solidFill>
              <a:latin typeface="Arial" panose="020B0604020202020204" pitchFamily="34" charset="0"/>
              <a:cs typeface="Arial" panose="020B0604020202020204" pitchFamily="34" charset="0"/>
            </a:rPr>
            <a:t> for roll-out detailed in the RFP main document.</a:t>
          </a:r>
          <a:endParaRPr lang="fr-FR" sz="900">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22</xdr:col>
      <xdr:colOff>435507</xdr:colOff>
      <xdr:row>22</xdr:row>
      <xdr:rowOff>57500</xdr:rowOff>
    </xdr:to>
    <xdr:pic>
      <xdr:nvPicPr>
        <xdr:cNvPr id="2" name="Image 1">
          <a:extLst>
            <a:ext uri="{FF2B5EF4-FFF2-40B4-BE49-F238E27FC236}">
              <a16:creationId xmlns:a16="http://schemas.microsoft.com/office/drawing/2014/main" id="{EA193843-8DD0-46F1-EB44-52970ABE72D1}"/>
            </a:ext>
          </a:extLst>
        </xdr:cNvPr>
        <xdr:cNvPicPr>
          <a:picLocks noChangeAspect="1"/>
        </xdr:cNvPicPr>
      </xdr:nvPicPr>
      <xdr:blipFill>
        <a:blip xmlns:r="http://schemas.openxmlformats.org/officeDocument/2006/relationships" r:embed="rId1"/>
        <a:stretch>
          <a:fillRect/>
        </a:stretch>
      </xdr:blipFill>
      <xdr:spPr>
        <a:xfrm>
          <a:off x="2895600" y="0"/>
          <a:ext cx="13465707" cy="4038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101330</xdr:colOff>
      <xdr:row>1</xdr:row>
      <xdr:rowOff>141862</xdr:rowOff>
    </xdr:from>
    <xdr:to>
      <xdr:col>0</xdr:col>
      <xdr:colOff>1889649</xdr:colOff>
      <xdr:row>3</xdr:row>
      <xdr:rowOff>60062</xdr:rowOff>
    </xdr:to>
    <xdr:pic>
      <xdr:nvPicPr>
        <xdr:cNvPr id="2" name="Image 1" descr="A purple letter v on a black background&#10;&#10;AI-generated content may be incorrect.">
          <a:extLst>
            <a:ext uri="{FF2B5EF4-FFF2-40B4-BE49-F238E27FC236}">
              <a16:creationId xmlns:a16="http://schemas.microsoft.com/office/drawing/2014/main" id="{B8C7CA29-9309-4E27-879A-D2ED91836F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520" y="139957"/>
          <a:ext cx="1788319" cy="27824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390525</xdr:colOff>
      <xdr:row>2</xdr:row>
      <xdr:rowOff>38100</xdr:rowOff>
    </xdr:from>
    <xdr:to>
      <xdr:col>1</xdr:col>
      <xdr:colOff>2189480</xdr:colOff>
      <xdr:row>3</xdr:row>
      <xdr:rowOff>94868</xdr:rowOff>
    </xdr:to>
    <xdr:pic>
      <xdr:nvPicPr>
        <xdr:cNvPr id="3" name="Image 2" descr="A purple letter v on a black background&#10;&#10;AI-generated content may be incorrect.">
          <a:extLst>
            <a:ext uri="{FF2B5EF4-FFF2-40B4-BE49-F238E27FC236}">
              <a16:creationId xmlns:a16="http://schemas.microsoft.com/office/drawing/2014/main" id="{FDB25659-9EF4-4C3F-96DC-00D902EA50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1555" y="400050"/>
          <a:ext cx="1800860" cy="241553"/>
        </a:xfrm>
        <a:prstGeom prst="rect">
          <a:avLst/>
        </a:prstGeom>
      </xdr:spPr>
    </xdr:pic>
    <xdr:clientData/>
  </xdr:twoCellAnchor>
  <xdr:twoCellAnchor editAs="oneCell">
    <xdr:from>
      <xdr:col>0</xdr:col>
      <xdr:colOff>171450</xdr:colOff>
      <xdr:row>0</xdr:row>
      <xdr:rowOff>114300</xdr:rowOff>
    </xdr:from>
    <xdr:to>
      <xdr:col>1</xdr:col>
      <xdr:colOff>1353979</xdr:colOff>
      <xdr:row>2</xdr:row>
      <xdr:rowOff>18192</xdr:rowOff>
    </xdr:to>
    <xdr:pic>
      <xdr:nvPicPr>
        <xdr:cNvPr id="4" name="Image 3" descr="A purple letter v on a black background&#10;&#10;AI-generated content may be incorrect.">
          <a:extLst>
            <a:ext uri="{FF2B5EF4-FFF2-40B4-BE49-F238E27FC236}">
              <a16:creationId xmlns:a16="http://schemas.microsoft.com/office/drawing/2014/main" id="{27BDBCAE-0F0E-474E-93AD-157F7BA4BF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640" y="114300"/>
          <a:ext cx="1801654" cy="26965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209550</xdr:colOff>
      <xdr:row>1</xdr:row>
      <xdr:rowOff>38100</xdr:rowOff>
    </xdr:from>
    <xdr:to>
      <xdr:col>1</xdr:col>
      <xdr:colOff>1769745</xdr:colOff>
      <xdr:row>2</xdr:row>
      <xdr:rowOff>131063</xdr:rowOff>
    </xdr:to>
    <xdr:pic>
      <xdr:nvPicPr>
        <xdr:cNvPr id="2" name="Image 1" descr="A purple letter v on a black background&#10;&#10;AI-generated content may be incorrect.">
          <a:extLst>
            <a:ext uri="{FF2B5EF4-FFF2-40B4-BE49-F238E27FC236}">
              <a16:creationId xmlns:a16="http://schemas.microsoft.com/office/drawing/2014/main" id="{D75C5DD4-271B-42D8-8C47-AD65C78972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40" y="219075"/>
          <a:ext cx="1796415" cy="27774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209550</xdr:colOff>
      <xdr:row>1</xdr:row>
      <xdr:rowOff>38100</xdr:rowOff>
    </xdr:from>
    <xdr:to>
      <xdr:col>1</xdr:col>
      <xdr:colOff>1200150</xdr:colOff>
      <xdr:row>2</xdr:row>
      <xdr:rowOff>131063</xdr:rowOff>
    </xdr:to>
    <xdr:pic>
      <xdr:nvPicPr>
        <xdr:cNvPr id="2" name="Image 1" descr="A purple letter v on a black background&#10;&#10;AI-generated content may be incorrect.">
          <a:extLst>
            <a:ext uri="{FF2B5EF4-FFF2-40B4-BE49-F238E27FC236}">
              <a16:creationId xmlns:a16="http://schemas.microsoft.com/office/drawing/2014/main" id="{6C0E0874-42C2-4AD8-B26B-B75C326A96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40" y="219075"/>
          <a:ext cx="1781175" cy="27774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784859</xdr:colOff>
      <xdr:row>14</xdr:row>
      <xdr:rowOff>129541</xdr:rowOff>
    </xdr:from>
    <xdr:to>
      <xdr:col>13</xdr:col>
      <xdr:colOff>0</xdr:colOff>
      <xdr:row>16</xdr:row>
      <xdr:rowOff>133351</xdr:rowOff>
    </xdr:to>
    <xdr:sp macro="" textlink="">
      <xdr:nvSpPr>
        <xdr:cNvPr id="2" name="Rectangle 1">
          <a:extLst>
            <a:ext uri="{FF2B5EF4-FFF2-40B4-BE49-F238E27FC236}">
              <a16:creationId xmlns:a16="http://schemas.microsoft.com/office/drawing/2014/main" id="{E418B159-9260-4BCB-BC19-0FBD76E347A3}"/>
            </a:ext>
          </a:extLst>
        </xdr:cNvPr>
        <xdr:cNvSpPr/>
      </xdr:nvSpPr>
      <xdr:spPr>
        <a:xfrm>
          <a:off x="784859" y="3196591"/>
          <a:ext cx="11264266" cy="289560"/>
        </a:xfrm>
        <a:prstGeom prst="rect">
          <a:avLst/>
        </a:prstGeom>
        <a:solidFill>
          <a:srgbClr val="E4C3EB"/>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900">
              <a:solidFill>
                <a:schemeClr val="tx1"/>
              </a:solidFill>
              <a:latin typeface="Arial" panose="020B0604020202020204" pitchFamily="34" charset="0"/>
              <a:cs typeface="Arial" panose="020B0604020202020204" pitchFamily="34" charset="0"/>
            </a:rPr>
            <a:t>Please use assumptions</a:t>
          </a:r>
          <a:r>
            <a:rPr lang="fr-FR" sz="900" baseline="0">
              <a:solidFill>
                <a:schemeClr val="tx1"/>
              </a:solidFill>
              <a:latin typeface="Arial" panose="020B0604020202020204" pitchFamily="34" charset="0"/>
              <a:cs typeface="Arial" panose="020B0604020202020204" pitchFamily="34" charset="0"/>
            </a:rPr>
            <a:t> for roll-out detailed in the RFP main document.</a:t>
          </a:r>
          <a:endParaRPr lang="fr-FR" sz="900">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152400</xdr:colOff>
      <xdr:row>0</xdr:row>
      <xdr:rowOff>114300</xdr:rowOff>
    </xdr:from>
    <xdr:to>
      <xdr:col>1</xdr:col>
      <xdr:colOff>1239679</xdr:colOff>
      <xdr:row>2</xdr:row>
      <xdr:rowOff>18192</xdr:rowOff>
    </xdr:to>
    <xdr:pic>
      <xdr:nvPicPr>
        <xdr:cNvPr id="3" name="Image 2" descr="A purple letter v on a black background&#10;&#10;AI-generated content may be incorrect.">
          <a:extLst>
            <a:ext uri="{FF2B5EF4-FFF2-40B4-BE49-F238E27FC236}">
              <a16:creationId xmlns:a16="http://schemas.microsoft.com/office/drawing/2014/main" id="{6273870E-F8E5-4DE3-9DD1-3FADF18E12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14300"/>
          <a:ext cx="1877854" cy="26584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211455</xdr:colOff>
      <xdr:row>31</xdr:row>
      <xdr:rowOff>158116</xdr:rowOff>
    </xdr:to>
    <xdr:pic>
      <xdr:nvPicPr>
        <xdr:cNvPr id="2" name="Image 1">
          <a:extLst>
            <a:ext uri="{FF2B5EF4-FFF2-40B4-BE49-F238E27FC236}">
              <a16:creationId xmlns:a16="http://schemas.microsoft.com/office/drawing/2014/main" id="{DFDEE1DA-6C6A-FBFA-50D2-C4436E4D5E4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2002" r="5838" b="3432"/>
        <a:stretch>
          <a:fillRect/>
        </a:stretch>
      </xdr:blipFill>
      <xdr:spPr bwMode="auto">
        <a:xfrm>
          <a:off x="0" y="0"/>
          <a:ext cx="13241655" cy="5768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101330</xdr:colOff>
      <xdr:row>1</xdr:row>
      <xdr:rowOff>141862</xdr:rowOff>
    </xdr:from>
    <xdr:to>
      <xdr:col>0</xdr:col>
      <xdr:colOff>1885839</xdr:colOff>
      <xdr:row>3</xdr:row>
      <xdr:rowOff>56252</xdr:rowOff>
    </xdr:to>
    <xdr:pic>
      <xdr:nvPicPr>
        <xdr:cNvPr id="2" name="Image 1" descr="A purple letter v on a black background&#10;&#10;AI-generated content may be incorrect.">
          <a:extLst>
            <a:ext uri="{FF2B5EF4-FFF2-40B4-BE49-F238E27FC236}">
              <a16:creationId xmlns:a16="http://schemas.microsoft.com/office/drawing/2014/main" id="{01FFA5D7-73B8-4080-B9C7-F2481C719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520" y="139957"/>
          <a:ext cx="1792129" cy="28205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290788</xdr:colOff>
      <xdr:row>0</xdr:row>
      <xdr:rowOff>153642</xdr:rowOff>
    </xdr:from>
    <xdr:to>
      <xdr:col>1</xdr:col>
      <xdr:colOff>1200185</xdr:colOff>
      <xdr:row>5</xdr:row>
      <xdr:rowOff>95250</xdr:rowOff>
    </xdr:to>
    <xdr:pic>
      <xdr:nvPicPr>
        <xdr:cNvPr id="2" name="Image 1" descr="GC Aesthetics® lance YOUTHLY™, qui inaugure une nouvelle ère pour les  implants mammaires en Chine | Business Wire">
          <a:extLst>
            <a:ext uri="{FF2B5EF4-FFF2-40B4-BE49-F238E27FC236}">
              <a16:creationId xmlns:a16="http://schemas.microsoft.com/office/drawing/2014/main" id="{582B8E9E-2C6C-4102-A3A5-F53FCC435B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0788" y="153642"/>
          <a:ext cx="1555510" cy="767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en Alaya, Aymen" id="{434F93BB-EB6A-4922-86A8-E4E3F2A8F2C5}" userId="abenalaya@kpmg.fr" providerId="PeoplePicker"/>
  <person displayName="Ben Alaya, Aymen" id="{05A45035-54BE-41FE-AEBB-165406F495BF}" userId="S::abenalaya@kpmg.fr::fc14b768-23a0-4ffe-8b01-06be8443bb6f" providerId="AD"/>
  <person displayName="Girard, Camille" id="{154DC5FF-327E-4E18-86B1-757CB1425A50}" userId="S::camillegirard@kpmg.fr::63925eb6-c654-4533-8598-4b02ef07fa65" providerId="AD"/>
</personList>
</file>

<file path=xl/theme/theme1.xml><?xml version="1.0" encoding="utf-8"?>
<a:theme xmlns:a="http://schemas.openxmlformats.org/drawingml/2006/main" name="GC Aesthetics">
  <a:themeElements>
    <a:clrScheme name="GC Aesthetics Brand Colors">
      <a:dk1>
        <a:srgbClr val="58585B"/>
      </a:dk1>
      <a:lt1>
        <a:sysClr val="window" lastClr="FFFFFF"/>
      </a:lt1>
      <a:dk2>
        <a:srgbClr val="FFFFFF"/>
      </a:dk2>
      <a:lt2>
        <a:srgbClr val="F7F6F3"/>
      </a:lt2>
      <a:accent1>
        <a:srgbClr val="E24826"/>
      </a:accent1>
      <a:accent2>
        <a:srgbClr val="58585B"/>
      </a:accent2>
      <a:accent3>
        <a:srgbClr val="A5A5A5"/>
      </a:accent3>
      <a:accent4>
        <a:srgbClr val="E24826"/>
      </a:accent4>
      <a:accent5>
        <a:srgbClr val="E9E5DB"/>
      </a:accent5>
      <a:accent6>
        <a:srgbClr val="58585B"/>
      </a:accent6>
      <a:hlink>
        <a:srgbClr val="0563C1"/>
      </a:hlink>
      <a:folHlink>
        <a:srgbClr val="954F72"/>
      </a:folHlink>
    </a:clrScheme>
    <a:fontScheme name="GC Aesthetics Brand Typo">
      <a:majorFont>
        <a:latin typeface="Source Sans Pro ExtraLight"/>
        <a:ea typeface=""/>
        <a:cs typeface=""/>
      </a:majorFont>
      <a:minorFont>
        <a:latin typeface="Source Sans Pr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1" dT="2026-01-29T14:49:19.81" personId="{05A45035-54BE-41FE-AEBB-165406F495BF}" id="{3ADC6DDA-9556-4C66-BD68-5EA2F06AC423}">
    <text>4 to 6 weeks post-Go-Live </text>
  </threadedComment>
  <threadedComment ref="D21" dT="2026-01-29T14:57:42.57" personId="{05A45035-54BE-41FE-AEBB-165406F495BF}" id="{2980F89B-50C0-4E1E-B393-C006EAFAE69E}">
    <text>2 mois d'hypercare</text>
  </threadedComment>
</ThreadedComments>
</file>

<file path=xl/threadedComments/threadedComment2.xml><?xml version="1.0" encoding="utf-8"?>
<ThreadedComments xmlns="http://schemas.microsoft.com/office/spreadsheetml/2018/threadedcomments" xmlns:x="http://schemas.openxmlformats.org/spreadsheetml/2006/main">
  <threadedComment ref="C21" dT="2026-01-29T14:49:19.81" personId="{05A45035-54BE-41FE-AEBB-165406F495BF}" id="{A47A380F-2AB6-4F49-BDED-5B9099B4A9FC}">
    <text>4 to 6 weeks post-Go-Live </text>
  </threadedComment>
  <threadedComment ref="D21" dT="2026-01-29T14:57:42.57" personId="{05A45035-54BE-41FE-AEBB-165406F495BF}" id="{36DB3DFA-3D4F-4577-ABEA-6D7AD2DC7010}">
    <text>2 mois d'hypercare</text>
  </threadedComment>
  <threadedComment ref="E21" dT="2026-01-29T14:30:38.76" personId="{154DC5FF-327E-4E18-86B1-757CB1425A50}" id="{30AF3BE1-13D0-46FD-9D13-FAE6CC568CEE}">
    <text>@Ben Alaya, Aymen peux-tu vérifier dans les offres si la durée de l’hypercare est mentionnée</text>
    <mentions>
      <mention mentionpersonId="{434F93BB-EB6A-4922-86A8-E4E3F2A8F2C5}" mentionId="{7F69AB15-3C05-47C4-B953-5782D0DFE9CC}" startIndex="0" length="17"/>
    </mentions>
  </threadedComment>
  <threadedComment ref="E21" dT="2026-01-29T14:58:22.93" personId="{05A45035-54BE-41FE-AEBB-165406F495BF}" id="{E2C6CFDE-499A-4F28-B463-4F01DAD312CB}" parentId="{30AF3BE1-13D0-46FD-9D13-FAE6CC568CEE}">
    <text>Done, je les ai ajouté en commentaire</text>
  </threadedComment>
</ThreadedComments>
</file>

<file path=xl/threadedComments/threadedComment3.xml><?xml version="1.0" encoding="utf-8"?>
<ThreadedComments xmlns="http://schemas.microsoft.com/office/spreadsheetml/2018/threadedcomments" xmlns:x="http://schemas.openxmlformats.org/spreadsheetml/2006/main">
  <threadedComment ref="H22" dT="2026-02-01T19:29:31.92" personId="{05A45035-54BE-41FE-AEBB-165406F495BF}" id="{B7F0E7D7-8CA7-45BB-AC43-80C075AC5E5D}">
    <text xml:space="preserve">E-invoicing solution </text>
  </threadedComment>
  <threadedComment ref="H24" dT="2026-02-01T19:29:59.97" personId="{05A45035-54BE-41FE-AEBB-165406F495BF}" id="{BE384514-E4F6-40E1-AED7-E41E4CFEB61A}">
    <text xml:space="preserve">Middleware solution </text>
  </threadedComment>
  <threadedComment ref="H26" dT="2026-02-01T19:34:29.04" personId="{05A45035-54BE-41FE-AEBB-165406F495BF}" id="{C0A9719D-A667-4D10-A30C-18B8428E7B23}">
    <text>A unified dara platform for better BI capabilities</text>
  </threadedComment>
  <threadedComment ref="H27" dT="2026-02-01T19:29:17.13" personId="{05A45035-54BE-41FE-AEBB-165406F495BF}" id="{B4CFA740-9084-45DD-A05F-DA9496387A02}">
    <text>Optional : An integrated digital adoption solution to provide step-by-step user guidance, accelerating software onboarding and reducing data entry errors through 
live on-screen interactive assistance.</text>
  </threadedComment>
</ThreadedComments>
</file>

<file path=xl/threadedComments/threadedComment4.xml><?xml version="1.0" encoding="utf-8"?>
<ThreadedComments xmlns="http://schemas.microsoft.com/office/spreadsheetml/2018/threadedcomments" xmlns:x="http://schemas.openxmlformats.org/spreadsheetml/2006/main">
  <threadedComment ref="C56" dT="2026-01-30T13:43:09.61" personId="{154DC5FF-327E-4E18-86B1-757CB1425A50}" id="{C7578356-2273-42BB-9D8F-B7465B65F6AC}">
    <text>Added by Camille, to be equivalent by Netsuite</text>
  </threadedComment>
</ThreadedComments>
</file>

<file path=xl/threadedComments/threadedComment5.xml><?xml version="1.0" encoding="utf-8"?>
<ThreadedComments xmlns="http://schemas.microsoft.com/office/spreadsheetml/2018/threadedcomments" xmlns:x="http://schemas.openxmlformats.org/spreadsheetml/2006/main">
  <threadedComment ref="C12" dT="2026-02-10T15:23:35.03" personId="{154DC5FF-327E-4E18-86B1-757CB1425A50}" id="{4DDE38F1-83E4-4C80-BA13-C1D6D1AD8382}">
    <text>717670 de base, j’ai modifié car pas aligné</text>
  </threadedComment>
  <threadedComment ref="D12" dT="2026-02-10T15:22:44.86" personId="{154DC5FF-327E-4E18-86B1-757CB1425A50}" id="{B57D35B4-D1E2-48D8-967B-42EFE84796CD}">
    <text>E-invoicing + BI</text>
  </threadedComment>
  <threadedComment ref="C14" dT="2026-02-10T15:54:02.87" personId="{154DC5FF-327E-4E18-86B1-757CB1425A50}" id="{F132490F-A3A8-46A1-B36F-D08D1CED7EEF}">
    <text>92k given during audition for licences</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3.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11.bin"/><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12.bin"/><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6.bin"/><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8.bin"/><Relationship Id="rId1" Type="http://schemas.openxmlformats.org/officeDocument/2006/relationships/printerSettings" Target="../printerSettings/printerSettings8.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9.bin"/><Relationship Id="rId1" Type="http://schemas.openxmlformats.org/officeDocument/2006/relationships/printerSettings" Target="../printerSettings/printerSettings9.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customProperty" Target="../customProperty21.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customProperty" Target="../customProperty22.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customProperty" Target="../customProperty23.bin"/><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customProperty" Target="../customProperty24.bin"/><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390-9E6C-42DC-B1CA-ACDAFE46C5FC}">
  <dimension ref="A1:P14"/>
  <sheetViews>
    <sheetView zoomScale="70" zoomScaleNormal="70" workbookViewId="0">
      <selection activeCell="D2" sqref="D2:J4"/>
    </sheetView>
  </sheetViews>
  <sheetFormatPr defaultColWidth="10.42578125" defaultRowHeight="15"/>
  <cols>
    <col min="1" max="4" width="10.42578125" style="13"/>
    <col min="5" max="6" width="11.7109375" style="13" bestFit="1" customWidth="1"/>
    <col min="7" max="16384" width="10.42578125" style="13"/>
  </cols>
  <sheetData>
    <row r="1" spans="1:16">
      <c r="A1" s="16"/>
      <c r="B1" s="16"/>
      <c r="C1" s="16"/>
      <c r="D1" s="15"/>
      <c r="E1" s="15"/>
      <c r="F1" s="15"/>
      <c r="G1" s="15"/>
      <c r="H1" s="15"/>
      <c r="I1" s="15"/>
      <c r="J1" s="15"/>
      <c r="K1" s="15"/>
      <c r="L1" s="15"/>
      <c r="M1" s="15"/>
      <c r="N1" s="15"/>
      <c r="O1" s="15"/>
      <c r="P1" s="15"/>
    </row>
    <row r="2" spans="1:16">
      <c r="A2" s="15"/>
      <c r="B2" s="15"/>
      <c r="C2" s="15"/>
      <c r="D2" s="398" t="s">
        <v>0</v>
      </c>
      <c r="E2" s="398"/>
      <c r="F2" s="398"/>
      <c r="G2" s="398"/>
      <c r="H2" s="398"/>
      <c r="I2" s="398"/>
      <c r="J2" s="398"/>
      <c r="K2" s="15"/>
      <c r="L2" s="15"/>
      <c r="M2" s="15"/>
      <c r="N2" s="15"/>
      <c r="O2" s="15"/>
      <c r="P2" s="15"/>
    </row>
    <row r="3" spans="1:16">
      <c r="A3" s="15"/>
      <c r="B3" s="15"/>
      <c r="C3" s="15"/>
      <c r="D3" s="398"/>
      <c r="E3" s="398"/>
      <c r="F3" s="398"/>
      <c r="G3" s="398"/>
      <c r="H3" s="398"/>
      <c r="I3" s="398"/>
      <c r="J3" s="398"/>
      <c r="K3" s="15"/>
      <c r="L3" s="15"/>
      <c r="M3" s="15"/>
      <c r="N3" s="15"/>
      <c r="O3" s="15"/>
      <c r="P3" s="15"/>
    </row>
    <row r="4" spans="1:16">
      <c r="A4" s="15"/>
      <c r="B4" s="15"/>
      <c r="C4" s="15"/>
      <c r="D4" s="398"/>
      <c r="E4" s="398"/>
      <c r="F4" s="398"/>
      <c r="G4" s="398"/>
      <c r="H4" s="398"/>
      <c r="I4" s="398"/>
      <c r="J4" s="398"/>
      <c r="K4" s="15"/>
      <c r="L4" s="15"/>
      <c r="M4" s="15"/>
      <c r="N4" s="15"/>
      <c r="O4" s="15"/>
      <c r="P4" s="15"/>
    </row>
    <row r="5" spans="1:16" ht="15.75" thickBot="1">
      <c r="A5" s="15"/>
      <c r="B5" s="15"/>
      <c r="C5" s="15"/>
      <c r="D5" s="15"/>
      <c r="E5" s="15"/>
      <c r="F5" s="15"/>
      <c r="G5" s="15"/>
      <c r="H5" s="15"/>
      <c r="I5" s="15"/>
      <c r="J5" s="15"/>
      <c r="K5" s="15"/>
      <c r="L5" s="15"/>
      <c r="M5" s="15"/>
      <c r="N5" s="15"/>
      <c r="O5" s="15"/>
      <c r="P5" s="15"/>
    </row>
    <row r="6" spans="1:16" ht="29.25" thickBot="1">
      <c r="A6" s="20"/>
      <c r="B6" s="20"/>
      <c r="C6" s="20"/>
      <c r="D6" s="399" t="s">
        <v>1</v>
      </c>
      <c r="E6" s="400"/>
      <c r="F6" s="400"/>
      <c r="G6" s="400"/>
      <c r="H6" s="400"/>
      <c r="I6" s="400"/>
      <c r="J6" s="401"/>
      <c r="K6" s="20"/>
      <c r="L6" s="20"/>
      <c r="M6" s="20"/>
      <c r="N6" s="20"/>
      <c r="O6" s="20"/>
      <c r="P6" s="20"/>
    </row>
    <row r="7" spans="1:16">
      <c r="A7" s="19"/>
      <c r="B7" s="17"/>
      <c r="C7" s="17"/>
      <c r="D7" s="17"/>
      <c r="E7" s="17"/>
      <c r="F7" s="17"/>
      <c r="G7" s="17"/>
      <c r="H7" s="17"/>
      <c r="I7" s="17"/>
      <c r="J7" s="17"/>
      <c r="K7" s="17"/>
      <c r="L7" s="17"/>
      <c r="M7" s="17"/>
      <c r="N7" s="17"/>
      <c r="O7" s="17"/>
      <c r="P7" s="17"/>
    </row>
    <row r="8" spans="1:16">
      <c r="A8" s="17"/>
      <c r="B8" s="17"/>
      <c r="C8" s="17"/>
      <c r="D8" s="17"/>
      <c r="E8" s="17"/>
      <c r="F8" s="17"/>
      <c r="G8" s="17"/>
      <c r="H8" s="17"/>
      <c r="I8" s="17"/>
      <c r="J8" s="17"/>
      <c r="K8" s="17"/>
      <c r="L8" s="17"/>
      <c r="M8" s="17"/>
      <c r="N8" s="17"/>
      <c r="O8" s="17"/>
      <c r="P8" s="17"/>
    </row>
    <row r="9" spans="1:16">
      <c r="A9" s="17"/>
      <c r="B9" s="17"/>
      <c r="C9" s="17"/>
      <c r="D9" s="17"/>
      <c r="E9" s="17"/>
      <c r="F9" s="17"/>
      <c r="G9" s="17"/>
      <c r="H9" s="17"/>
      <c r="I9" s="17"/>
      <c r="J9" s="17"/>
      <c r="K9" s="17"/>
      <c r="L9" s="17"/>
      <c r="M9" s="17"/>
      <c r="N9" s="17"/>
      <c r="O9" s="17"/>
      <c r="P9" s="17"/>
    </row>
    <row r="10" spans="1:16">
      <c r="A10" s="15"/>
      <c r="B10" s="15"/>
      <c r="C10" s="15"/>
      <c r="D10" s="15"/>
      <c r="E10" s="177"/>
      <c r="F10" s="177"/>
      <c r="G10" s="15"/>
      <c r="H10" s="15"/>
      <c r="I10" s="15"/>
      <c r="J10" s="15"/>
      <c r="K10" s="15"/>
      <c r="L10" s="15"/>
      <c r="M10" s="15"/>
      <c r="N10" s="15"/>
      <c r="O10" s="15"/>
      <c r="P10" s="15"/>
    </row>
    <row r="11" spans="1:16">
      <c r="A11" s="15"/>
      <c r="B11" s="15"/>
      <c r="C11" s="15"/>
      <c r="D11" s="15"/>
      <c r="E11" s="177"/>
      <c r="F11" s="177"/>
      <c r="G11" s="15"/>
      <c r="H11" s="15"/>
      <c r="I11" s="15"/>
      <c r="J11" s="15"/>
      <c r="K11" s="15"/>
      <c r="L11" s="15"/>
      <c r="M11" s="15"/>
      <c r="N11" s="15"/>
      <c r="O11" s="15"/>
      <c r="P11" s="15"/>
    </row>
    <row r="12" spans="1:16">
      <c r="A12" s="15"/>
      <c r="B12" s="15"/>
      <c r="C12" s="15"/>
      <c r="D12" s="18"/>
      <c r="E12" s="15"/>
      <c r="F12" s="15"/>
      <c r="G12" s="15"/>
      <c r="H12" s="15"/>
      <c r="I12" s="15"/>
      <c r="J12" s="15"/>
      <c r="K12" s="15"/>
      <c r="L12" s="15"/>
      <c r="M12" s="15"/>
      <c r="N12" s="15"/>
      <c r="O12" s="15"/>
      <c r="P12" s="15"/>
    </row>
    <row r="13" spans="1:16">
      <c r="A13" s="15"/>
      <c r="B13" s="15"/>
      <c r="C13" s="15"/>
      <c r="D13"/>
      <c r="E13" s="15"/>
      <c r="F13" s="15"/>
      <c r="G13" s="15"/>
      <c r="H13" s="15"/>
      <c r="I13" s="15"/>
      <c r="J13" s="15"/>
      <c r="K13" s="15"/>
      <c r="L13" s="15"/>
      <c r="M13" s="15"/>
      <c r="N13" s="15"/>
      <c r="O13" s="15"/>
      <c r="P13" s="15"/>
    </row>
    <row r="14" spans="1:16" ht="14.85" customHeight="1">
      <c r="A14" s="15"/>
      <c r="B14" s="15"/>
      <c r="C14" s="15"/>
      <c r="D14" s="15"/>
      <c r="E14" s="15"/>
      <c r="F14" s="15"/>
      <c r="G14" s="15"/>
      <c r="H14"/>
      <c r="I14" s="15"/>
      <c r="J14" s="15"/>
      <c r="K14" s="15"/>
      <c r="L14" s="15"/>
      <c r="M14" s="15"/>
      <c r="N14" s="15"/>
      <c r="O14" s="15"/>
      <c r="P14" s="15"/>
    </row>
  </sheetData>
  <mergeCells count="2">
    <mergeCell ref="D2:J4"/>
    <mergeCell ref="D6:J6"/>
  </mergeCells>
  <pageMargins left="0.7" right="0.7" top="0.75" bottom="0.75" header="0.3" footer="0.3"/>
  <pageSetup paperSize="9" orientation="portrait" r:id="rId1"/>
  <customProperties>
    <customPr name="OrphanNamesChecke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2AA3-5878-410D-9706-4895E6463F31}">
  <dimension ref="A1:S30"/>
  <sheetViews>
    <sheetView topLeftCell="A10" zoomScale="70" zoomScaleNormal="70" workbookViewId="0">
      <selection activeCell="H14" sqref="H14"/>
    </sheetView>
  </sheetViews>
  <sheetFormatPr defaultColWidth="11.42578125" defaultRowHeight="15"/>
  <cols>
    <col min="1" max="1" width="31.42578125" customWidth="1"/>
    <col min="2" max="2" width="51" customWidth="1"/>
    <col min="3" max="3" width="15.42578125" bestFit="1" customWidth="1"/>
    <col min="4" max="6" width="15.7109375" bestFit="1" customWidth="1"/>
    <col min="7" max="7" width="16.5703125" customWidth="1"/>
    <col min="8" max="12" width="16.28515625" customWidth="1"/>
    <col min="13" max="13" width="13.42578125" bestFit="1" customWidth="1"/>
    <col min="14" max="16" width="16.28515625" customWidth="1"/>
    <col min="17" max="17" width="19.28515625" customWidth="1"/>
    <col min="18" max="18" width="15.28515625" customWidth="1"/>
    <col min="19" max="19" width="16" customWidth="1"/>
    <col min="20" max="20" width="17.5703125" customWidth="1"/>
  </cols>
  <sheetData>
    <row r="1" spans="1:14">
      <c r="A1" s="410" t="s">
        <v>2</v>
      </c>
      <c r="B1" s="411"/>
    </row>
    <row r="2" spans="1:14">
      <c r="A2" s="279" t="s">
        <v>3</v>
      </c>
      <c r="B2" s="280">
        <v>0.15</v>
      </c>
    </row>
    <row r="3" spans="1:14" ht="29.1" customHeight="1">
      <c r="A3" s="279" t="s">
        <v>4</v>
      </c>
      <c r="B3" s="280">
        <v>0.06</v>
      </c>
    </row>
    <row r="4" spans="1:14">
      <c r="A4" s="279" t="s">
        <v>5</v>
      </c>
      <c r="B4" s="280">
        <v>0.35</v>
      </c>
    </row>
    <row r="7" spans="1:14">
      <c r="H7" s="409" t="s">
        <v>6</v>
      </c>
      <c r="I7" s="409"/>
      <c r="J7" s="409"/>
      <c r="K7" s="409"/>
      <c r="L7" s="409"/>
    </row>
    <row r="8" spans="1:14" ht="30" customHeight="1">
      <c r="A8" s="34"/>
      <c r="B8" s="34"/>
      <c r="C8" s="175" t="s">
        <v>7</v>
      </c>
      <c r="D8" s="175" t="s">
        <v>8</v>
      </c>
      <c r="F8" s="175" t="s">
        <v>7</v>
      </c>
      <c r="G8" s="175" t="s">
        <v>8</v>
      </c>
      <c r="H8" s="175" t="s">
        <v>9</v>
      </c>
      <c r="J8" s="255"/>
      <c r="K8" s="255"/>
      <c r="L8" s="255"/>
      <c r="N8" s="175" t="s">
        <v>10</v>
      </c>
    </row>
    <row r="9" spans="1:14" ht="18.600000000000001" customHeight="1">
      <c r="A9" s="412" t="s">
        <v>11</v>
      </c>
      <c r="B9" s="413"/>
      <c r="C9" s="297">
        <f>SUM(C24:E24)</f>
        <v>1238305.7999999998</v>
      </c>
      <c r="D9" s="297">
        <f>SUM(C28:E28)</f>
        <v>2172714.9528301884</v>
      </c>
      <c r="F9" s="173">
        <f>C9-'Financial analysis conso'!C10</f>
        <v>333734.79999999981</v>
      </c>
      <c r="G9" s="173">
        <f>D9-'Financial analysis conso'!D10</f>
        <v>588772.65094339615</v>
      </c>
      <c r="H9" s="261" t="s">
        <v>12</v>
      </c>
      <c r="J9" s="172"/>
      <c r="K9" s="172"/>
      <c r="L9" s="14"/>
      <c r="N9" s="178"/>
    </row>
    <row r="10" spans="1:14" ht="18.600000000000001" customHeight="1">
      <c r="A10" s="414" t="s">
        <v>13</v>
      </c>
      <c r="B10" s="415"/>
      <c r="C10" s="297">
        <f>SUM(C24:G24)</f>
        <v>1646657.7789599998</v>
      </c>
      <c r="D10" s="297">
        <f>SUM(C28:G28)</f>
        <v>2649482.1768301884</v>
      </c>
      <c r="F10" s="173">
        <f>C10-'Financial analysis conso'!C11</f>
        <v>440052.77895999979</v>
      </c>
      <c r="G10" s="173">
        <f>D10-'Financial analysis conso'!D11</f>
        <v>720373.87494339608</v>
      </c>
      <c r="H10" s="261" t="s">
        <v>14</v>
      </c>
      <c r="J10" s="172"/>
      <c r="K10" s="172"/>
      <c r="L10" s="14"/>
      <c r="M10" s="172"/>
      <c r="N10" s="178"/>
    </row>
    <row r="11" spans="1:14" ht="18.600000000000001" customHeight="1">
      <c r="A11" s="414" t="s">
        <v>15</v>
      </c>
      <c r="B11" s="415"/>
      <c r="C11" s="297">
        <f>SUM(C24:L24)</f>
        <v>2902208.8171784724</v>
      </c>
      <c r="D11" s="297">
        <f>SUM(C28:L28)</f>
        <v>4115388.0960479216</v>
      </c>
      <c r="F11" s="173">
        <f>C11-'Financial analysis conso'!C12</f>
        <v>940518.81717847241</v>
      </c>
      <c r="G11" s="173">
        <f>D11-'Financial analysis conso'!D12</f>
        <v>1323364.7941611293</v>
      </c>
      <c r="H11" s="261" t="s">
        <v>14</v>
      </c>
      <c r="I11" s="172"/>
      <c r="J11" s="172"/>
      <c r="K11" s="172"/>
      <c r="L11" s="14"/>
      <c r="N11" s="178"/>
    </row>
    <row r="12" spans="1:14" ht="6" customHeight="1">
      <c r="L12" s="14"/>
      <c r="N12" s="14"/>
    </row>
    <row r="13" spans="1:14">
      <c r="A13" s="402" t="s">
        <v>16</v>
      </c>
      <c r="B13" s="403"/>
      <c r="C13" s="176">
        <f>SUM(C23:E23)</f>
        <v>561025.79999999993</v>
      </c>
      <c r="D13" s="176">
        <f>SUM(C27:E27)</f>
        <v>573425</v>
      </c>
      <c r="F13" s="173">
        <f>C13-'Financial analysis conso'!C38*3</f>
        <v>107974.79999999993</v>
      </c>
      <c r="G13" s="173">
        <f>D13-'Financial analysis conso'!D38*3</f>
        <v>55676</v>
      </c>
      <c r="H13" s="261" t="s">
        <v>17</v>
      </c>
      <c r="I13" s="172"/>
      <c r="J13" s="172"/>
      <c r="K13" s="172"/>
      <c r="L13" s="14"/>
      <c r="N13" s="178"/>
    </row>
    <row r="14" spans="1:14" ht="120">
      <c r="A14" s="402" t="s">
        <v>18</v>
      </c>
      <c r="B14" s="403"/>
      <c r="C14" s="176">
        <f>SUM(C23:G23)</f>
        <v>969377.77896000003</v>
      </c>
      <c r="D14" s="176">
        <f>SUM(C27:G27)</f>
        <v>1050192.2240000002</v>
      </c>
      <c r="F14" s="173">
        <f>C14-'Financial analysis conso'!C39</f>
        <v>214292.77896000003</v>
      </c>
      <c r="G14" s="173">
        <f>D14-'Financial analysis conso'!D39</f>
        <v>187277.22400000016</v>
      </c>
      <c r="H14" s="261" t="s">
        <v>19</v>
      </c>
      <c r="I14" s="172"/>
      <c r="J14" s="172"/>
      <c r="K14" s="172"/>
      <c r="L14" s="14"/>
      <c r="N14" s="178"/>
    </row>
    <row r="15" spans="1:14">
      <c r="A15" s="402" t="s">
        <v>20</v>
      </c>
      <c r="B15" s="403"/>
      <c r="C15" s="176">
        <f>SUM(C23:L23)</f>
        <v>2224928.8171784724</v>
      </c>
      <c r="D15" s="176">
        <f>SUM(C27:L27)</f>
        <v>2516098.1432177336</v>
      </c>
      <c r="F15" s="173">
        <f>C15-'Financial analysis conso'!C39*2</f>
        <v>714758.81717847241</v>
      </c>
      <c r="G15" s="173">
        <f>D15-'Financial analysis conso'!D39*2</f>
        <v>790268.1432177336</v>
      </c>
      <c r="H15" s="261" t="s">
        <v>21</v>
      </c>
      <c r="I15" s="172"/>
      <c r="J15" s="172"/>
      <c r="K15" s="172"/>
      <c r="L15" s="14"/>
      <c r="N15" s="178"/>
    </row>
    <row r="16" spans="1:14">
      <c r="I16" s="172"/>
    </row>
    <row r="17" spans="1:19">
      <c r="B17" s="165" t="s">
        <v>22</v>
      </c>
      <c r="C17" s="179"/>
      <c r="D17" s="179"/>
      <c r="H17" s="172"/>
      <c r="I17" s="172"/>
      <c r="J17" s="172"/>
    </row>
    <row r="19" spans="1:19">
      <c r="A19" s="407" t="s">
        <v>23</v>
      </c>
      <c r="B19" s="408"/>
      <c r="C19" s="408"/>
      <c r="D19" s="408"/>
      <c r="E19" s="408"/>
      <c r="F19" s="408"/>
      <c r="G19" s="408"/>
      <c r="H19" s="408"/>
      <c r="I19" s="408"/>
      <c r="J19" s="408"/>
      <c r="K19" s="408"/>
      <c r="L19" s="408"/>
      <c r="M19" s="408"/>
      <c r="N19" s="184"/>
      <c r="O19" s="184"/>
      <c r="P19" s="184"/>
    </row>
    <row r="20" spans="1:19">
      <c r="A20" s="166" t="s">
        <v>24</v>
      </c>
      <c r="B20" s="166"/>
      <c r="C20" s="166" t="s">
        <v>25</v>
      </c>
      <c r="D20" s="166" t="s">
        <v>26</v>
      </c>
      <c r="E20" s="166" t="s">
        <v>27</v>
      </c>
      <c r="F20" s="166" t="s">
        <v>28</v>
      </c>
      <c r="G20" s="166" t="s">
        <v>29</v>
      </c>
      <c r="H20" s="166" t="s">
        <v>30</v>
      </c>
      <c r="I20" s="166" t="s">
        <v>31</v>
      </c>
      <c r="J20" s="166" t="s">
        <v>32</v>
      </c>
      <c r="K20" s="166" t="s">
        <v>33</v>
      </c>
      <c r="L20" s="166" t="s">
        <v>34</v>
      </c>
      <c r="M20" s="180" t="s">
        <v>35</v>
      </c>
      <c r="N20" s="181"/>
      <c r="O20" s="181"/>
      <c r="P20" s="181"/>
      <c r="S20" s="160" t="s">
        <v>36</v>
      </c>
    </row>
    <row r="21" spans="1:19">
      <c r="A21" s="404" t="s">
        <v>7</v>
      </c>
      <c r="B21" s="167" t="s">
        <v>37</v>
      </c>
      <c r="C21" s="169">
        <f>'Cash forecast consolidation'!E3*(1+$B$2)</f>
        <v>519247.99999999994</v>
      </c>
      <c r="D21" s="169">
        <f>'Cash forecast consolidation'!F3*(1+$B$2)</f>
        <v>0</v>
      </c>
      <c r="E21" s="169">
        <f>'Cash forecast consolidation'!G3*(1+$B$2)</f>
        <v>0</v>
      </c>
      <c r="F21" s="169">
        <f>'Cash forecast consolidation'!H3*(1+$B$2)</f>
        <v>0</v>
      </c>
      <c r="G21" s="169">
        <f>'Cash forecast consolidation'!I3*(1+$B$2)</f>
        <v>0</v>
      </c>
      <c r="H21" s="169">
        <f>'Cash forecast consolidation'!J3*(1+$B$2)</f>
        <v>0</v>
      </c>
      <c r="I21" s="169">
        <f>'Cash forecast consolidation'!K3*(1+$B$2)</f>
        <v>0</v>
      </c>
      <c r="J21" s="169">
        <f>'Cash forecast consolidation'!L3*(1+$B$2)</f>
        <v>0</v>
      </c>
      <c r="K21" s="169">
        <f>'Cash forecast consolidation'!M3*(1+$B$2)</f>
        <v>0</v>
      </c>
      <c r="L21" s="169">
        <f>'Cash forecast consolidation'!N3*(1+$B$2)</f>
        <v>0</v>
      </c>
      <c r="M21" s="185">
        <f t="shared" ref="M21:M26" si="0">SUM(C21:L21)</f>
        <v>519247.99999999994</v>
      </c>
      <c r="N21" s="182"/>
      <c r="O21" s="182"/>
      <c r="P21" s="182"/>
      <c r="S21" s="173">
        <f>(SUM(C21:L21))-('Financial analysis conso'!$C$26)*(1+$B$2)</f>
        <v>0</v>
      </c>
    </row>
    <row r="22" spans="1:19">
      <c r="A22" s="405"/>
      <c r="B22" s="285" t="s">
        <v>38</v>
      </c>
      <c r="C22" s="169">
        <f>'Cash forecast consolidation'!E3*$B$4</f>
        <v>158032</v>
      </c>
      <c r="D22" s="169">
        <f>'Cash forecast consolidation'!F3*$B$4</f>
        <v>0</v>
      </c>
      <c r="E22" s="169">
        <f>'Cash forecast consolidation'!G3*$B$4</f>
        <v>0</v>
      </c>
      <c r="F22" s="169">
        <f>'Cash forecast consolidation'!H3*$B$4</f>
        <v>0</v>
      </c>
      <c r="G22" s="169">
        <f>'Cash forecast consolidation'!I3*$B$4</f>
        <v>0</v>
      </c>
      <c r="H22" s="169">
        <f>'Cash forecast consolidation'!J3*$B$4</f>
        <v>0</v>
      </c>
      <c r="I22" s="169">
        <f>'Cash forecast consolidation'!K3*$B$4</f>
        <v>0</v>
      </c>
      <c r="J22" s="169">
        <f>'Cash forecast consolidation'!L3*$B$4</f>
        <v>0</v>
      </c>
      <c r="K22" s="169">
        <f>'Cash forecast consolidation'!M3*$B$4</f>
        <v>0</v>
      </c>
      <c r="L22" s="169">
        <f>'Cash forecast consolidation'!N3*$B$4</f>
        <v>0</v>
      </c>
      <c r="M22" s="185">
        <f t="shared" si="0"/>
        <v>158032</v>
      </c>
      <c r="N22" s="182"/>
      <c r="O22" s="182"/>
      <c r="P22" s="182"/>
      <c r="S22" s="173">
        <f>(SUM(C22:L22))-($B$4*('Financial analysis conso'!$C$26))</f>
        <v>0</v>
      </c>
    </row>
    <row r="23" spans="1:19">
      <c r="A23" s="405"/>
      <c r="B23" s="170" t="s">
        <v>39</v>
      </c>
      <c r="C23" s="169">
        <f>'Cash forecast consolidation'!E4</f>
        <v>187008.59999999998</v>
      </c>
      <c r="D23" s="169">
        <f>'Cash forecast consolidation'!F4</f>
        <v>187008.59999999998</v>
      </c>
      <c r="E23" s="169">
        <f>'Cash forecast consolidation'!G4</f>
        <v>187008.59999999998</v>
      </c>
      <c r="F23" s="169">
        <f>'Cash forecast consolidation'!H4*(1+$B$3)</f>
        <v>198229.11599999998</v>
      </c>
      <c r="G23" s="169">
        <f>F23*(1+$B$3)</f>
        <v>210122.86296</v>
      </c>
      <c r="H23" s="169">
        <f t="shared" ref="H23:L23" si="1">G23*(1+$B$3)</f>
        <v>222730.2347376</v>
      </c>
      <c r="I23" s="169">
        <f t="shared" si="1"/>
        <v>236094.04882185601</v>
      </c>
      <c r="J23" s="169">
        <f t="shared" si="1"/>
        <v>250259.69175116738</v>
      </c>
      <c r="K23" s="169">
        <f t="shared" si="1"/>
        <v>265275.27325623744</v>
      </c>
      <c r="L23" s="169">
        <f t="shared" si="1"/>
        <v>281191.7896516117</v>
      </c>
      <c r="M23" s="185">
        <f t="shared" si="0"/>
        <v>2224928.8171784724</v>
      </c>
      <c r="N23" s="182"/>
      <c r="O23" s="182"/>
      <c r="P23" s="182"/>
      <c r="S23" s="173"/>
    </row>
    <row r="24" spans="1:19">
      <c r="A24" s="406"/>
      <c r="B24" s="300" t="s">
        <v>35</v>
      </c>
      <c r="C24" s="298">
        <f>SUM(C21:C23)</f>
        <v>864288.6</v>
      </c>
      <c r="D24" s="298">
        <f t="shared" ref="D24:L24" si="2">SUM(D21:D23)</f>
        <v>187008.59999999998</v>
      </c>
      <c r="E24" s="298">
        <f t="shared" si="2"/>
        <v>187008.59999999998</v>
      </c>
      <c r="F24" s="298">
        <f t="shared" si="2"/>
        <v>198229.11599999998</v>
      </c>
      <c r="G24" s="298">
        <f t="shared" si="2"/>
        <v>210122.86296</v>
      </c>
      <c r="H24" s="298">
        <f t="shared" si="2"/>
        <v>222730.2347376</v>
      </c>
      <c r="I24" s="298">
        <f t="shared" si="2"/>
        <v>236094.04882185601</v>
      </c>
      <c r="J24" s="298">
        <f t="shared" si="2"/>
        <v>250259.69175116738</v>
      </c>
      <c r="K24" s="298">
        <f t="shared" si="2"/>
        <v>265275.27325623744</v>
      </c>
      <c r="L24" s="298">
        <f t="shared" si="2"/>
        <v>281191.7896516117</v>
      </c>
      <c r="M24" s="299">
        <f t="shared" si="0"/>
        <v>2902208.8171784724</v>
      </c>
      <c r="N24" s="183"/>
      <c r="O24" s="183"/>
      <c r="P24" s="183"/>
      <c r="S24" s="283"/>
    </row>
    <row r="25" spans="1:19">
      <c r="A25" s="404" t="s">
        <v>8</v>
      </c>
      <c r="B25" s="167" t="s">
        <v>37</v>
      </c>
      <c r="C25" s="169">
        <f>'Cash forecast consolidation'!E6*(1+$B$2)</f>
        <v>904128.04716981121</v>
      </c>
      <c r="D25" s="169">
        <f>'Cash forecast consolidation'!F6*(1+$B$2)</f>
        <v>321994.25</v>
      </c>
      <c r="E25" s="169">
        <f>'Cash forecast consolidation'!G6*(1+$B$2)</f>
        <v>0</v>
      </c>
      <c r="F25" s="169">
        <f>'Cash forecast consolidation'!H6*(1+$B$2)</f>
        <v>0</v>
      </c>
      <c r="G25" s="169">
        <f>'Cash forecast consolidation'!I6*(1+$B$2)</f>
        <v>0</v>
      </c>
      <c r="H25" s="169">
        <f>'Cash forecast consolidation'!J6*(1+$B$2)</f>
        <v>0</v>
      </c>
      <c r="I25" s="169">
        <f>'Cash forecast consolidation'!K6*(1+$B$2)</f>
        <v>0</v>
      </c>
      <c r="J25" s="169">
        <f>'Cash forecast consolidation'!L6*(1+$B$2)</f>
        <v>0</v>
      </c>
      <c r="K25" s="169">
        <f>'Cash forecast consolidation'!M6*(1+$B$2)</f>
        <v>0</v>
      </c>
      <c r="L25" s="169">
        <f>'Cash forecast consolidation'!N6*(1+$B$2)</f>
        <v>0</v>
      </c>
      <c r="M25" s="185">
        <f t="shared" si="0"/>
        <v>1226122.2971698111</v>
      </c>
      <c r="N25" s="182"/>
      <c r="O25" s="182"/>
      <c r="P25" s="182"/>
      <c r="S25" s="173">
        <f>(SUM(C25:L25))-('Financial analysis conso'!$D$26)*(1+$B$2)</f>
        <v>0</v>
      </c>
    </row>
    <row r="26" spans="1:19">
      <c r="A26" s="405"/>
      <c r="B26" s="285" t="s">
        <v>38</v>
      </c>
      <c r="C26" s="169">
        <f>'Cash forecast consolidation'!E6*$B$4</f>
        <v>275169.40566037735</v>
      </c>
      <c r="D26" s="169">
        <f>'Cash forecast consolidation'!F6*$B$4</f>
        <v>97998.25</v>
      </c>
      <c r="E26" s="169">
        <f>'Cash forecast consolidation'!G6*$B$4</f>
        <v>0</v>
      </c>
      <c r="F26" s="169">
        <f>'Cash forecast consolidation'!H6*$B$4</f>
        <v>0</v>
      </c>
      <c r="G26" s="169">
        <f>'Cash forecast consolidation'!I6*$B$4</f>
        <v>0</v>
      </c>
      <c r="H26" s="169">
        <f>'Cash forecast consolidation'!J6*$B$4</f>
        <v>0</v>
      </c>
      <c r="I26" s="169">
        <f>'Cash forecast consolidation'!K6*$B$4</f>
        <v>0</v>
      </c>
      <c r="J26" s="169">
        <f>'Cash forecast consolidation'!L6*$B$4</f>
        <v>0</v>
      </c>
      <c r="K26" s="169">
        <f>'Cash forecast consolidation'!M6*$B$4</f>
        <v>0</v>
      </c>
      <c r="L26" s="169">
        <f>'Cash forecast consolidation'!N6*$B$4</f>
        <v>0</v>
      </c>
      <c r="M26" s="185">
        <f t="shared" si="0"/>
        <v>373167.65566037735</v>
      </c>
      <c r="N26" s="182"/>
      <c r="O26" s="182"/>
      <c r="P26" s="182"/>
      <c r="S26" s="173">
        <f>(SUM(C26:L26))-($B$4*('Financial analysis conso'!$D$26))</f>
        <v>0</v>
      </c>
    </row>
    <row r="27" spans="1:19">
      <c r="A27" s="405"/>
      <c r="B27" s="170" t="s">
        <v>39</v>
      </c>
      <c r="C27" s="169">
        <f>'Cash forecast consolidation'!E7</f>
        <v>136745</v>
      </c>
      <c r="D27" s="169">
        <f>'Cash forecast consolidation'!F7</f>
        <v>218340</v>
      </c>
      <c r="E27" s="169">
        <f>'Cash forecast consolidation'!G7</f>
        <v>218340</v>
      </c>
      <c r="F27" s="169">
        <f>'Cash forecast consolidation'!H7*(1+$B$3)</f>
        <v>231440.40000000002</v>
      </c>
      <c r="G27" s="169">
        <f>F27*(1+$B$3)</f>
        <v>245326.82400000005</v>
      </c>
      <c r="H27" s="169">
        <f t="shared" ref="H27:L27" si="3">G27*(1+$B$3)</f>
        <v>260046.43344000008</v>
      </c>
      <c r="I27" s="169">
        <f t="shared" si="3"/>
        <v>275649.21944640012</v>
      </c>
      <c r="J27" s="169">
        <f t="shared" si="3"/>
        <v>292188.17261318414</v>
      </c>
      <c r="K27" s="169">
        <f t="shared" si="3"/>
        <v>309719.4629699752</v>
      </c>
      <c r="L27" s="169">
        <f t="shared" si="3"/>
        <v>328302.63074817375</v>
      </c>
      <c r="M27" s="185">
        <f>SUM(C27:L27)</f>
        <v>2516098.1432177336</v>
      </c>
      <c r="N27" s="182"/>
      <c r="O27" s="182"/>
      <c r="P27" s="182"/>
      <c r="S27" s="173"/>
    </row>
    <row r="28" spans="1:19">
      <c r="A28" s="406"/>
      <c r="B28" s="300" t="s">
        <v>35</v>
      </c>
      <c r="C28" s="298">
        <f>SUM(C25:C27)</f>
        <v>1316042.4528301884</v>
      </c>
      <c r="D28" s="298">
        <f t="shared" ref="D28:L28" si="4">SUM(D25:D27)</f>
        <v>638332.5</v>
      </c>
      <c r="E28" s="298">
        <f t="shared" si="4"/>
        <v>218340</v>
      </c>
      <c r="F28" s="298">
        <f t="shared" si="4"/>
        <v>231440.40000000002</v>
      </c>
      <c r="G28" s="298">
        <f t="shared" si="4"/>
        <v>245326.82400000005</v>
      </c>
      <c r="H28" s="298">
        <f t="shared" si="4"/>
        <v>260046.43344000008</v>
      </c>
      <c r="I28" s="298">
        <f t="shared" si="4"/>
        <v>275649.21944640012</v>
      </c>
      <c r="J28" s="298">
        <f t="shared" si="4"/>
        <v>292188.17261318414</v>
      </c>
      <c r="K28" s="298">
        <f t="shared" si="4"/>
        <v>309719.4629699752</v>
      </c>
      <c r="L28" s="298">
        <f t="shared" si="4"/>
        <v>328302.63074817375</v>
      </c>
      <c r="M28" s="299">
        <f>SUM(C28:L28)</f>
        <v>4115388.0960479216</v>
      </c>
      <c r="N28" s="183"/>
      <c r="O28" s="183"/>
      <c r="P28" s="183"/>
      <c r="S28" s="283"/>
    </row>
    <row r="29" spans="1:19">
      <c r="C29" s="172"/>
      <c r="D29" s="172"/>
      <c r="E29" s="172"/>
      <c r="F29" s="172"/>
      <c r="G29" s="172"/>
      <c r="H29" s="172"/>
      <c r="I29" s="172"/>
      <c r="K29" s="172"/>
      <c r="L29" s="172"/>
      <c r="M29" s="172"/>
      <c r="Q29" s="172"/>
      <c r="R29" s="172"/>
    </row>
    <row r="30" spans="1:19">
      <c r="K30" s="172"/>
      <c r="L30" s="172"/>
      <c r="M30" s="172"/>
      <c r="N30" s="172"/>
      <c r="O30" s="172"/>
      <c r="P30" s="172"/>
    </row>
  </sheetData>
  <mergeCells count="11">
    <mergeCell ref="H7:L7"/>
    <mergeCell ref="A1:B1"/>
    <mergeCell ref="A9:B9"/>
    <mergeCell ref="A10:B10"/>
    <mergeCell ref="A11:B11"/>
    <mergeCell ref="A13:B13"/>
    <mergeCell ref="A21:A24"/>
    <mergeCell ref="A25:A28"/>
    <mergeCell ref="A14:B14"/>
    <mergeCell ref="A15:B15"/>
    <mergeCell ref="A19:M19"/>
  </mergeCells>
  <phoneticPr fontId="17" type="noConversion"/>
  <pageMargins left="0.7" right="0.7" top="0.75" bottom="0.75" header="0.3" footer="0.3"/>
  <customProperties>
    <customPr name="OrphanNamesChecke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46C7-1EED-4E83-9F77-C5D980C654CB}">
  <dimension ref="A1:R16"/>
  <sheetViews>
    <sheetView topLeftCell="C1" zoomScale="74" zoomScaleNormal="100" workbookViewId="0">
      <selection activeCell="O14" sqref="O14"/>
    </sheetView>
  </sheetViews>
  <sheetFormatPr defaultColWidth="11.42578125" defaultRowHeight="15"/>
  <cols>
    <col min="1" max="1" width="33.28515625" hidden="1" customWidth="1"/>
    <col min="2" max="2" width="22.7109375" hidden="1" customWidth="1"/>
    <col min="3" max="3" width="25.28515625" bestFit="1" customWidth="1"/>
    <col min="4" max="4" width="28.42578125" customWidth="1"/>
    <col min="5" max="9" width="19.28515625" customWidth="1"/>
    <col min="10" max="14" width="16.28515625" customWidth="1"/>
    <col min="16" max="16" width="16" customWidth="1"/>
    <col min="17" max="17" width="13.42578125" bestFit="1" customWidth="1"/>
    <col min="18" max="18" width="11.42578125" style="290"/>
  </cols>
  <sheetData>
    <row r="1" spans="3:18">
      <c r="C1" s="407" t="s">
        <v>23</v>
      </c>
      <c r="D1" s="408"/>
      <c r="E1" s="408"/>
      <c r="F1" s="408"/>
      <c r="G1" s="408"/>
      <c r="H1" s="408"/>
      <c r="I1" s="408"/>
      <c r="J1" s="408"/>
      <c r="K1" s="408"/>
      <c r="L1" s="408"/>
      <c r="M1" s="408"/>
      <c r="N1" s="408"/>
    </row>
    <row r="2" spans="3:18">
      <c r="C2" s="166" t="s">
        <v>24</v>
      </c>
      <c r="D2" s="166"/>
      <c r="E2" s="166" t="s">
        <v>25</v>
      </c>
      <c r="F2" s="166" t="s">
        <v>26</v>
      </c>
      <c r="G2" s="166" t="s">
        <v>27</v>
      </c>
      <c r="H2" s="166" t="s">
        <v>28</v>
      </c>
      <c r="I2" s="166" t="s">
        <v>29</v>
      </c>
      <c r="J2" s="166" t="s">
        <v>30</v>
      </c>
      <c r="K2" s="166" t="s">
        <v>31</v>
      </c>
      <c r="L2" s="166" t="s">
        <v>32</v>
      </c>
      <c r="M2" s="166" t="s">
        <v>33</v>
      </c>
      <c r="N2" s="166" t="s">
        <v>34</v>
      </c>
      <c r="P2" s="160" t="s">
        <v>36</v>
      </c>
      <c r="Q2" s="160" t="s">
        <v>36</v>
      </c>
    </row>
    <row r="3" spans="3:18">
      <c r="C3" s="404" t="s">
        <v>7</v>
      </c>
      <c r="D3" s="167" t="s">
        <v>40</v>
      </c>
      <c r="E3" s="169">
        <f>'Netsuite Cash forecast'!C12</f>
        <v>451520</v>
      </c>
      <c r="F3" s="169">
        <f>'Netsuite Cash forecast'!D12</f>
        <v>0</v>
      </c>
      <c r="G3" s="169">
        <f>'Netsuite Cash forecast'!E12</f>
        <v>0</v>
      </c>
      <c r="H3" s="169">
        <f>'Netsuite Cash forecast'!F12</f>
        <v>0</v>
      </c>
      <c r="I3" s="169">
        <f>'Netsuite Cash forecast'!G12</f>
        <v>0</v>
      </c>
      <c r="J3" s="169">
        <f>'Netsuite Cash forecast'!H12</f>
        <v>0</v>
      </c>
      <c r="K3" s="169">
        <f>'Netsuite Cash forecast'!I12</f>
        <v>0</v>
      </c>
      <c r="L3" s="169">
        <f>'Netsuite Cash forecast'!J12</f>
        <v>0</v>
      </c>
      <c r="M3" s="169">
        <f>'Netsuite Cash forecast'!K12</f>
        <v>0</v>
      </c>
      <c r="N3" s="169">
        <f>'Netsuite Cash forecast'!L12</f>
        <v>0</v>
      </c>
      <c r="P3" s="282">
        <f>SUM(E3:N3)-'Netsuite Cash forecast'!M12</f>
        <v>0</v>
      </c>
      <c r="Q3" s="282">
        <f>SUM(E3:N3)-'Financial analysis conso'!C26</f>
        <v>0</v>
      </c>
    </row>
    <row r="4" spans="3:18">
      <c r="C4" s="405"/>
      <c r="D4" s="167" t="s">
        <v>41</v>
      </c>
      <c r="E4" s="169">
        <f>'Netsuite Cash forecast'!C13</f>
        <v>187008.59999999998</v>
      </c>
      <c r="F4" s="169">
        <f>'Netsuite Cash forecast'!D13</f>
        <v>187008.59999999998</v>
      </c>
      <c r="G4" s="169">
        <f>'Netsuite Cash forecast'!E13</f>
        <v>187008.59999999998</v>
      </c>
      <c r="H4" s="169">
        <f>'Netsuite Cash forecast'!F13</f>
        <v>187008.59999999998</v>
      </c>
      <c r="I4" s="169">
        <f>'Netsuite Cash forecast'!G13</f>
        <v>187008.59999999998</v>
      </c>
      <c r="J4" s="169">
        <f>'Netsuite Cash forecast'!H13</f>
        <v>187008.59999999998</v>
      </c>
      <c r="K4" s="169">
        <f>'Netsuite Cash forecast'!I13</f>
        <v>187008.59999999998</v>
      </c>
      <c r="L4" s="169">
        <f>'Netsuite Cash forecast'!J13</f>
        <v>187008.59999999998</v>
      </c>
      <c r="M4" s="169">
        <f>'Netsuite Cash forecast'!K13</f>
        <v>187008.59999999998</v>
      </c>
      <c r="N4" s="169">
        <f>'Netsuite Cash forecast'!L13</f>
        <v>187008.59999999998</v>
      </c>
      <c r="P4" s="173">
        <f>SUM(E4:N4)-'Netsuite Cash forecast'!M13</f>
        <v>0</v>
      </c>
      <c r="Q4" s="173">
        <f>SUM(E4:N4)-('Financial analysis With BoB'!C39*2)</f>
        <v>0</v>
      </c>
      <c r="R4" s="314"/>
    </row>
    <row r="5" spans="3:18">
      <c r="C5" s="406"/>
      <c r="D5" s="168" t="s">
        <v>35</v>
      </c>
      <c r="E5" s="169">
        <f>E3+E4</f>
        <v>638528.6</v>
      </c>
      <c r="F5" s="169">
        <f t="shared" ref="F5:N5" si="0">F3+F4</f>
        <v>187008.59999999998</v>
      </c>
      <c r="G5" s="169">
        <f t="shared" si="0"/>
        <v>187008.59999999998</v>
      </c>
      <c r="H5" s="169">
        <f t="shared" si="0"/>
        <v>187008.59999999998</v>
      </c>
      <c r="I5" s="169">
        <f t="shared" si="0"/>
        <v>187008.59999999998</v>
      </c>
      <c r="J5" s="169">
        <f t="shared" si="0"/>
        <v>187008.59999999998</v>
      </c>
      <c r="K5" s="169">
        <f t="shared" si="0"/>
        <v>187008.59999999998</v>
      </c>
      <c r="L5" s="169">
        <f t="shared" si="0"/>
        <v>187008.59999999998</v>
      </c>
      <c r="M5" s="169">
        <f t="shared" si="0"/>
        <v>187008.59999999998</v>
      </c>
      <c r="N5" s="169">
        <f t="shared" si="0"/>
        <v>187008.59999999998</v>
      </c>
      <c r="P5" s="283"/>
      <c r="Q5" s="283"/>
    </row>
    <row r="6" spans="3:18">
      <c r="C6" s="404" t="s">
        <v>8</v>
      </c>
      <c r="D6" s="167" t="s">
        <v>40</v>
      </c>
      <c r="E6" s="169">
        <f>'SAP Cash forecast'!C12</f>
        <v>786198.30188679241</v>
      </c>
      <c r="F6" s="169">
        <f>'SAP Cash forecast'!D12</f>
        <v>279995</v>
      </c>
      <c r="G6" s="169">
        <f>'SAP Cash forecast'!E12</f>
        <v>0</v>
      </c>
      <c r="H6" s="169">
        <f>'SAP Cash forecast'!F12</f>
        <v>0</v>
      </c>
      <c r="I6" s="169">
        <f>'SAP Cash forecast'!G12</f>
        <v>0</v>
      </c>
      <c r="J6" s="169">
        <f>'SAP Cash forecast'!H12</f>
        <v>0</v>
      </c>
      <c r="K6" s="169">
        <f>'SAP Cash forecast'!I12</f>
        <v>0</v>
      </c>
      <c r="L6" s="169">
        <f>'SAP Cash forecast'!J12</f>
        <v>0</v>
      </c>
      <c r="M6" s="169">
        <f>'SAP Cash forecast'!K12</f>
        <v>0</v>
      </c>
      <c r="N6" s="169">
        <f>'SAP Cash forecast'!L12</f>
        <v>0</v>
      </c>
      <c r="P6" s="173">
        <f>SUM(E6:N6)-'SAP Cash forecast'!M12</f>
        <v>0</v>
      </c>
      <c r="Q6" s="173">
        <f>SUM(E6:N6)-'Financial analysis conso'!D26</f>
        <v>0</v>
      </c>
    </row>
    <row r="7" spans="3:18">
      <c r="C7" s="405"/>
      <c r="D7" s="167" t="s">
        <v>41</v>
      </c>
      <c r="E7" s="169">
        <f>'SAP Cash forecast'!C13</f>
        <v>136745</v>
      </c>
      <c r="F7" s="169">
        <f>'SAP Cash forecast'!D13</f>
        <v>218340</v>
      </c>
      <c r="G7" s="169">
        <f>'SAP Cash forecast'!E13</f>
        <v>218340</v>
      </c>
      <c r="H7" s="169">
        <f>'SAP Cash forecast'!F13</f>
        <v>218340</v>
      </c>
      <c r="I7" s="169">
        <f>'SAP Cash forecast'!G13</f>
        <v>218340</v>
      </c>
      <c r="J7" s="169">
        <f>'SAP Cash forecast'!H13</f>
        <v>218340</v>
      </c>
      <c r="K7" s="169">
        <f>'SAP Cash forecast'!I13</f>
        <v>218340</v>
      </c>
      <c r="L7" s="169">
        <f>'SAP Cash forecast'!J13</f>
        <v>218340</v>
      </c>
      <c r="M7" s="169">
        <f>'SAP Cash forecast'!K13</f>
        <v>218340</v>
      </c>
      <c r="N7" s="169">
        <f>'SAP Cash forecast'!L13</f>
        <v>218340</v>
      </c>
      <c r="P7" s="173">
        <f>SUM(E7:N7)-'SAP Cash forecast'!M13</f>
        <v>0</v>
      </c>
      <c r="Q7" s="173">
        <f>SUM(E7:N7)-'Financial analysis With BoB'!D39*2</f>
        <v>-81595</v>
      </c>
      <c r="R7" s="327" t="s">
        <v>42</v>
      </c>
    </row>
    <row r="8" spans="3:18">
      <c r="C8" s="406"/>
      <c r="D8" s="168" t="s">
        <v>35</v>
      </c>
      <c r="E8" s="169">
        <f>E6+E7</f>
        <v>922943.30188679241</v>
      </c>
      <c r="F8" s="169">
        <f t="shared" ref="F8:N8" si="1">F6+F7</f>
        <v>498335</v>
      </c>
      <c r="G8" s="169">
        <f t="shared" si="1"/>
        <v>218340</v>
      </c>
      <c r="H8" s="169">
        <f t="shared" si="1"/>
        <v>218340</v>
      </c>
      <c r="I8" s="169">
        <f t="shared" si="1"/>
        <v>218340</v>
      </c>
      <c r="J8" s="169">
        <f t="shared" si="1"/>
        <v>218340</v>
      </c>
      <c r="K8" s="169">
        <f t="shared" si="1"/>
        <v>218340</v>
      </c>
      <c r="L8" s="169">
        <f t="shared" si="1"/>
        <v>218340</v>
      </c>
      <c r="M8" s="169">
        <f t="shared" si="1"/>
        <v>218340</v>
      </c>
      <c r="N8" s="169">
        <f t="shared" si="1"/>
        <v>218340</v>
      </c>
      <c r="P8" s="173"/>
      <c r="Q8" s="164"/>
    </row>
    <row r="11" spans="3:18">
      <c r="E11" s="184"/>
      <c r="F11" s="184"/>
      <c r="G11" s="184"/>
      <c r="H11" s="184"/>
      <c r="I11" s="184"/>
      <c r="J11" s="184"/>
      <c r="L11" s="184"/>
      <c r="M11" s="184"/>
      <c r="N11" s="184"/>
    </row>
    <row r="12" spans="3:18">
      <c r="E12" s="181"/>
      <c r="F12" s="181"/>
      <c r="G12" s="181"/>
      <c r="H12" s="181"/>
      <c r="I12" s="181"/>
      <c r="J12" s="181"/>
      <c r="K12" s="184"/>
      <c r="L12" s="181"/>
      <c r="M12" s="181"/>
      <c r="N12" s="181"/>
    </row>
    <row r="13" spans="3:18">
      <c r="F13" s="182"/>
      <c r="G13" s="182"/>
      <c r="H13" s="182"/>
      <c r="I13" s="182"/>
      <c r="J13" s="182"/>
      <c r="K13" s="182"/>
      <c r="L13" s="182"/>
      <c r="M13" s="182"/>
      <c r="N13" s="182"/>
    </row>
    <row r="14" spans="3:18">
      <c r="F14" s="182"/>
      <c r="G14" s="182"/>
      <c r="H14" s="182"/>
      <c r="I14" s="182"/>
      <c r="J14" s="182"/>
      <c r="K14" s="182"/>
      <c r="L14" s="182"/>
      <c r="M14" s="182"/>
      <c r="N14" s="182"/>
    </row>
    <row r="15" spans="3:18">
      <c r="F15" s="182"/>
      <c r="G15" s="182"/>
      <c r="H15" s="182"/>
      <c r="I15" s="182"/>
      <c r="J15" s="182"/>
      <c r="K15" s="182"/>
      <c r="L15" s="182"/>
      <c r="M15" s="182"/>
      <c r="N15" s="182"/>
    </row>
    <row r="16" spans="3:18">
      <c r="F16" s="182"/>
      <c r="G16" s="182"/>
      <c r="H16" s="182"/>
      <c r="I16" s="182"/>
      <c r="J16" s="182"/>
      <c r="K16" s="182"/>
      <c r="L16" s="182"/>
      <c r="M16" s="182"/>
      <c r="N16" s="182"/>
    </row>
  </sheetData>
  <mergeCells count="3">
    <mergeCell ref="C6:C8"/>
    <mergeCell ref="C1:N1"/>
    <mergeCell ref="C3:C5"/>
  </mergeCells>
  <pageMargins left="0.7" right="0.7" top="0.75" bottom="0.75" header="0.3" footer="0.3"/>
  <customProperties>
    <customPr name="OrphanNamesChecked" r:id="rId1"/>
  </customPropertie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CF56-D72D-4D5A-92D3-C1FF7073117A}">
  <dimension ref="A1:S70"/>
  <sheetViews>
    <sheetView topLeftCell="A13" zoomScale="115" zoomScaleNormal="115" zoomScaleSheetLayoutView="85" workbookViewId="0">
      <selection activeCell="F41" sqref="F41:G41"/>
    </sheetView>
  </sheetViews>
  <sheetFormatPr defaultColWidth="10.7109375" defaultRowHeight="14.25"/>
  <cols>
    <col min="1" max="1" width="31.42578125" style="34" customWidth="1"/>
    <col min="2" max="2" width="51" style="34" customWidth="1"/>
    <col min="3" max="4" width="15.7109375" style="34" bestFit="1" customWidth="1"/>
    <col min="5" max="5" width="10.7109375" style="34"/>
    <col min="6" max="6" width="15.140625" style="314" customWidth="1"/>
    <col min="7" max="7" width="14.5703125" style="319" customWidth="1"/>
    <col min="8" max="16384" width="10.7109375" style="34"/>
  </cols>
  <sheetData>
    <row r="1" spans="1:19" hidden="1"/>
    <row r="2" spans="1:19" s="13" customFormat="1" ht="15">
      <c r="A2" s="24"/>
      <c r="B2" s="24"/>
      <c r="C2" s="24"/>
      <c r="D2" s="24"/>
      <c r="E2" s="24"/>
      <c r="F2" s="315"/>
      <c r="G2" s="320"/>
    </row>
    <row r="3" spans="1:19" s="13" customFormat="1" ht="15">
      <c r="A3" s="24"/>
      <c r="B3" s="24"/>
      <c r="C3" s="24"/>
      <c r="D3" s="24"/>
      <c r="E3" s="24"/>
      <c r="F3" s="315"/>
      <c r="G3" s="320"/>
    </row>
    <row r="4" spans="1:19" s="13" customFormat="1" ht="15">
      <c r="A4" s="24"/>
      <c r="B4" s="24"/>
      <c r="C4" s="24"/>
      <c r="E4" s="24"/>
      <c r="F4" s="315"/>
      <c r="G4" s="320"/>
    </row>
    <row r="5" spans="1:19" s="1" customFormat="1" ht="14.65" customHeight="1">
      <c r="A5" s="416" t="s">
        <v>43</v>
      </c>
      <c r="B5" s="416"/>
      <c r="C5" s="190"/>
      <c r="D5" s="190"/>
      <c r="E5" s="190"/>
      <c r="F5" s="316"/>
      <c r="G5" s="316"/>
      <c r="H5" s="190"/>
      <c r="I5" s="190"/>
      <c r="J5" s="190"/>
      <c r="K5" s="190"/>
      <c r="L5" s="190"/>
      <c r="M5" s="190"/>
      <c r="N5" s="190"/>
      <c r="O5" s="190"/>
      <c r="P5" s="190"/>
      <c r="Q5" s="190"/>
      <c r="R5" s="190"/>
      <c r="S5" s="190"/>
    </row>
    <row r="6" spans="1:19" s="1" customFormat="1" ht="14.65" customHeight="1">
      <c r="A6" s="416"/>
      <c r="B6" s="416"/>
      <c r="C6" s="190"/>
      <c r="D6" s="190"/>
      <c r="E6" s="190"/>
      <c r="F6" s="316"/>
      <c r="G6" s="316"/>
      <c r="H6" s="190"/>
      <c r="I6" s="190"/>
      <c r="J6" s="190"/>
      <c r="K6" s="190"/>
      <c r="L6" s="190"/>
      <c r="M6" s="190"/>
      <c r="N6" s="190"/>
      <c r="O6" s="190"/>
      <c r="P6" s="190"/>
      <c r="Q6" s="190"/>
      <c r="R6" s="190"/>
      <c r="S6" s="190"/>
    </row>
    <row r="7" spans="1:19" s="1" customFormat="1" ht="14.65" customHeight="1">
      <c r="A7" s="416"/>
      <c r="B7" s="416"/>
      <c r="C7" s="190"/>
      <c r="D7" s="190"/>
      <c r="E7" s="190"/>
      <c r="F7" s="316"/>
      <c r="G7" s="316"/>
      <c r="H7" s="190"/>
      <c r="I7" s="190"/>
      <c r="J7" s="190"/>
      <c r="K7" s="190"/>
      <c r="L7" s="190"/>
      <c r="M7" s="190"/>
      <c r="N7" s="190"/>
      <c r="O7" s="190"/>
      <c r="P7" s="190"/>
      <c r="Q7" s="190"/>
      <c r="R7" s="190"/>
      <c r="S7" s="190"/>
    </row>
    <row r="8" spans="1:19" ht="30">
      <c r="C8" s="175" t="s">
        <v>7</v>
      </c>
      <c r="D8" s="175" t="s">
        <v>8</v>
      </c>
      <c r="E8" s="191"/>
      <c r="F8" s="317"/>
      <c r="G8" s="321"/>
      <c r="H8" s="191"/>
      <c r="I8" s="191"/>
      <c r="J8" s="191"/>
    </row>
    <row r="9" spans="1:19">
      <c r="A9" s="161" t="s">
        <v>44</v>
      </c>
      <c r="B9" s="162"/>
      <c r="C9" s="162"/>
      <c r="D9" s="162"/>
      <c r="E9" s="191"/>
      <c r="F9" s="318"/>
      <c r="G9" s="322"/>
      <c r="H9" s="191"/>
      <c r="I9" s="191"/>
      <c r="J9" s="191"/>
    </row>
    <row r="10" spans="1:19">
      <c r="A10" s="417" t="s">
        <v>11</v>
      </c>
      <c r="B10" s="417"/>
      <c r="C10" s="262">
        <f t="shared" ref="C10" si="0">C26+C38*3</f>
        <v>904571</v>
      </c>
      <c r="D10" s="262">
        <f>D26+D38*3</f>
        <v>1583942.3018867923</v>
      </c>
    </row>
    <row r="11" spans="1:19">
      <c r="A11" s="417" t="s">
        <v>13</v>
      </c>
      <c r="B11" s="417"/>
      <c r="C11" s="262">
        <f t="shared" ref="C11:D11" si="1">C26+C39</f>
        <v>1206605</v>
      </c>
      <c r="D11" s="262">
        <f t="shared" si="1"/>
        <v>1929108.3018867923</v>
      </c>
    </row>
    <row r="12" spans="1:19">
      <c r="A12" s="418" t="s">
        <v>15</v>
      </c>
      <c r="B12" s="418"/>
      <c r="C12" s="262">
        <f t="shared" ref="C12:D12" si="2">C26+C39*2</f>
        <v>1961690</v>
      </c>
      <c r="D12" s="262">
        <f t="shared" si="2"/>
        <v>2792023.3018867923</v>
      </c>
    </row>
    <row r="13" spans="1:19">
      <c r="A13" s="419"/>
      <c r="B13" s="420"/>
      <c r="C13" s="192"/>
      <c r="D13" s="192"/>
    </row>
    <row r="14" spans="1:19">
      <c r="A14" s="421" t="s">
        <v>45</v>
      </c>
      <c r="B14" s="194" t="s">
        <v>46</v>
      </c>
      <c r="C14" s="195">
        <f>'Netsuite Financial analysis'!C16</f>
        <v>20960</v>
      </c>
      <c r="D14" s="195">
        <f>'SAP Financial analysis'!C16</f>
        <v>146700</v>
      </c>
      <c r="G14" s="314"/>
    </row>
    <row r="15" spans="1:19">
      <c r="A15" s="422"/>
      <c r="B15" s="194" t="s">
        <v>47</v>
      </c>
      <c r="C15" s="195">
        <f>'Netsuite Financial analysis'!C17</f>
        <v>50640</v>
      </c>
      <c r="D15" s="195">
        <f>'SAP Financial analysis'!C17</f>
        <v>5800</v>
      </c>
    </row>
    <row r="16" spans="1:19">
      <c r="A16" s="422"/>
      <c r="B16" s="194" t="s">
        <v>48</v>
      </c>
      <c r="C16" s="195">
        <f>'Netsuite Financial analysis'!C18</f>
        <v>16440</v>
      </c>
      <c r="D16" s="195">
        <f>'SAP Financial analysis'!C18</f>
        <v>114410</v>
      </c>
    </row>
    <row r="17" spans="1:7">
      <c r="A17" s="422"/>
      <c r="B17" s="194" t="s">
        <v>49</v>
      </c>
      <c r="C17" s="195">
        <f>'Netsuite Financial analysis'!C19</f>
        <v>269240</v>
      </c>
      <c r="D17" s="195">
        <f>'SAP Financial analysis'!C19</f>
        <v>246408.30188679244</v>
      </c>
    </row>
    <row r="18" spans="1:7">
      <c r="A18" s="422"/>
      <c r="B18" s="194" t="s">
        <v>50</v>
      </c>
      <c r="C18" s="195">
        <f>'Netsuite Financial analysis'!C20</f>
        <v>17120</v>
      </c>
      <c r="D18" s="195">
        <f>'SAP Financial analysis'!C20</f>
        <v>0</v>
      </c>
    </row>
    <row r="19" spans="1:7">
      <c r="A19" s="422"/>
      <c r="B19" s="194" t="s">
        <v>51</v>
      </c>
      <c r="C19" s="195">
        <f>'Netsuite Financial analysis'!C21</f>
        <v>11360</v>
      </c>
      <c r="D19" s="195">
        <f>'SAP Financial analysis'!C21</f>
        <v>84100</v>
      </c>
    </row>
    <row r="20" spans="1:7">
      <c r="A20" s="422"/>
      <c r="B20" s="194" t="s">
        <v>52</v>
      </c>
      <c r="C20" s="195">
        <f>'Netsuite Financial analysis'!C22</f>
        <v>13920</v>
      </c>
      <c r="D20" s="195">
        <f>'SAP Financial analysis'!C22</f>
        <v>0</v>
      </c>
    </row>
    <row r="21" spans="1:7">
      <c r="A21" s="422"/>
      <c r="B21" s="194" t="s">
        <v>53</v>
      </c>
      <c r="C21" s="195">
        <f>'Netsuite Financial analysis'!C23</f>
        <v>15760</v>
      </c>
      <c r="D21" s="195">
        <f>'SAP Financial analysis'!C23</f>
        <v>109680</v>
      </c>
    </row>
    <row r="22" spans="1:7">
      <c r="A22" s="422"/>
      <c r="B22" s="194" t="s">
        <v>54</v>
      </c>
      <c r="C22" s="195">
        <f>'Netsuite Financial analysis'!C24</f>
        <v>0</v>
      </c>
      <c r="D22" s="195">
        <f>'SAP Financial analysis'!C24</f>
        <v>0</v>
      </c>
    </row>
    <row r="23" spans="1:7">
      <c r="A23" s="422"/>
      <c r="B23" s="194" t="s">
        <v>55</v>
      </c>
      <c r="C23" s="195">
        <f>'Netsuite Financial analysis'!C25</f>
        <v>6640</v>
      </c>
      <c r="D23" s="195">
        <f>'SAP Financial analysis'!C25</f>
        <v>0</v>
      </c>
    </row>
    <row r="24" spans="1:7">
      <c r="A24" s="422"/>
      <c r="B24" s="194" t="s">
        <v>56</v>
      </c>
      <c r="C24" s="195">
        <f>'Netsuite Financial analysis'!C26</f>
        <v>11440</v>
      </c>
      <c r="D24" s="195">
        <f>'SAP Financial analysis'!C26</f>
        <v>341095</v>
      </c>
      <c r="E24" s="291"/>
    </row>
    <row r="25" spans="1:7">
      <c r="A25" s="422"/>
      <c r="B25" s="194" t="s">
        <v>57</v>
      </c>
      <c r="C25" s="195">
        <f>'BUILD (3)'!C56</f>
        <v>18000</v>
      </c>
      <c r="D25" s="195">
        <f>'BUILD (4)'!C56</f>
        <v>18000</v>
      </c>
      <c r="E25" s="291"/>
    </row>
    <row r="26" spans="1:7">
      <c r="A26" s="422"/>
      <c r="B26" s="196" t="s">
        <v>58</v>
      </c>
      <c r="C26" s="197">
        <f t="shared" ref="C26:D26" si="3">SUM(C14:C25)</f>
        <v>451520</v>
      </c>
      <c r="D26" s="197">
        <f t="shared" si="3"/>
        <v>1066193.3018867923</v>
      </c>
    </row>
    <row r="27" spans="1:7" ht="14.1" customHeight="1">
      <c r="A27" s="421" t="s">
        <v>59</v>
      </c>
      <c r="B27" s="198" t="s">
        <v>60</v>
      </c>
      <c r="C27" s="199">
        <f t="shared" ref="C27:D27" si="4">C30+C32</f>
        <v>109908</v>
      </c>
      <c r="D27" s="199">
        <f t="shared" si="4"/>
        <v>115333</v>
      </c>
    </row>
    <row r="28" spans="1:7" ht="14.1" customHeight="1">
      <c r="A28" s="422"/>
      <c r="B28" s="194" t="s">
        <v>61</v>
      </c>
      <c r="C28" s="195">
        <f>'Netsuite Financial analysis'!C30</f>
        <v>779.48936170212767</v>
      </c>
      <c r="D28" s="195">
        <f>'SAP Financial analysis'!C30</f>
        <v>348.43806646525678</v>
      </c>
    </row>
    <row r="29" spans="1:7">
      <c r="A29" s="422"/>
      <c r="B29" s="194" t="s">
        <v>62</v>
      </c>
      <c r="C29" s="195">
        <f>'Netsuite Financial analysis'!C31</f>
        <v>9159</v>
      </c>
      <c r="D29" s="195">
        <f>'SAP Financial analysis'!C31</f>
        <v>13424.166666666666</v>
      </c>
    </row>
    <row r="30" spans="1:7">
      <c r="A30" s="422"/>
      <c r="B30" s="194" t="s">
        <v>63</v>
      </c>
      <c r="C30" s="195">
        <f>'Netsuite Financial analysis'!C32</f>
        <v>109908</v>
      </c>
      <c r="D30" s="195">
        <f>'SAP Financial analysis'!C32</f>
        <v>115333</v>
      </c>
    </row>
    <row r="31" spans="1:7">
      <c r="A31" s="422"/>
      <c r="B31" s="194" t="s">
        <v>64</v>
      </c>
      <c r="C31" s="195">
        <f>'Netsuite Financial analysis'!C33</f>
        <v>23935.8</v>
      </c>
      <c r="D31" s="195">
        <f>'SAP Financial analysis'!C33</f>
        <v>45757</v>
      </c>
      <c r="G31" s="323"/>
    </row>
    <row r="32" spans="1:7">
      <c r="A32" s="422"/>
      <c r="B32" s="194" t="s">
        <v>65</v>
      </c>
      <c r="C32" s="195">
        <f>'Netsuite Financial analysis'!C34</f>
        <v>0</v>
      </c>
      <c r="D32" s="195">
        <f>'SAP Financial analysis'!C34</f>
        <v>0</v>
      </c>
    </row>
    <row r="33" spans="1:7">
      <c r="A33" s="422"/>
      <c r="B33" s="194" t="s">
        <v>66</v>
      </c>
      <c r="C33" s="195">
        <f>'Netsuite Financial analysis'!C35</f>
        <v>12055.8</v>
      </c>
      <c r="D33" s="195">
        <f>'SAP Financial analysis'!C35</f>
        <v>0</v>
      </c>
    </row>
    <row r="34" spans="1:7">
      <c r="A34" s="422"/>
      <c r="B34" s="198" t="s">
        <v>67</v>
      </c>
      <c r="C34" s="199">
        <f t="shared" ref="C34" si="5">SUM(C35:C37)</f>
        <v>41109</v>
      </c>
      <c r="D34" s="199">
        <f>SUM(D35:D37)</f>
        <v>57250</v>
      </c>
      <c r="F34" s="319"/>
    </row>
    <row r="35" spans="1:7">
      <c r="A35" s="422"/>
      <c r="B35" s="194" t="s">
        <v>68</v>
      </c>
      <c r="C35" s="195">
        <f>'Netsuite Financial analysis'!C37</f>
        <v>21257.4</v>
      </c>
      <c r="D35" s="195">
        <f>'SAP Financial analysis'!C37</f>
        <v>14400</v>
      </c>
    </row>
    <row r="36" spans="1:7">
      <c r="A36" s="422"/>
      <c r="B36" s="194" t="s">
        <v>69</v>
      </c>
      <c r="C36" s="195">
        <f>'Netsuite Financial analysis'!C38</f>
        <v>19851.599999999999</v>
      </c>
      <c r="D36" s="195">
        <f>'SAP Financial analysis'!C38</f>
        <v>42850</v>
      </c>
    </row>
    <row r="37" spans="1:7">
      <c r="A37" s="422"/>
      <c r="B37" s="194" t="s">
        <v>70</v>
      </c>
      <c r="C37" s="195">
        <f>'Netsuite Financial analysis'!C39</f>
        <v>0</v>
      </c>
      <c r="D37" s="195">
        <f>'SAP Financial analysis'!C39</f>
        <v>0</v>
      </c>
    </row>
    <row r="38" spans="1:7">
      <c r="A38" s="422"/>
      <c r="B38" s="196" t="s">
        <v>71</v>
      </c>
      <c r="C38" s="197">
        <f>C34+C27</f>
        <v>151017</v>
      </c>
      <c r="D38" s="197">
        <f>D34+D27</f>
        <v>172583</v>
      </c>
    </row>
    <row r="39" spans="1:7">
      <c r="A39" s="422"/>
      <c r="B39" s="196" t="s">
        <v>18</v>
      </c>
      <c r="C39" s="197">
        <f>C38*5</f>
        <v>755085</v>
      </c>
      <c r="D39" s="197">
        <f>D38*5</f>
        <v>862915</v>
      </c>
    </row>
    <row r="40" spans="1:7">
      <c r="A40" s="200"/>
      <c r="B40" s="200"/>
      <c r="C40" s="201"/>
      <c r="D40" s="201"/>
    </row>
    <row r="41" spans="1:7">
      <c r="A41" s="424" t="s">
        <v>72</v>
      </c>
      <c r="B41" s="424"/>
      <c r="C41" s="193">
        <f ca="1">Graph!C50</f>
        <v>372</v>
      </c>
      <c r="D41" s="193">
        <f ca="1">Graph!D50</f>
        <v>747.5</v>
      </c>
      <c r="G41" s="314"/>
    </row>
    <row r="42" spans="1:7">
      <c r="A42" s="424" t="s">
        <v>73</v>
      </c>
      <c r="B42" s="424"/>
      <c r="C42" s="197">
        <f t="shared" ref="C42:D42" ca="1" si="6">(C26-C25)/C41</f>
        <v>1165.3763440860216</v>
      </c>
      <c r="D42" s="197">
        <f t="shared" ca="1" si="6"/>
        <v>1402.2652868050734</v>
      </c>
    </row>
    <row r="43" spans="1:7">
      <c r="A43" s="425"/>
      <c r="B43" s="425"/>
      <c r="C43" s="201"/>
      <c r="D43" s="201"/>
    </row>
    <row r="44" spans="1:7">
      <c r="A44" s="424" t="s">
        <v>74</v>
      </c>
      <c r="B44" s="424"/>
      <c r="C44" s="193">
        <f>'Netsuite Financial analysis'!C46</f>
        <v>134</v>
      </c>
      <c r="D44" s="193">
        <f>'SAP Financial analysis'!C46</f>
        <v>480</v>
      </c>
    </row>
    <row r="45" spans="1:7">
      <c r="A45" s="202"/>
      <c r="B45" s="202"/>
    </row>
    <row r="46" spans="1:7" ht="14.45" customHeight="1">
      <c r="A46" s="423" t="s">
        <v>75</v>
      </c>
      <c r="B46" s="423"/>
      <c r="C46" s="301">
        <f t="shared" ref="C46:D46" ca="1" si="7">C44/C41</f>
        <v>0.36021505376344087</v>
      </c>
      <c r="D46" s="301">
        <f t="shared" ca="1" si="7"/>
        <v>0.64214046822742477</v>
      </c>
    </row>
    <row r="48" spans="1:7" ht="13.9" customHeight="1"/>
    <row r="49" spans="1:1" ht="13.9" customHeight="1"/>
    <row r="50" spans="1:1" ht="13.9" customHeight="1"/>
    <row r="57" spans="1:1" ht="15">
      <c r="A57" s="35"/>
    </row>
    <row r="62" spans="1:1" ht="15">
      <c r="A62" s="35"/>
    </row>
    <row r="66" spans="1:1" ht="15">
      <c r="A66" s="35"/>
    </row>
    <row r="70" spans="1:1" ht="15">
      <c r="A70" s="35"/>
    </row>
  </sheetData>
  <mergeCells count="12">
    <mergeCell ref="A46:B46"/>
    <mergeCell ref="A27:A39"/>
    <mergeCell ref="A42:B42"/>
    <mergeCell ref="A43:B43"/>
    <mergeCell ref="A44:B44"/>
    <mergeCell ref="A41:B41"/>
    <mergeCell ref="A5:B7"/>
    <mergeCell ref="A11:B11"/>
    <mergeCell ref="A12:B12"/>
    <mergeCell ref="A13:B13"/>
    <mergeCell ref="A14:A26"/>
    <mergeCell ref="A10:B10"/>
  </mergeCells>
  <pageMargins left="0.7" right="0.7" top="0.75" bottom="0.75" header="0.3" footer="0.3"/>
  <pageSetup paperSize="9" orientation="portrait" r:id="rId1"/>
  <customProperties>
    <customPr name="OrphanNamesChecked"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BE61-6248-4C16-BEA7-24B4D1BBA211}">
  <dimension ref="A1:S70"/>
  <sheetViews>
    <sheetView topLeftCell="A2" zoomScale="85" zoomScaleNormal="85" workbookViewId="0">
      <selection activeCell="D21" sqref="D21"/>
    </sheetView>
  </sheetViews>
  <sheetFormatPr defaultColWidth="10.7109375" defaultRowHeight="14.25"/>
  <cols>
    <col min="1" max="1" width="31.42578125" style="34" customWidth="1"/>
    <col min="2" max="2" width="51" style="34" customWidth="1"/>
    <col min="3" max="4" width="15.7109375" style="34" bestFit="1" customWidth="1"/>
    <col min="5" max="16384" width="10.7109375" style="34"/>
  </cols>
  <sheetData>
    <row r="1" spans="1:19" hidden="1"/>
    <row r="2" spans="1:19" s="13" customFormat="1" ht="15">
      <c r="A2" s="24"/>
      <c r="B2" s="24"/>
      <c r="C2" s="24"/>
      <c r="D2" s="24"/>
      <c r="E2" s="24"/>
      <c r="F2" s="24"/>
    </row>
    <row r="3" spans="1:19" s="13" customFormat="1" ht="15">
      <c r="A3" s="24"/>
      <c r="B3" s="24"/>
      <c r="C3" s="24"/>
      <c r="D3" s="24"/>
      <c r="E3" s="24"/>
      <c r="F3" s="24"/>
    </row>
    <row r="4" spans="1:19" s="13" customFormat="1" ht="15">
      <c r="A4" s="24"/>
      <c r="B4" s="24"/>
      <c r="C4" s="24"/>
      <c r="E4" s="24"/>
      <c r="F4" s="24"/>
    </row>
    <row r="5" spans="1:19" s="1" customFormat="1" ht="14.65" customHeight="1">
      <c r="A5" s="416" t="s">
        <v>43</v>
      </c>
      <c r="B5" s="416"/>
      <c r="C5" s="190"/>
      <c r="D5" s="190"/>
      <c r="E5" s="190"/>
      <c r="F5" s="190"/>
      <c r="G5" s="190"/>
      <c r="H5" s="190"/>
      <c r="I5" s="190"/>
      <c r="J5" s="190"/>
      <c r="K5" s="190"/>
      <c r="L5" s="190"/>
      <c r="M5" s="190"/>
      <c r="N5" s="190"/>
      <c r="O5" s="190"/>
      <c r="P5" s="190"/>
      <c r="Q5" s="190"/>
      <c r="R5" s="190"/>
      <c r="S5" s="190"/>
    </row>
    <row r="6" spans="1:19" s="1" customFormat="1" ht="14.65" customHeight="1">
      <c r="A6" s="416"/>
      <c r="B6" s="416"/>
      <c r="C6" s="190"/>
      <c r="D6" s="190"/>
      <c r="E6" s="190"/>
      <c r="F6" s="190"/>
      <c r="G6" s="190"/>
      <c r="H6" s="190"/>
      <c r="I6" s="190"/>
      <c r="J6" s="190"/>
      <c r="K6" s="190"/>
      <c r="L6" s="190"/>
      <c r="M6" s="190"/>
      <c r="N6" s="190"/>
      <c r="O6" s="190"/>
      <c r="P6" s="190"/>
      <c r="Q6" s="190"/>
      <c r="R6" s="190"/>
      <c r="S6" s="190"/>
    </row>
    <row r="7" spans="1:19" s="1" customFormat="1" ht="14.65" customHeight="1">
      <c r="A7" s="416"/>
      <c r="B7" s="416"/>
      <c r="C7" s="190"/>
      <c r="D7" s="190"/>
      <c r="E7" s="190"/>
      <c r="F7" s="190"/>
      <c r="G7" s="190"/>
      <c r="H7" s="190"/>
      <c r="I7" s="190"/>
      <c r="J7" s="190"/>
      <c r="K7" s="190"/>
      <c r="L7" s="190"/>
      <c r="M7" s="190"/>
      <c r="N7" s="190"/>
      <c r="O7" s="190"/>
      <c r="P7" s="190"/>
      <c r="Q7" s="190"/>
      <c r="R7" s="190"/>
      <c r="S7" s="190"/>
    </row>
    <row r="8" spans="1:19" ht="30">
      <c r="C8" s="175" t="s">
        <v>7</v>
      </c>
      <c r="D8" s="175" t="s">
        <v>8</v>
      </c>
      <c r="E8" s="191"/>
      <c r="F8" s="191"/>
      <c r="G8" s="191"/>
      <c r="H8" s="191"/>
      <c r="I8" s="191"/>
      <c r="J8" s="191"/>
    </row>
    <row r="9" spans="1:19" hidden="1">
      <c r="A9" s="161" t="s">
        <v>44</v>
      </c>
      <c r="B9" s="162"/>
      <c r="C9" s="162"/>
      <c r="D9" s="162"/>
      <c r="E9" s="191"/>
      <c r="F9" s="191"/>
      <c r="G9" s="191"/>
      <c r="H9" s="191"/>
      <c r="I9" s="191"/>
      <c r="J9" s="191"/>
    </row>
    <row r="10" spans="1:19">
      <c r="A10" s="417" t="s">
        <v>11</v>
      </c>
      <c r="B10" s="417"/>
      <c r="C10" s="262">
        <f t="shared" ref="C10" si="0">C26+C38*3</f>
        <v>1012545.7999999999</v>
      </c>
      <c r="D10" s="262">
        <f>D26+D38*3</f>
        <v>1721213.3018867923</v>
      </c>
    </row>
    <row r="11" spans="1:19">
      <c r="A11" s="417" t="s">
        <v>13</v>
      </c>
      <c r="B11" s="417"/>
      <c r="C11" s="262">
        <f t="shared" ref="C11:D11" si="1">C26+C39</f>
        <v>1386563</v>
      </c>
      <c r="D11" s="262">
        <f t="shared" si="1"/>
        <v>2157893.3018867923</v>
      </c>
    </row>
    <row r="12" spans="1:19">
      <c r="A12" s="418" t="s">
        <v>15</v>
      </c>
      <c r="B12" s="418"/>
      <c r="C12" s="262">
        <f t="shared" ref="C12:D12" si="2">C26+C39*2</f>
        <v>2321606</v>
      </c>
      <c r="D12" s="262">
        <f t="shared" si="2"/>
        <v>3249593.3018867923</v>
      </c>
    </row>
    <row r="13" spans="1:19">
      <c r="A13" s="419"/>
      <c r="B13" s="420"/>
      <c r="C13" s="192"/>
      <c r="D13" s="192"/>
    </row>
    <row r="14" spans="1:19">
      <c r="A14" s="421" t="s">
        <v>45</v>
      </c>
      <c r="B14" s="194" t="s">
        <v>46</v>
      </c>
      <c r="C14" s="195">
        <f>'Netsuite Financial analysis'!C16</f>
        <v>20960</v>
      </c>
      <c r="D14" s="195">
        <f>'SAP Financial analysis'!C16</f>
        <v>146700</v>
      </c>
    </row>
    <row r="15" spans="1:19">
      <c r="A15" s="422"/>
      <c r="B15" s="194" t="s">
        <v>47</v>
      </c>
      <c r="C15" s="195">
        <f>'Netsuite Financial analysis'!C17</f>
        <v>50640</v>
      </c>
      <c r="D15" s="195">
        <f>'SAP Financial analysis'!C17</f>
        <v>5800</v>
      </c>
    </row>
    <row r="16" spans="1:19">
      <c r="A16" s="422"/>
      <c r="B16" s="194" t="s">
        <v>48</v>
      </c>
      <c r="C16" s="195">
        <f>'Netsuite Financial analysis'!C18</f>
        <v>16440</v>
      </c>
      <c r="D16" s="195">
        <f>'SAP Financial analysis'!C18</f>
        <v>114410</v>
      </c>
    </row>
    <row r="17" spans="1:7">
      <c r="A17" s="423"/>
      <c r="B17" s="194" t="s">
        <v>49</v>
      </c>
      <c r="C17" s="195">
        <f>'Netsuite Financial analysis'!C19</f>
        <v>269240</v>
      </c>
      <c r="D17" s="195">
        <f>'SAP Financial analysis'!C19</f>
        <v>246408.30188679244</v>
      </c>
    </row>
    <row r="18" spans="1:7">
      <c r="A18" s="423"/>
      <c r="B18" s="194" t="s">
        <v>50</v>
      </c>
      <c r="C18" s="195">
        <f>'Netsuite Financial analysis'!C20</f>
        <v>17120</v>
      </c>
      <c r="D18" s="195">
        <f>'SAP Financial analysis'!C20</f>
        <v>0</v>
      </c>
    </row>
    <row r="19" spans="1:7">
      <c r="A19" s="422"/>
      <c r="B19" s="194" t="s">
        <v>51</v>
      </c>
      <c r="C19" s="195">
        <f>'Netsuite Financial analysis'!C21</f>
        <v>11360</v>
      </c>
      <c r="D19" s="195">
        <f>'SAP Financial analysis'!C21</f>
        <v>84100</v>
      </c>
    </row>
    <row r="20" spans="1:7">
      <c r="A20" s="422"/>
      <c r="B20" s="194" t="s">
        <v>52</v>
      </c>
      <c r="C20" s="195">
        <f>'Netsuite Financial analysis'!C22</f>
        <v>13920</v>
      </c>
      <c r="D20" s="195">
        <f>'SAP Financial analysis'!C22</f>
        <v>0</v>
      </c>
    </row>
    <row r="21" spans="1:7">
      <c r="A21" s="422"/>
      <c r="B21" s="194" t="s">
        <v>53</v>
      </c>
      <c r="C21" s="195">
        <f>'Netsuite Financial analysis'!C23</f>
        <v>15760</v>
      </c>
      <c r="D21" s="195">
        <f>'SAP Financial analysis'!C23</f>
        <v>109680</v>
      </c>
      <c r="E21" s="292" t="s">
        <v>76</v>
      </c>
    </row>
    <row r="22" spans="1:7">
      <c r="A22" s="422"/>
      <c r="B22" s="194" t="s">
        <v>54</v>
      </c>
      <c r="C22" s="195">
        <f>'Netsuite Financial analysis'!C24</f>
        <v>0</v>
      </c>
      <c r="D22" s="195">
        <f>'SAP Financial analysis'!C24</f>
        <v>0</v>
      </c>
    </row>
    <row r="23" spans="1:7">
      <c r="A23" s="422"/>
      <c r="B23" s="194" t="s">
        <v>55</v>
      </c>
      <c r="C23" s="195">
        <f>'Netsuite Financial analysis'!C25</f>
        <v>6640</v>
      </c>
      <c r="D23" s="195">
        <f>'SAP Financial analysis'!C25</f>
        <v>0</v>
      </c>
    </row>
    <row r="24" spans="1:7">
      <c r="A24" s="422"/>
      <c r="B24" s="194" t="s">
        <v>56</v>
      </c>
      <c r="C24" s="195">
        <f>'Netsuite Financial analysis'!C26</f>
        <v>11440</v>
      </c>
      <c r="D24" s="195">
        <f>'SAP Financial analysis'!C26</f>
        <v>341095</v>
      </c>
      <c r="E24" s="291"/>
    </row>
    <row r="25" spans="1:7">
      <c r="A25" s="422"/>
      <c r="B25" s="194" t="s">
        <v>57</v>
      </c>
      <c r="C25" s="195">
        <f>'BUILD (3)'!C56</f>
        <v>18000</v>
      </c>
      <c r="D25" s="195">
        <f>'BUILD (4)'!C56</f>
        <v>18000</v>
      </c>
      <c r="E25" s="291"/>
    </row>
    <row r="26" spans="1:7">
      <c r="A26" s="422"/>
      <c r="B26" s="196" t="s">
        <v>58</v>
      </c>
      <c r="C26" s="197">
        <f t="shared" ref="C26:D26" si="3">SUM(C14:C25)</f>
        <v>451520</v>
      </c>
      <c r="D26" s="197">
        <f t="shared" si="3"/>
        <v>1066193.3018867923</v>
      </c>
    </row>
    <row r="27" spans="1:7" ht="14.1" customHeight="1">
      <c r="A27" s="421" t="s">
        <v>59</v>
      </c>
      <c r="B27" s="198" t="s">
        <v>60</v>
      </c>
      <c r="C27" s="199">
        <f>'Netsuite Financial analysis'!C29</f>
        <v>145899.59999999998</v>
      </c>
      <c r="D27" s="199">
        <f>'SAP Financial analysis'!C29</f>
        <v>161090</v>
      </c>
    </row>
    <row r="28" spans="1:7" ht="14.1" customHeight="1">
      <c r="A28" s="422"/>
      <c r="B28" s="194" t="s">
        <v>61</v>
      </c>
      <c r="C28" s="195">
        <f>'Netsuite Financial analysis'!C30</f>
        <v>779.48936170212767</v>
      </c>
      <c r="D28" s="195">
        <f>'SAP Financial analysis'!C30</f>
        <v>348.43806646525678</v>
      </c>
    </row>
    <row r="29" spans="1:7">
      <c r="A29" s="422"/>
      <c r="B29" s="194" t="s">
        <v>62</v>
      </c>
      <c r="C29" s="195">
        <f>'Netsuite Financial analysis'!C31</f>
        <v>9159</v>
      </c>
      <c r="D29" s="195">
        <f>'SAP Financial analysis'!C31</f>
        <v>13424.166666666666</v>
      </c>
    </row>
    <row r="30" spans="1:7">
      <c r="A30" s="422"/>
      <c r="B30" s="194" t="s">
        <v>63</v>
      </c>
      <c r="C30" s="195">
        <f>'Netsuite Financial analysis'!C32</f>
        <v>109908</v>
      </c>
      <c r="D30" s="195">
        <f>'SAP Financial analysis'!C32</f>
        <v>115333</v>
      </c>
    </row>
    <row r="31" spans="1:7">
      <c r="A31" s="422"/>
      <c r="B31" s="194" t="s">
        <v>64</v>
      </c>
      <c r="C31" s="195">
        <f>'Netsuite Financial analysis'!C33</f>
        <v>23935.8</v>
      </c>
      <c r="D31" s="195">
        <f>'SAP Financial analysis'!C33</f>
        <v>45757</v>
      </c>
      <c r="G31" s="286"/>
    </row>
    <row r="32" spans="1:7">
      <c r="A32" s="422"/>
      <c r="B32" s="194" t="s">
        <v>65</v>
      </c>
      <c r="C32" s="195">
        <f>'Netsuite Financial analysis'!C34</f>
        <v>0</v>
      </c>
      <c r="D32" s="195">
        <f>'SAP Financial analysis'!C34</f>
        <v>0</v>
      </c>
    </row>
    <row r="33" spans="1:5">
      <c r="A33" s="422"/>
      <c r="B33" s="194" t="s">
        <v>66</v>
      </c>
      <c r="C33" s="195">
        <f>'Netsuite Financial analysis'!C35</f>
        <v>12055.8</v>
      </c>
      <c r="D33" s="195">
        <f>'SAP Financial analysis'!C35</f>
        <v>0</v>
      </c>
    </row>
    <row r="34" spans="1:5">
      <c r="A34" s="422"/>
      <c r="B34" s="198" t="s">
        <v>67</v>
      </c>
      <c r="C34" s="199">
        <f t="shared" ref="C34" si="4">SUM(C35:C37)</f>
        <v>41109</v>
      </c>
      <c r="D34" s="199">
        <f>SUM(D35:D37)</f>
        <v>57250</v>
      </c>
    </row>
    <row r="35" spans="1:5">
      <c r="A35" s="422"/>
      <c r="B35" s="194" t="s">
        <v>68</v>
      </c>
      <c r="C35" s="195">
        <f>'Netsuite Financial analysis'!C37</f>
        <v>21257.4</v>
      </c>
      <c r="D35" s="195">
        <f>'SAP Financial analysis'!C37</f>
        <v>14400</v>
      </c>
    </row>
    <row r="36" spans="1:5">
      <c r="A36" s="422"/>
      <c r="B36" s="194" t="s">
        <v>69</v>
      </c>
      <c r="C36" s="195">
        <f>'Netsuite Financial analysis'!C38</f>
        <v>19851.599999999999</v>
      </c>
      <c r="D36" s="195">
        <f>'SAP Financial analysis'!C38</f>
        <v>42850</v>
      </c>
    </row>
    <row r="37" spans="1:5">
      <c r="A37" s="422"/>
      <c r="B37" s="194" t="s">
        <v>70</v>
      </c>
      <c r="C37" s="195">
        <f>'Netsuite Financial analysis'!C39</f>
        <v>0</v>
      </c>
      <c r="D37" s="195">
        <f>'SAP Financial analysis'!C39</f>
        <v>0</v>
      </c>
    </row>
    <row r="38" spans="1:5">
      <c r="A38" s="422"/>
      <c r="B38" s="196" t="s">
        <v>71</v>
      </c>
      <c r="C38" s="197">
        <f>C34+C27</f>
        <v>187008.59999999998</v>
      </c>
      <c r="D38" s="197">
        <f>D34+D27</f>
        <v>218340</v>
      </c>
    </row>
    <row r="39" spans="1:5">
      <c r="A39" s="422"/>
      <c r="B39" s="196" t="s">
        <v>18</v>
      </c>
      <c r="C39" s="197">
        <f>C38*5</f>
        <v>935042.99999999988</v>
      </c>
      <c r="D39" s="197">
        <f>D38*5</f>
        <v>1091700</v>
      </c>
    </row>
    <row r="40" spans="1:5">
      <c r="A40" s="200"/>
      <c r="B40" s="200"/>
      <c r="C40" s="201"/>
      <c r="D40" s="201"/>
    </row>
    <row r="41" spans="1:5">
      <c r="A41" s="424" t="s">
        <v>77</v>
      </c>
      <c r="B41" s="424"/>
      <c r="C41" s="193">
        <f>'Netsuite Financial analysis'!C43</f>
        <v>382</v>
      </c>
      <c r="D41" s="193">
        <f>'SAP Financial analysis'!C43</f>
        <v>1075.875</v>
      </c>
    </row>
    <row r="42" spans="1:5">
      <c r="A42" s="424" t="s">
        <v>73</v>
      </c>
      <c r="B42" s="424"/>
      <c r="C42" s="197">
        <f t="shared" ref="C42:D42" si="5">(C26-C25)/C41</f>
        <v>1134.8691099476439</v>
      </c>
      <c r="D42" s="197">
        <f t="shared" si="5"/>
        <v>974.27052574582763</v>
      </c>
    </row>
    <row r="43" spans="1:5">
      <c r="A43" s="425"/>
      <c r="B43" s="425"/>
      <c r="C43" s="201"/>
      <c r="D43" s="201"/>
    </row>
    <row r="44" spans="1:5">
      <c r="A44" s="424" t="s">
        <v>74</v>
      </c>
      <c r="B44" s="424"/>
      <c r="C44" s="193">
        <f>'Netsuite Financial analysis'!C46</f>
        <v>134</v>
      </c>
      <c r="D44" s="193">
        <f>'SAP Financial analysis'!C46</f>
        <v>480</v>
      </c>
    </row>
    <row r="45" spans="1:5">
      <c r="A45" s="202"/>
      <c r="B45" s="202"/>
    </row>
    <row r="46" spans="1:5" ht="14.45" customHeight="1">
      <c r="A46" s="423" t="s">
        <v>78</v>
      </c>
      <c r="B46" s="423"/>
      <c r="C46" s="301">
        <f t="shared" ref="C46:D46" si="6">C44/C41</f>
        <v>0.35078534031413611</v>
      </c>
      <c r="D46" s="301">
        <f t="shared" si="6"/>
        <v>0.44614848379226213</v>
      </c>
      <c r="E46" s="193"/>
    </row>
    <row r="48" spans="1:5" ht="13.9" customHeight="1"/>
    <row r="49" spans="1:1" ht="13.9" customHeight="1"/>
    <row r="50" spans="1:1" ht="13.9" customHeight="1"/>
    <row r="57" spans="1:1" ht="15">
      <c r="A57" s="35"/>
    </row>
    <row r="62" spans="1:1" ht="15">
      <c r="A62" s="35"/>
    </row>
    <row r="66" spans="1:1" ht="15">
      <c r="A66" s="35"/>
    </row>
    <row r="70" spans="1:1" ht="15">
      <c r="A70" s="35"/>
    </row>
  </sheetData>
  <mergeCells count="12">
    <mergeCell ref="A46:B46"/>
    <mergeCell ref="A5:B7"/>
    <mergeCell ref="A10:B10"/>
    <mergeCell ref="A11:B11"/>
    <mergeCell ref="A12:B12"/>
    <mergeCell ref="A13:B13"/>
    <mergeCell ref="A14:A26"/>
    <mergeCell ref="A27:A39"/>
    <mergeCell ref="A41:B41"/>
    <mergeCell ref="A42:B42"/>
    <mergeCell ref="A43:B43"/>
    <mergeCell ref="A44:B44"/>
  </mergeCells>
  <pageMargins left="0.7" right="0.7" top="0.75" bottom="0.75" header="0.3" footer="0.3"/>
  <pageSetup paperSize="9" orientation="portrait" r:id="rId1"/>
  <customProperties>
    <customPr name="OrphanNamesChecked"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102E-159D-493E-9420-6B0E9F439851}">
  <sheetPr>
    <tabColor theme="7"/>
  </sheetPr>
  <dimension ref="B37:D64"/>
  <sheetViews>
    <sheetView tabSelected="1" topLeftCell="A39" zoomScaleNormal="100" workbookViewId="0">
      <selection activeCell="F53" sqref="F53"/>
    </sheetView>
  </sheetViews>
  <sheetFormatPr defaultColWidth="11.42578125" defaultRowHeight="15"/>
  <cols>
    <col min="2" max="2" width="18.5703125" customWidth="1"/>
    <col min="3" max="3" width="17.28515625" customWidth="1"/>
    <col min="4" max="4" width="20.140625" customWidth="1"/>
  </cols>
  <sheetData>
    <row r="37" spans="2:4">
      <c r="C37" t="s">
        <v>79</v>
      </c>
      <c r="D37" t="s">
        <v>80</v>
      </c>
    </row>
    <row r="38" spans="2:4" ht="30">
      <c r="B38" s="34"/>
      <c r="C38" s="175" t="s">
        <v>7</v>
      </c>
      <c r="D38" s="175" t="s">
        <v>8</v>
      </c>
    </row>
    <row r="39" spans="2:4">
      <c r="B39" s="194" t="s">
        <v>46</v>
      </c>
      <c r="C39" s="164" cm="1">
        <f t="array" aca="1" ref="C39" ca="1">INDIRECT("'"&amp;C$37&amp;"'!$K15")</f>
        <v>18</v>
      </c>
      <c r="D39" s="164" cm="1">
        <f t="array" aca="1" ref="D39" ca="1">INDIRECT("'"&amp;D$37&amp;"'!$K15")</f>
        <v>144</v>
      </c>
    </row>
    <row r="40" spans="2:4" hidden="1">
      <c r="B40" s="194" t="s">
        <v>47</v>
      </c>
      <c r="C40" s="164" cm="1">
        <f t="array" aca="1" ref="C40" ca="1">INDIRECT("'"&amp;C$37&amp;"'!$K17")</f>
        <v>46</v>
      </c>
      <c r="D40" s="164" cm="1">
        <f t="array" aca="1" ref="D40" ca="1">INDIRECT("'"&amp;D$37&amp;"'!$K17")</f>
        <v>4</v>
      </c>
    </row>
    <row r="41" spans="2:4" hidden="1">
      <c r="B41" s="194" t="s">
        <v>48</v>
      </c>
      <c r="C41" s="164" cm="1">
        <f t="array" aca="1" ref="C41" ca="1">INDIRECT("'"&amp;C$37&amp;"'!$K23")</f>
        <v>15</v>
      </c>
      <c r="D41" s="164" cm="1">
        <f t="array" aca="1" ref="D41" ca="1">INDIRECT("'"&amp;D$37&amp;"'!$K23")</f>
        <v>109.5</v>
      </c>
    </row>
    <row r="42" spans="2:4">
      <c r="B42" s="194" t="s">
        <v>81</v>
      </c>
      <c r="C42" s="164">
        <f ca="1">C40+C41</f>
        <v>61</v>
      </c>
      <c r="D42" s="164">
        <f ca="1">D40+D41</f>
        <v>113.5</v>
      </c>
    </row>
    <row r="43" spans="2:4" ht="24">
      <c r="B43" s="194" t="s">
        <v>49</v>
      </c>
      <c r="C43" s="164" cm="1">
        <f t="array" aca="1" ref="C43" ca="1">INDIRECT("'"&amp;C$37&amp;"'!$K27")</f>
        <v>235</v>
      </c>
      <c r="D43" s="164" cm="1">
        <f t="array" aca="1" ref="D43" ca="1">INDIRECT("'"&amp;D$37&amp;"'!$K27")</f>
        <v>296</v>
      </c>
    </row>
    <row r="44" spans="2:4">
      <c r="B44" s="194" t="s">
        <v>50</v>
      </c>
      <c r="C44" s="164" cm="1">
        <f t="array" aca="1" ref="C44" ca="1">INDIRECT("'"&amp;C$37&amp;"'!$K34")</f>
        <v>16</v>
      </c>
      <c r="D44" s="164" cm="1">
        <f t="array" aca="1" ref="D44" ca="1">INDIRECT("'"&amp;D$37&amp;"'!$K34")</f>
        <v>0</v>
      </c>
    </row>
    <row r="45" spans="2:4">
      <c r="B45" s="194" t="s">
        <v>51</v>
      </c>
      <c r="C45" s="164" cm="1">
        <f t="array" aca="1" ref="C45" ca="1">INDIRECT("'"&amp;C$37&amp;"'!$K38")</f>
        <v>10</v>
      </c>
      <c r="D45" s="164" cm="1">
        <f t="array" aca="1" ref="D45" ca="1">INDIRECT("'"&amp;D$37&amp;"'!$K38")</f>
        <v>94</v>
      </c>
    </row>
    <row r="46" spans="2:4">
      <c r="B46" s="194" t="s">
        <v>52</v>
      </c>
      <c r="C46" s="164" cm="1">
        <f t="array" aca="1" ref="C46" ca="1">INDIRECT("'"&amp;C$37&amp;"'!$K40")</f>
        <v>12</v>
      </c>
      <c r="D46" s="164" cm="1">
        <f t="array" aca="1" ref="D46" ca="1">INDIRECT("'"&amp;D$37&amp;"'!$K40")</f>
        <v>0</v>
      </c>
    </row>
    <row r="47" spans="2:4" ht="24">
      <c r="B47" s="194" t="s">
        <v>53</v>
      </c>
      <c r="C47" s="164" cm="1">
        <f t="array" aca="1" ref="C47" ca="1">INDIRECT("'"&amp;C$37&amp;"'!$K43")</f>
        <v>14</v>
      </c>
      <c r="D47" s="164" cm="1">
        <f t="array" aca="1" ref="D47" ca="1">INDIRECT("'"&amp;D$37&amp;"'!$K43")</f>
        <v>100</v>
      </c>
    </row>
    <row r="48" spans="2:4" ht="36" hidden="1">
      <c r="B48" s="194" t="s">
        <v>54</v>
      </c>
      <c r="C48" s="164" cm="1">
        <f t="array" aca="1" ref="C48" ca="1">INDIRECT("'"&amp;C$37&amp;"'!$K46")</f>
        <v>0</v>
      </c>
      <c r="D48" s="164" cm="1">
        <f t="array" aca="1" ref="D48" ca="1">INDIRECT("'"&amp;D$37&amp;"'!$K46")</f>
        <v>0</v>
      </c>
    </row>
    <row r="49" spans="2:4" ht="24" hidden="1">
      <c r="B49" s="194" t="s">
        <v>55</v>
      </c>
      <c r="C49" s="164" cm="1">
        <f t="array" aca="1" ref="C49" ca="1">INDIRECT("'"&amp;C$37&amp;"'!$K48")</f>
        <v>6</v>
      </c>
      <c r="D49" s="164" cm="1">
        <f t="array" aca="1" ref="D49" ca="1">INDIRECT("'"&amp;D$37&amp;"'!$K48")</f>
        <v>0</v>
      </c>
    </row>
    <row r="50" spans="2:4">
      <c r="C50">
        <f t="shared" ref="C50" ca="1" si="0">SUM(C39:C49)-C42</f>
        <v>372</v>
      </c>
      <c r="D50">
        <f ca="1">SUM(D39:D49)-D42</f>
        <v>747.5</v>
      </c>
    </row>
    <row r="59" spans="2:4" ht="88.5" customHeight="1"/>
    <row r="60" spans="2:4" ht="73.5" customHeight="1"/>
    <row r="61" spans="2:4" ht="73.5" customHeight="1"/>
    <row r="62" spans="2:4" ht="93" customHeight="1"/>
    <row r="63" spans="2:4" ht="105.75" customHeight="1"/>
    <row r="64" spans="2:4" ht="67.5" customHeight="1"/>
  </sheetData>
  <pageMargins left="0.7" right="0.7" top="0.75" bottom="0.75" header="0.3" footer="0.3"/>
  <pageSetup orientation="portrait" r:id="rId1"/>
  <customProperties>
    <customPr name="OrphanNamesChecke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A2BF-9F4B-4C2C-9942-E863D0A01B61}">
  <dimension ref="B3:J25"/>
  <sheetViews>
    <sheetView showGridLines="0" workbookViewId="0">
      <selection activeCell="K8" sqref="K8"/>
    </sheetView>
  </sheetViews>
  <sheetFormatPr defaultColWidth="11.42578125" defaultRowHeight="15"/>
  <cols>
    <col min="2" max="2" width="43.28515625" customWidth="1"/>
    <col min="3" max="3" width="56.42578125" customWidth="1"/>
    <col min="4" max="4" width="34" customWidth="1"/>
  </cols>
  <sheetData>
    <row r="3" spans="2:5" ht="1.5" customHeight="1"/>
    <row r="4" spans="2:5" ht="18">
      <c r="B4" s="306"/>
      <c r="C4" s="308" t="s">
        <v>7</v>
      </c>
      <c r="D4" s="308" t="s">
        <v>8</v>
      </c>
    </row>
    <row r="5" spans="2:5" ht="30">
      <c r="B5" s="307" t="s">
        <v>82</v>
      </c>
      <c r="C5" s="309">
        <f>'RUN (3)'!E20/'RUN (3)'!C20</f>
        <v>1097.872340425532</v>
      </c>
      <c r="D5" s="309">
        <f>'RUN (4)'!E20/'RUN (4)'!C20</f>
        <v>812.20422535211264</v>
      </c>
    </row>
    <row r="6" spans="2:5">
      <c r="B6" s="307" t="s">
        <v>83</v>
      </c>
      <c r="C6" s="311">
        <v>0.28999999999999998</v>
      </c>
      <c r="D6" s="310" t="s">
        <v>84</v>
      </c>
    </row>
    <row r="7" spans="2:5" ht="30">
      <c r="B7" s="307" t="s">
        <v>85</v>
      </c>
      <c r="C7" s="309">
        <f>'RUN (3)'!G20/'RUN (3)'!C20</f>
        <v>779.48936170212767</v>
      </c>
      <c r="D7" s="309">
        <f>'RUN (4)'!G20/'RUN (4)'!C20</f>
        <v>812.20422535211264</v>
      </c>
    </row>
    <row r="8" spans="2:5" ht="200.25" customHeight="1">
      <c r="B8" s="307" t="s">
        <v>86</v>
      </c>
      <c r="C8" s="313" t="s">
        <v>87</v>
      </c>
      <c r="D8" s="312" t="s">
        <v>88</v>
      </c>
    </row>
    <row r="9" spans="2:5" ht="39.75" customHeight="1">
      <c r="B9" s="307" t="s">
        <v>89</v>
      </c>
      <c r="C9" s="310">
        <f>'RUN (3)'!C20</f>
        <v>141</v>
      </c>
      <c r="D9" s="310">
        <f>'RUN (4)'!C20</f>
        <v>142</v>
      </c>
    </row>
    <row r="10" spans="2:5" ht="64.5" customHeight="1">
      <c r="B10" s="307" t="s">
        <v>90</v>
      </c>
      <c r="C10" s="309">
        <f>'RUN (3)'!G20+'RUN (3)'!G28</f>
        <v>133843.79999999999</v>
      </c>
      <c r="D10" s="309">
        <f>+'RUN (4)'!G20+'RUN (4)'!G30</f>
        <v>161090</v>
      </c>
    </row>
    <row r="11" spans="2:5" ht="30">
      <c r="B11" s="307" t="s">
        <v>91</v>
      </c>
      <c r="C11" s="309">
        <f>C10/142</f>
        <v>942.56197183098584</v>
      </c>
      <c r="D11" s="309">
        <f>D10/142</f>
        <v>1134.4366197183099</v>
      </c>
      <c r="E11" s="305"/>
    </row>
    <row r="25" spans="7:10">
      <c r="G25" s="309" t="e">
        <f>#REF!/#REF!</f>
        <v>#REF!</v>
      </c>
      <c r="H25" s="309" t="e">
        <f>#REF!/#REF!</f>
        <v>#REF!</v>
      </c>
      <c r="I25" s="309" t="e">
        <f>'RUN (3)'!K39/'RUN (3)'!I39</f>
        <v>#DIV/0!</v>
      </c>
      <c r="J25" s="309" t="e">
        <f>'RUN (4)'!K39/'RUN (4)'!I39</f>
        <v>#DIV/0!</v>
      </c>
    </row>
  </sheetData>
  <pageMargins left="0.7" right="0.7" top="0.75" bottom="0.75" header="0.3" footer="0.3"/>
  <customProperties>
    <customPr name="OrphanNamesChecke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12AF-CD1E-46AE-A005-72AE079E52BE}">
  <dimension ref="C3:E4"/>
  <sheetViews>
    <sheetView workbookViewId="0">
      <selection activeCell="F13" sqref="F13"/>
    </sheetView>
  </sheetViews>
  <sheetFormatPr defaultColWidth="11.42578125" defaultRowHeight="15"/>
  <cols>
    <col min="3" max="3" width="18" customWidth="1"/>
  </cols>
  <sheetData>
    <row r="3" spans="3:5" ht="30">
      <c r="D3" s="175" t="s">
        <v>7</v>
      </c>
      <c r="E3" s="175" t="s">
        <v>8</v>
      </c>
    </row>
    <row r="4" spans="3:5" ht="36">
      <c r="C4" s="194" t="s">
        <v>92</v>
      </c>
      <c r="D4" s="164" cm="1">
        <f t="array" aca="1" ref="D4" ca="1">INDIRECT("'"&amp;Graph!C$37&amp;"'!$K50")</f>
        <v>10</v>
      </c>
      <c r="E4" s="164" cm="1">
        <f t="array" aca="1" ref="E4" ca="1">INDIRECT("'"&amp;Graph!D$37&amp;"'!$K50")</f>
        <v>328.375</v>
      </c>
    </row>
  </sheetData>
  <pageMargins left="0.7" right="0.7" top="0.75" bottom="0.75" header="0.3" footer="0.3"/>
  <customProperties>
    <customPr name="OrphanNamesChecke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D6191-E265-41BC-8C2F-19EF928F949C}">
  <sheetPr>
    <tabColor theme="1"/>
  </sheetPr>
  <dimension ref="A1"/>
  <sheetViews>
    <sheetView workbookViewId="0"/>
  </sheetViews>
  <sheetFormatPr defaultColWidth="11.42578125" defaultRowHeight="15"/>
  <sheetData/>
  <pageMargins left="0.7" right="0.7" top="0.75" bottom="0.75" header="0.3" footer="0.3"/>
  <customProperties>
    <customPr name="OrphanNamesChecke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DF0A-DC22-4901-827A-5345FB3872DC}">
  <sheetPr>
    <tabColor theme="1"/>
  </sheetPr>
  <dimension ref="A1"/>
  <sheetViews>
    <sheetView workbookViewId="0">
      <selection activeCell="J27" sqref="J27"/>
    </sheetView>
  </sheetViews>
  <sheetFormatPr defaultColWidth="11.42578125" defaultRowHeight="15"/>
  <sheetData/>
  <pageMargins left="0.7" right="0.7" top="0.75" bottom="0.75" header="0.3" footer="0.3"/>
  <customProperties>
    <customPr name="OrphanNamesChecke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B81E-5D4C-47CA-BEA4-90BA2DB146DE}">
  <dimension ref="A1:V69"/>
  <sheetViews>
    <sheetView topLeftCell="A29" workbookViewId="0">
      <selection activeCell="D24" sqref="D24"/>
    </sheetView>
  </sheetViews>
  <sheetFormatPr defaultColWidth="9" defaultRowHeight="15"/>
  <cols>
    <col min="1" max="1" width="11.5703125" style="25" customWidth="1"/>
    <col min="2" max="2" width="41.28515625" style="25" customWidth="1"/>
    <col min="3" max="3" width="20.42578125" style="25" customWidth="1"/>
    <col min="4" max="4" width="20.42578125" style="268" customWidth="1"/>
    <col min="5" max="7" width="20.42578125" style="25" customWidth="1"/>
    <col min="8" max="8" width="107.5703125" style="204" customWidth="1"/>
    <col min="9" max="16384" width="9" style="13"/>
  </cols>
  <sheetData>
    <row r="1" spans="1:22">
      <c r="B1" s="24"/>
      <c r="C1" s="24"/>
      <c r="D1" s="151"/>
      <c r="E1" s="24"/>
      <c r="F1" s="24"/>
      <c r="G1" s="24"/>
    </row>
    <row r="2" spans="1:22">
      <c r="B2" s="24"/>
      <c r="C2" s="24"/>
      <c r="D2" s="151"/>
      <c r="E2" s="24"/>
      <c r="F2" s="24"/>
      <c r="G2" s="24"/>
    </row>
    <row r="3" spans="1:22">
      <c r="B3" s="26"/>
      <c r="C3" s="24"/>
      <c r="D3" s="263" t="s">
        <v>93</v>
      </c>
      <c r="E3" s="428" t="s">
        <v>94</v>
      </c>
      <c r="F3" s="428"/>
      <c r="G3" s="28"/>
    </row>
    <row r="4" spans="1:22">
      <c r="B4" s="24"/>
      <c r="C4" s="30"/>
      <c r="D4" s="264" t="s">
        <v>95</v>
      </c>
      <c r="E4" s="428" t="s">
        <v>96</v>
      </c>
      <c r="F4" s="428"/>
      <c r="G4" s="28"/>
    </row>
    <row r="5" spans="1:22">
      <c r="B5" s="24"/>
      <c r="C5" s="24"/>
      <c r="D5" s="265"/>
      <c r="G5" s="24"/>
      <c r="H5" s="187"/>
    </row>
    <row r="6" spans="1:22" s="1" customFormat="1" ht="14.65" customHeight="1">
      <c r="A6" s="36"/>
      <c r="B6" s="429" t="s">
        <v>97</v>
      </c>
      <c r="C6" s="429"/>
      <c r="D6" s="429"/>
      <c r="E6" s="429"/>
      <c r="F6" s="429"/>
      <c r="G6" s="429"/>
      <c r="H6" s="429"/>
      <c r="I6" s="190"/>
      <c r="J6" s="190"/>
      <c r="K6" s="190"/>
      <c r="L6" s="190"/>
      <c r="M6" s="190"/>
      <c r="N6" s="190"/>
      <c r="O6" s="190"/>
      <c r="P6" s="190"/>
      <c r="Q6" s="190"/>
      <c r="R6" s="190"/>
      <c r="S6" s="190"/>
      <c r="T6" s="190"/>
      <c r="U6" s="190"/>
    </row>
    <row r="7" spans="1:22" s="1" customFormat="1" ht="14.65" customHeight="1">
      <c r="A7" s="36"/>
      <c r="B7" s="416"/>
      <c r="C7" s="416"/>
      <c r="D7" s="416"/>
      <c r="E7" s="416"/>
      <c r="F7" s="416"/>
      <c r="G7" s="416"/>
      <c r="H7" s="416"/>
      <c r="I7" s="190"/>
      <c r="J7" s="190"/>
      <c r="K7" s="190"/>
      <c r="L7" s="190"/>
      <c r="M7" s="190"/>
      <c r="N7" s="190"/>
      <c r="O7" s="190"/>
      <c r="P7" s="190"/>
      <c r="Q7" s="190"/>
      <c r="R7" s="190"/>
      <c r="S7" s="190"/>
      <c r="T7" s="190"/>
      <c r="U7" s="190"/>
    </row>
    <row r="8" spans="1:22" s="1" customFormat="1" ht="14.65" customHeight="1">
      <c r="A8" s="36"/>
      <c r="B8" s="416"/>
      <c r="C8" s="416"/>
      <c r="D8" s="416"/>
      <c r="E8" s="416"/>
      <c r="F8" s="416"/>
      <c r="G8" s="416"/>
      <c r="H8" s="416"/>
      <c r="I8" s="190"/>
      <c r="J8" s="190"/>
      <c r="K8" s="190"/>
      <c r="L8" s="190"/>
      <c r="M8" s="190"/>
      <c r="N8" s="190"/>
      <c r="O8" s="190"/>
      <c r="P8" s="190"/>
      <c r="Q8" s="190"/>
      <c r="R8" s="190"/>
      <c r="S8" s="190"/>
      <c r="T8" s="190"/>
      <c r="U8" s="190"/>
    </row>
    <row r="9" spans="1:22" s="5" customFormat="1" ht="12.75">
      <c r="A9" s="3"/>
      <c r="B9" s="430" t="s">
        <v>98</v>
      </c>
      <c r="C9" s="430"/>
      <c r="D9" s="266"/>
      <c r="E9" s="4"/>
      <c r="F9" s="4"/>
      <c r="G9" s="155"/>
      <c r="H9" s="207"/>
      <c r="I9" s="208"/>
      <c r="K9" s="157"/>
      <c r="L9" s="158"/>
      <c r="M9" s="3"/>
      <c r="N9" s="3"/>
      <c r="O9" s="3"/>
      <c r="P9" s="3"/>
      <c r="Q9" s="3"/>
      <c r="R9" s="3"/>
      <c r="S9" s="3"/>
      <c r="V9" s="3"/>
    </row>
    <row r="10" spans="1:22">
      <c r="B10" s="24"/>
      <c r="C10" s="24"/>
      <c r="D10" s="151"/>
      <c r="E10" s="431" t="s">
        <v>99</v>
      </c>
      <c r="F10" s="431"/>
      <c r="G10" s="431"/>
      <c r="H10" s="187"/>
    </row>
    <row r="11" spans="1:22" s="210" customFormat="1" ht="41.65" customHeight="1">
      <c r="A11" s="150"/>
      <c r="B11" s="206" t="s">
        <v>100</v>
      </c>
      <c r="C11" s="206" t="s">
        <v>101</v>
      </c>
      <c r="D11" s="214" t="s">
        <v>102</v>
      </c>
      <c r="E11" s="206" t="s">
        <v>103</v>
      </c>
      <c r="F11" s="206" t="s">
        <v>104</v>
      </c>
      <c r="G11" s="206" t="s">
        <v>105</v>
      </c>
      <c r="H11" s="209" t="s">
        <v>106</v>
      </c>
    </row>
    <row r="12" spans="1:22" s="211" customFormat="1" ht="32.65" customHeight="1">
      <c r="A12" s="329"/>
      <c r="B12" s="330" t="s">
        <v>107</v>
      </c>
      <c r="C12" s="330" t="s">
        <v>108</v>
      </c>
      <c r="D12" s="331" t="s">
        <v>109</v>
      </c>
      <c r="E12" s="330" t="s">
        <v>110</v>
      </c>
      <c r="F12" s="332" t="s">
        <v>111</v>
      </c>
      <c r="G12" s="330" t="s">
        <v>112</v>
      </c>
      <c r="H12" s="333"/>
      <c r="N12" s="210"/>
      <c r="O12" s="210"/>
      <c r="P12" s="210"/>
      <c r="Q12" s="210"/>
      <c r="R12" s="210"/>
      <c r="S12" s="210"/>
    </row>
    <row r="13" spans="1:22" s="211" customFormat="1" ht="24">
      <c r="A13" s="329"/>
      <c r="B13" s="212" t="s">
        <v>113</v>
      </c>
      <c r="C13" s="270">
        <v>1</v>
      </c>
      <c r="D13" s="271">
        <v>43080</v>
      </c>
      <c r="E13" s="334">
        <f t="shared" ref="E13:E19" si="0">C13*D13</f>
        <v>43080</v>
      </c>
      <c r="F13" s="335">
        <v>0.28999999999999998</v>
      </c>
      <c r="G13" s="336">
        <f>E13*(1-F13)</f>
        <v>30586.799999999999</v>
      </c>
      <c r="H13" s="337" t="s">
        <v>114</v>
      </c>
      <c r="N13" s="210"/>
      <c r="O13" s="210"/>
      <c r="P13" s="210"/>
      <c r="Q13" s="210"/>
      <c r="R13" s="210"/>
      <c r="S13" s="210"/>
    </row>
    <row r="14" spans="1:22" s="211" customFormat="1" ht="24">
      <c r="A14" s="329"/>
      <c r="B14" s="212" t="s">
        <v>115</v>
      </c>
      <c r="C14" s="270">
        <v>42</v>
      </c>
      <c r="D14" s="271">
        <v>1320</v>
      </c>
      <c r="E14" s="334">
        <f t="shared" si="0"/>
        <v>55440</v>
      </c>
      <c r="F14" s="335">
        <v>0.28999999999999998</v>
      </c>
      <c r="G14" s="334">
        <f>E14*(1-F14)</f>
        <v>39362.400000000001</v>
      </c>
      <c r="H14" s="337" t="s">
        <v>116</v>
      </c>
      <c r="N14" s="210"/>
      <c r="O14" s="210"/>
      <c r="P14" s="210"/>
      <c r="Q14" s="210"/>
      <c r="R14" s="210"/>
      <c r="S14" s="210"/>
    </row>
    <row r="15" spans="1:22" s="211" customFormat="1" ht="264">
      <c r="A15" s="329"/>
      <c r="B15" s="212" t="s">
        <v>117</v>
      </c>
      <c r="C15" s="270">
        <v>85</v>
      </c>
      <c r="D15" s="271">
        <v>216</v>
      </c>
      <c r="E15" s="334">
        <f>C15*D15</f>
        <v>18360</v>
      </c>
      <c r="F15" s="335">
        <v>0.28999999999999998</v>
      </c>
      <c r="G15" s="334">
        <f>E15*(1-F15)</f>
        <v>13035.599999999999</v>
      </c>
      <c r="H15" s="337" t="s">
        <v>118</v>
      </c>
      <c r="N15" s="210"/>
      <c r="O15" s="210"/>
      <c r="P15" s="210"/>
      <c r="Q15" s="210"/>
      <c r="R15" s="210"/>
      <c r="S15" s="210"/>
    </row>
    <row r="16" spans="1:22" s="211" customFormat="1" ht="372">
      <c r="A16" s="329"/>
      <c r="B16" s="212" t="s">
        <v>119</v>
      </c>
      <c r="C16" s="270">
        <v>10</v>
      </c>
      <c r="D16" s="271">
        <v>336</v>
      </c>
      <c r="E16" s="334">
        <f t="shared" si="0"/>
        <v>3360</v>
      </c>
      <c r="F16" s="335">
        <v>0.28999999999999998</v>
      </c>
      <c r="G16" s="334">
        <f>E16*(1-F16)</f>
        <v>2385.6</v>
      </c>
      <c r="H16" s="337" t="s">
        <v>120</v>
      </c>
      <c r="N16" s="210"/>
      <c r="O16" s="210"/>
      <c r="P16" s="210"/>
      <c r="Q16" s="210"/>
      <c r="R16" s="210"/>
      <c r="S16" s="210"/>
    </row>
    <row r="17" spans="1:19" s="211" customFormat="1" ht="24">
      <c r="A17" s="329"/>
      <c r="B17" s="212" t="s">
        <v>121</v>
      </c>
      <c r="C17" s="270">
        <v>1</v>
      </c>
      <c r="D17" s="271">
        <v>21600</v>
      </c>
      <c r="E17" s="334">
        <f t="shared" si="0"/>
        <v>21600</v>
      </c>
      <c r="F17" s="335">
        <v>0.28999999999999998</v>
      </c>
      <c r="G17" s="334">
        <f>E17*(1-F18)</f>
        <v>15336</v>
      </c>
      <c r="H17" s="337" t="s">
        <v>122</v>
      </c>
      <c r="N17" s="210"/>
      <c r="O17" s="210"/>
      <c r="P17" s="210"/>
      <c r="Q17" s="210"/>
      <c r="R17" s="210"/>
      <c r="S17" s="210"/>
    </row>
    <row r="18" spans="1:19" s="211" customFormat="1">
      <c r="A18" s="329"/>
      <c r="B18" s="212" t="s">
        <v>123</v>
      </c>
      <c r="C18" s="270">
        <v>1</v>
      </c>
      <c r="D18" s="271">
        <v>6480</v>
      </c>
      <c r="E18" s="334">
        <f t="shared" si="0"/>
        <v>6480</v>
      </c>
      <c r="F18" s="335">
        <v>0.28999999999999998</v>
      </c>
      <c r="G18" s="334">
        <f>E18*(1-F19)</f>
        <v>4600.8</v>
      </c>
      <c r="H18" s="337"/>
      <c r="N18" s="210"/>
      <c r="O18" s="210"/>
      <c r="P18" s="210"/>
      <c r="Q18" s="210"/>
      <c r="R18" s="210"/>
      <c r="S18" s="210"/>
    </row>
    <row r="19" spans="1:19" s="211" customFormat="1" ht="24">
      <c r="A19" s="329"/>
      <c r="B19" s="212" t="s">
        <v>124</v>
      </c>
      <c r="C19" s="270">
        <v>1</v>
      </c>
      <c r="D19" s="271">
        <v>6480</v>
      </c>
      <c r="E19" s="334">
        <f t="shared" si="0"/>
        <v>6480</v>
      </c>
      <c r="F19" s="335">
        <v>0.28999999999999998</v>
      </c>
      <c r="G19" s="334">
        <f>E19*(1-F19)</f>
        <v>4600.8</v>
      </c>
      <c r="H19" s="337"/>
      <c r="N19" s="210"/>
      <c r="O19" s="210"/>
      <c r="P19" s="210"/>
      <c r="Q19" s="210"/>
      <c r="R19" s="210"/>
      <c r="S19" s="210"/>
    </row>
    <row r="20" spans="1:19" s="211" customFormat="1" ht="24">
      <c r="A20" s="329"/>
      <c r="B20" s="338" t="s">
        <v>125</v>
      </c>
      <c r="C20" s="213">
        <f>SUM(C13:C19)</f>
        <v>141</v>
      </c>
      <c r="D20" s="289">
        <f>SUM(D13:D19)</f>
        <v>79512</v>
      </c>
      <c r="E20" s="339">
        <f>SUM(E13:E19)</f>
        <v>154800</v>
      </c>
      <c r="F20" s="340"/>
      <c r="G20" s="339">
        <f>SUM(G13:G19)</f>
        <v>109908</v>
      </c>
      <c r="H20" s="338"/>
    </row>
    <row r="21" spans="1:19" s="211" customFormat="1" ht="35.25" customHeight="1">
      <c r="A21" s="329"/>
      <c r="B21" s="330" t="s">
        <v>126</v>
      </c>
      <c r="C21" s="273" t="s">
        <v>108</v>
      </c>
      <c r="D21" s="274" t="s">
        <v>109</v>
      </c>
      <c r="E21" s="330" t="s">
        <v>110</v>
      </c>
      <c r="F21" s="330" t="s">
        <v>111</v>
      </c>
      <c r="G21" s="330" t="s">
        <v>112</v>
      </c>
      <c r="H21" s="330"/>
    </row>
    <row r="22" spans="1:19" s="211" customFormat="1" ht="24">
      <c r="A22" s="329"/>
      <c r="B22" s="212" t="s">
        <v>127</v>
      </c>
      <c r="C22" s="270">
        <v>1</v>
      </c>
      <c r="D22" s="271">
        <v>8160</v>
      </c>
      <c r="E22" s="334">
        <f>C22*D22</f>
        <v>8160</v>
      </c>
      <c r="F22" s="335">
        <v>0.28999999999999998</v>
      </c>
      <c r="G22" s="334">
        <f>E22*(1-F22)</f>
        <v>5793.5999999999995</v>
      </c>
      <c r="H22" s="337" t="s">
        <v>128</v>
      </c>
    </row>
    <row r="23" spans="1:19" s="211" customFormat="1" ht="24">
      <c r="A23" s="329"/>
      <c r="B23" s="212" t="s">
        <v>129</v>
      </c>
      <c r="C23" s="270">
        <v>1</v>
      </c>
      <c r="D23" s="271">
        <v>6720</v>
      </c>
      <c r="E23" s="334">
        <f>C23*D23</f>
        <v>6720</v>
      </c>
      <c r="F23" s="335">
        <v>0.28999999999999998</v>
      </c>
      <c r="G23" s="334">
        <f>E23*(1-F23)</f>
        <v>4771.2</v>
      </c>
      <c r="H23" s="337" t="s">
        <v>130</v>
      </c>
    </row>
    <row r="24" spans="1:19" s="211" customFormat="1" ht="24">
      <c r="A24" s="329"/>
      <c r="B24" s="212" t="s">
        <v>131</v>
      </c>
      <c r="C24" s="270">
        <v>1</v>
      </c>
      <c r="D24" s="271">
        <v>6555</v>
      </c>
      <c r="E24" s="334">
        <f>C24*D24</f>
        <v>6555</v>
      </c>
      <c r="F24" s="335"/>
      <c r="G24" s="334">
        <f>E24*(1-F24)</f>
        <v>6555</v>
      </c>
      <c r="H24" s="337" t="s">
        <v>132</v>
      </c>
    </row>
    <row r="25" spans="1:19" ht="24">
      <c r="A25" s="341" t="s">
        <v>133</v>
      </c>
      <c r="B25" s="212" t="s">
        <v>134</v>
      </c>
      <c r="C25" s="270">
        <v>1</v>
      </c>
      <c r="D25" s="271">
        <v>8640</v>
      </c>
      <c r="E25" s="334">
        <f t="shared" ref="E25:E27" si="1">C25*D25</f>
        <v>8640</v>
      </c>
      <c r="F25" s="335">
        <v>0.28999999999999998</v>
      </c>
      <c r="G25" s="334">
        <f t="shared" ref="G25:G27" si="2">E25*(1-F25)</f>
        <v>6134.4</v>
      </c>
      <c r="H25" s="337" t="s">
        <v>135</v>
      </c>
    </row>
    <row r="26" spans="1:19" ht="24">
      <c r="A26" s="341" t="s">
        <v>133</v>
      </c>
      <c r="B26" s="212" t="s">
        <v>136</v>
      </c>
      <c r="C26" s="270">
        <v>1</v>
      </c>
      <c r="D26" s="271">
        <v>240</v>
      </c>
      <c r="E26" s="334">
        <f t="shared" si="1"/>
        <v>240</v>
      </c>
      <c r="F26" s="335">
        <v>0.28999999999999998</v>
      </c>
      <c r="G26" s="334">
        <f t="shared" si="2"/>
        <v>170.39999999999998</v>
      </c>
      <c r="H26" s="337" t="s">
        <v>137</v>
      </c>
    </row>
    <row r="27" spans="1:19" ht="31.15" customHeight="1">
      <c r="A27" s="341" t="s">
        <v>133</v>
      </c>
      <c r="B27" s="212" t="s">
        <v>138</v>
      </c>
      <c r="C27" s="270">
        <v>1</v>
      </c>
      <c r="D27" s="271">
        <v>720</v>
      </c>
      <c r="E27" s="334">
        <f t="shared" si="1"/>
        <v>720</v>
      </c>
      <c r="F27" s="335">
        <v>0.28999999999999998</v>
      </c>
      <c r="G27" s="334">
        <f t="shared" si="2"/>
        <v>511.2</v>
      </c>
      <c r="H27" s="337" t="s">
        <v>139</v>
      </c>
    </row>
    <row r="28" spans="1:19" s="211" customFormat="1" ht="12.75">
      <c r="A28" s="329"/>
      <c r="B28" s="338" t="s">
        <v>140</v>
      </c>
      <c r="C28" s="213">
        <f>SUM(C22:C27)</f>
        <v>6</v>
      </c>
      <c r="D28" s="342">
        <f>SUM(D22:D27)</f>
        <v>31035</v>
      </c>
      <c r="E28" s="339">
        <f>SUM(E22:E27)</f>
        <v>31035</v>
      </c>
      <c r="F28" s="340"/>
      <c r="G28" s="339">
        <f>SUM(G22:G27)</f>
        <v>23935.8</v>
      </c>
      <c r="H28" s="338"/>
    </row>
    <row r="29" spans="1:19" s="211" customFormat="1" ht="24">
      <c r="A29" s="329"/>
      <c r="B29" s="330" t="s">
        <v>141</v>
      </c>
      <c r="C29" s="330" t="s">
        <v>101</v>
      </c>
      <c r="D29" s="331" t="s">
        <v>109</v>
      </c>
      <c r="E29" s="330" t="s">
        <v>110</v>
      </c>
      <c r="F29" s="330" t="s">
        <v>111</v>
      </c>
      <c r="G29" s="330" t="s">
        <v>112</v>
      </c>
      <c r="H29" s="330"/>
    </row>
    <row r="30" spans="1:19" ht="24">
      <c r="B30" s="212" t="s">
        <v>142</v>
      </c>
      <c r="C30" s="270">
        <v>1</v>
      </c>
      <c r="D30" s="271">
        <v>16980</v>
      </c>
      <c r="E30" s="334">
        <f>C30*D30</f>
        <v>16980</v>
      </c>
      <c r="F30" s="335">
        <v>0.28999999999999998</v>
      </c>
      <c r="G30" s="334">
        <f>E30*(1-F30)</f>
        <v>12055.8</v>
      </c>
      <c r="H30" s="337"/>
    </row>
    <row r="31" spans="1:19" ht="72">
      <c r="B31" s="212" t="s">
        <v>143</v>
      </c>
      <c r="C31" s="270">
        <v>1</v>
      </c>
      <c r="D31" s="271">
        <v>27960</v>
      </c>
      <c r="E31" s="334">
        <f>C31*D31</f>
        <v>27960</v>
      </c>
      <c r="F31" s="335">
        <v>0.28999999999999998</v>
      </c>
      <c r="G31" s="334">
        <f>E31*(1-F31)</f>
        <v>19851.599999999999</v>
      </c>
      <c r="H31" s="337" t="s">
        <v>144</v>
      </c>
    </row>
    <row r="32" spans="1:19" ht="24">
      <c r="B32" s="212" t="s">
        <v>145</v>
      </c>
      <c r="C32" s="270">
        <v>1</v>
      </c>
      <c r="D32" s="271">
        <v>12960</v>
      </c>
      <c r="E32" s="334">
        <f>C32*D32</f>
        <v>12960</v>
      </c>
      <c r="F32" s="335">
        <v>0.28999999999999998</v>
      </c>
      <c r="G32" s="334">
        <f>E32*(1-F32)</f>
        <v>9201.6</v>
      </c>
      <c r="H32" s="337"/>
    </row>
    <row r="33" spans="1:8" s="211" customFormat="1" ht="12.75">
      <c r="A33" s="329"/>
      <c r="B33" s="338" t="s">
        <v>146</v>
      </c>
      <c r="C33" s="213">
        <f>SUM(C30:C32)</f>
        <v>3</v>
      </c>
      <c r="D33" s="342">
        <f>SUM(D30:D32)</f>
        <v>57900</v>
      </c>
      <c r="E33" s="339">
        <f>SUM(E30:E32)</f>
        <v>57900</v>
      </c>
      <c r="F33" s="340"/>
      <c r="G33" s="339">
        <f>SUM(G30:G32)</f>
        <v>41109</v>
      </c>
      <c r="H33" s="338"/>
    </row>
    <row r="34" spans="1:8" ht="34.15" customHeight="1">
      <c r="B34" s="330" t="s">
        <v>147</v>
      </c>
      <c r="C34" s="330" t="s">
        <v>101</v>
      </c>
      <c r="D34" s="331" t="s">
        <v>109</v>
      </c>
      <c r="E34" s="330" t="s">
        <v>112</v>
      </c>
      <c r="F34" s="330" t="s">
        <v>111</v>
      </c>
      <c r="G34" s="330" t="s">
        <v>112</v>
      </c>
      <c r="H34" s="330"/>
    </row>
    <row r="35" spans="1:8">
      <c r="B35" s="212" t="s">
        <v>65</v>
      </c>
      <c r="C35" s="270"/>
      <c r="D35" s="271"/>
      <c r="E35" s="334">
        <f t="shared" ref="E35:E37" si="3">C35*D35</f>
        <v>0</v>
      </c>
      <c r="F35" s="335"/>
      <c r="G35" s="334">
        <f t="shared" ref="G35:G37" si="4">E35*(1-F35)</f>
        <v>0</v>
      </c>
      <c r="H35" s="337"/>
    </row>
    <row r="36" spans="1:8" ht="24">
      <c r="B36" s="212" t="s">
        <v>148</v>
      </c>
      <c r="C36" s="270">
        <v>1</v>
      </c>
      <c r="D36" s="271"/>
      <c r="E36" s="334">
        <f t="shared" si="3"/>
        <v>0</v>
      </c>
      <c r="F36" s="335">
        <v>0.28999999999999998</v>
      </c>
      <c r="G36" s="334">
        <f t="shared" si="4"/>
        <v>0</v>
      </c>
      <c r="H36" s="337" t="s">
        <v>149</v>
      </c>
    </row>
    <row r="37" spans="1:8">
      <c r="B37" s="212" t="s">
        <v>150</v>
      </c>
      <c r="C37" s="270">
        <v>1</v>
      </c>
      <c r="D37" s="271">
        <v>16980</v>
      </c>
      <c r="E37" s="334">
        <f t="shared" si="3"/>
        <v>16980</v>
      </c>
      <c r="F37" s="335">
        <v>0.28999999999999998</v>
      </c>
      <c r="G37" s="334">
        <f t="shared" si="4"/>
        <v>12055.8</v>
      </c>
      <c r="H37" s="337"/>
    </row>
    <row r="38" spans="1:8">
      <c r="B38" s="212"/>
      <c r="C38" s="270"/>
      <c r="D38" s="271"/>
      <c r="E38" s="334"/>
      <c r="F38" s="335"/>
      <c r="G38" s="334"/>
      <c r="H38" s="337"/>
    </row>
    <row r="39" spans="1:8">
      <c r="B39" s="212"/>
      <c r="C39" s="270"/>
      <c r="D39" s="271"/>
      <c r="E39" s="334"/>
      <c r="F39" s="335"/>
      <c r="G39" s="334"/>
      <c r="H39" s="337"/>
    </row>
    <row r="40" spans="1:8" ht="31.15" customHeight="1">
      <c r="B40" s="212"/>
      <c r="C40" s="270"/>
      <c r="D40" s="271"/>
      <c r="E40" s="334"/>
      <c r="F40" s="335"/>
      <c r="G40" s="334"/>
      <c r="H40" s="337"/>
    </row>
    <row r="41" spans="1:8">
      <c r="B41" s="338" t="s">
        <v>151</v>
      </c>
      <c r="C41" s="213">
        <f>SUM(C35:C40)</f>
        <v>2</v>
      </c>
      <c r="D41" s="342">
        <f>SUM(D35:D40)</f>
        <v>16980</v>
      </c>
      <c r="E41" s="339">
        <f>SUM(E35:E40)</f>
        <v>16980</v>
      </c>
      <c r="F41" s="340"/>
      <c r="G41" s="339">
        <f>SUM(G35:G40)</f>
        <v>12055.8</v>
      </c>
      <c r="H41" s="338"/>
    </row>
    <row r="42" spans="1:8">
      <c r="A42" s="24"/>
      <c r="B42" s="40"/>
      <c r="C42" s="140"/>
      <c r="D42" s="151"/>
      <c r="E42" s="24"/>
      <c r="F42" s="24"/>
      <c r="G42" s="24"/>
      <c r="H42" s="343"/>
    </row>
    <row r="43" spans="1:8" ht="27.75">
      <c r="B43" s="24"/>
      <c r="C43" s="206" t="s">
        <v>35</v>
      </c>
      <c r="D43" s="275"/>
      <c r="E43" s="254"/>
      <c r="F43" s="254"/>
      <c r="G43" s="214">
        <f>G20+G28+G33+G41</f>
        <v>187008.59999999998</v>
      </c>
      <c r="H43" s="344"/>
    </row>
    <row r="44" spans="1:8">
      <c r="A44" s="24"/>
      <c r="B44" s="24"/>
      <c r="C44" s="24"/>
      <c r="D44" s="151"/>
      <c r="E44" s="24"/>
      <c r="F44" s="24"/>
      <c r="G44" s="33"/>
      <c r="H44" s="187"/>
    </row>
    <row r="45" spans="1:8">
      <c r="A45" s="24"/>
      <c r="B45" s="24"/>
      <c r="C45" s="24"/>
      <c r="D45" s="151"/>
      <c r="E45" s="151"/>
      <c r="F45" s="24"/>
      <c r="G45" s="33"/>
      <c r="H45" s="187"/>
    </row>
    <row r="46" spans="1:8">
      <c r="A46" s="24"/>
      <c r="B46" s="24"/>
      <c r="C46" s="24"/>
      <c r="D46" s="151"/>
      <c r="E46" s="152"/>
      <c r="F46" s="24"/>
      <c r="G46" s="33"/>
      <c r="H46" s="187"/>
    </row>
    <row r="47" spans="1:8">
      <c r="A47" s="24"/>
      <c r="B47" s="426" t="s">
        <v>152</v>
      </c>
      <c r="C47" s="426"/>
      <c r="D47" s="426"/>
      <c r="E47" s="426"/>
      <c r="F47" s="426"/>
      <c r="G47" s="426"/>
      <c r="H47" s="427"/>
    </row>
    <row r="48" spans="1:8">
      <c r="A48" s="24"/>
      <c r="B48" s="24"/>
      <c r="C48" s="24"/>
      <c r="D48" s="151"/>
      <c r="E48" s="152"/>
      <c r="F48" s="24"/>
      <c r="G48" s="33"/>
      <c r="H48" s="187"/>
    </row>
    <row r="49" spans="1:8">
      <c r="A49" s="24"/>
      <c r="B49" s="24"/>
      <c r="C49" s="24"/>
      <c r="D49" s="151"/>
      <c r="E49" s="151"/>
      <c r="F49" s="24"/>
      <c r="G49" s="33"/>
      <c r="H49" s="187"/>
    </row>
    <row r="50" spans="1:8">
      <c r="A50" s="24"/>
      <c r="B50" s="24"/>
      <c r="C50" s="24"/>
      <c r="D50" s="151"/>
      <c r="E50" s="24"/>
      <c r="F50" s="24"/>
      <c r="G50" s="24"/>
      <c r="H50" s="187"/>
    </row>
    <row r="51" spans="1:8">
      <c r="A51" s="24"/>
      <c r="B51" s="24"/>
      <c r="C51" s="24"/>
      <c r="D51" s="151"/>
      <c r="E51" s="24"/>
      <c r="F51" s="24"/>
      <c r="G51" s="24"/>
      <c r="H51" s="187"/>
    </row>
    <row r="52" spans="1:8">
      <c r="A52" s="24"/>
      <c r="B52" s="24"/>
      <c r="C52" s="24"/>
      <c r="D52" s="151"/>
      <c r="E52" s="24"/>
      <c r="F52" s="24"/>
      <c r="G52" s="24"/>
      <c r="H52" s="187"/>
    </row>
    <row r="53" spans="1:8">
      <c r="A53" s="24"/>
      <c r="B53" s="24"/>
      <c r="C53" s="24"/>
      <c r="D53" s="151"/>
      <c r="E53" s="24"/>
      <c r="F53" s="24"/>
      <c r="G53" s="24"/>
      <c r="H53" s="187"/>
    </row>
    <row r="54" spans="1:8">
      <c r="A54" s="24"/>
      <c r="B54" s="24"/>
      <c r="C54" s="24"/>
      <c r="D54" s="151"/>
      <c r="E54" s="24"/>
      <c r="F54" s="24"/>
      <c r="G54" s="24"/>
      <c r="H54" s="187"/>
    </row>
    <row r="55" spans="1:8">
      <c r="A55" s="24"/>
      <c r="B55" s="24"/>
      <c r="C55" s="24"/>
      <c r="D55" s="151"/>
      <c r="E55" s="24"/>
      <c r="F55" s="24"/>
      <c r="G55" s="24"/>
      <c r="H55" s="187"/>
    </row>
    <row r="56" spans="1:8">
      <c r="A56" s="24"/>
      <c r="B56" s="24"/>
      <c r="C56" s="24"/>
      <c r="D56" s="151"/>
      <c r="E56" s="24"/>
      <c r="F56" s="24"/>
      <c r="G56" s="24"/>
      <c r="H56" s="187"/>
    </row>
    <row r="57" spans="1:8">
      <c r="A57" s="24"/>
      <c r="B57" s="24"/>
      <c r="C57" s="24"/>
      <c r="D57" s="151"/>
      <c r="E57" s="24"/>
      <c r="F57" s="24"/>
      <c r="G57" s="24"/>
      <c r="H57" s="187"/>
    </row>
    <row r="58" spans="1:8">
      <c r="A58" s="24"/>
      <c r="B58" s="24"/>
      <c r="C58" s="24"/>
      <c r="D58" s="151"/>
      <c r="E58" s="24"/>
      <c r="F58" s="24"/>
      <c r="G58" s="24"/>
      <c r="H58" s="187"/>
    </row>
    <row r="59" spans="1:8">
      <c r="A59" s="24"/>
      <c r="B59" s="24"/>
      <c r="C59" s="24"/>
      <c r="D59" s="151"/>
      <c r="E59" s="24"/>
      <c r="F59" s="24"/>
      <c r="G59" s="24"/>
      <c r="H59" s="187"/>
    </row>
    <row r="60" spans="1:8">
      <c r="A60" s="24"/>
      <c r="B60" s="24"/>
      <c r="C60" s="24"/>
      <c r="D60" s="151"/>
      <c r="E60" s="24"/>
      <c r="F60" s="24"/>
      <c r="G60" s="24"/>
      <c r="H60" s="187"/>
    </row>
    <row r="61" spans="1:8">
      <c r="A61" s="24"/>
      <c r="B61" s="24"/>
      <c r="C61" s="24"/>
      <c r="D61" s="151"/>
      <c r="E61" s="24"/>
      <c r="F61" s="24"/>
      <c r="G61" s="24"/>
      <c r="H61" s="187"/>
    </row>
    <row r="62" spans="1:8">
      <c r="A62" s="24"/>
      <c r="B62" s="24"/>
      <c r="C62" s="24"/>
      <c r="D62" s="151"/>
      <c r="E62" s="24"/>
      <c r="F62" s="24"/>
      <c r="G62" s="24"/>
      <c r="H62" s="187"/>
    </row>
    <row r="66" spans="2:4">
      <c r="B66" s="24"/>
      <c r="C66" s="24"/>
      <c r="D66" s="267"/>
    </row>
    <row r="67" spans="2:4">
      <c r="D67" s="267"/>
    </row>
    <row r="68" spans="2:4">
      <c r="D68" s="267"/>
    </row>
    <row r="69" spans="2:4">
      <c r="D69" s="267"/>
    </row>
  </sheetData>
  <mergeCells count="6">
    <mergeCell ref="B47:H47"/>
    <mergeCell ref="E3:F3"/>
    <mergeCell ref="E4:F4"/>
    <mergeCell ref="B6:H8"/>
    <mergeCell ref="B9:C9"/>
    <mergeCell ref="E10:G10"/>
  </mergeCells>
  <pageMargins left="0.7" right="0.7" top="0.75" bottom="0.75" header="0.3" footer="0.3"/>
  <pageSetup paperSize="9" orientation="portrait" r:id="rId1"/>
  <customProperties>
    <customPr name="OrphanNamesChecke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7BDB-AFDC-4452-9E32-0E51DA997F13}">
  <dimension ref="A1:V206"/>
  <sheetViews>
    <sheetView topLeftCell="D1" zoomScale="115" zoomScaleNormal="115" workbookViewId="0">
      <selection activeCell="J52" sqref="J52"/>
    </sheetView>
  </sheetViews>
  <sheetFormatPr defaultColWidth="11.28515625" defaultRowHeight="12.75"/>
  <cols>
    <col min="1" max="1" width="3.28515625" style="5" customWidth="1"/>
    <col min="2" max="2" width="66.42578125" style="5" customWidth="1"/>
    <col min="3" max="3" width="15.7109375" style="5" customWidth="1"/>
    <col min="4" max="4" width="15.28515625" style="5" bestFit="1" customWidth="1"/>
    <col min="5" max="6" width="15.7109375" style="5" customWidth="1"/>
    <col min="7" max="7" width="15.7109375" style="11" customWidth="1"/>
    <col min="8" max="8" width="15.7109375" style="12" customWidth="1"/>
    <col min="9" max="10" width="15.7109375" style="5" customWidth="1"/>
    <col min="11" max="11" width="25.28515625" style="157" customWidth="1"/>
    <col min="12" max="12" width="25.28515625" style="219" customWidth="1"/>
    <col min="13" max="13" width="19.28515625" style="5" customWidth="1"/>
    <col min="14" max="14" width="16.28515625" style="5" customWidth="1"/>
    <col min="15" max="15" width="20.28515625" style="5" customWidth="1"/>
    <col min="16" max="17" width="19.7109375" style="5" customWidth="1"/>
    <col min="18" max="18" width="10.28515625" style="5" bestFit="1" customWidth="1"/>
    <col min="19" max="20" width="11.28515625" style="5"/>
    <col min="21" max="21" width="32.28515625" style="12" customWidth="1"/>
    <col min="22" max="22" width="4.28515625" style="5" customWidth="1"/>
    <col min="23" max="77" width="11.28515625" style="5"/>
    <col min="78" max="78" width="0" style="5" hidden="1" customWidth="1"/>
    <col min="79" max="79" width="68.28515625" style="5" customWidth="1"/>
    <col min="80" max="82" width="16.28515625" style="5" customWidth="1"/>
    <col min="83" max="83" width="42.7109375" style="5" customWidth="1"/>
    <col min="84" max="333" width="11.28515625" style="5"/>
    <col min="334" max="334" width="0" style="5" hidden="1" customWidth="1"/>
    <col min="335" max="335" width="68.28515625" style="5" customWidth="1"/>
    <col min="336" max="338" width="16.28515625" style="5" customWidth="1"/>
    <col min="339" max="339" width="42.7109375" style="5" customWidth="1"/>
    <col min="340" max="589" width="11.28515625" style="5"/>
    <col min="590" max="590" width="0" style="5" hidden="1" customWidth="1"/>
    <col min="591" max="591" width="68.28515625" style="5" customWidth="1"/>
    <col min="592" max="594" width="16.28515625" style="5" customWidth="1"/>
    <col min="595" max="595" width="42.7109375" style="5" customWidth="1"/>
    <col min="596" max="845" width="11.28515625" style="5"/>
    <col min="846" max="846" width="0" style="5" hidden="1" customWidth="1"/>
    <col min="847" max="847" width="68.28515625" style="5" customWidth="1"/>
    <col min="848" max="850" width="16.28515625" style="5" customWidth="1"/>
    <col min="851" max="851" width="42.7109375" style="5" customWidth="1"/>
    <col min="852" max="1101" width="11.28515625" style="5"/>
    <col min="1102" max="1102" width="0" style="5" hidden="1" customWidth="1"/>
    <col min="1103" max="1103" width="68.28515625" style="5" customWidth="1"/>
    <col min="1104" max="1106" width="16.28515625" style="5" customWidth="1"/>
    <col min="1107" max="1107" width="42.7109375" style="5" customWidth="1"/>
    <col min="1108" max="1357" width="11.28515625" style="5"/>
    <col min="1358" max="1358" width="0" style="5" hidden="1" customWidth="1"/>
    <col min="1359" max="1359" width="68.28515625" style="5" customWidth="1"/>
    <col min="1360" max="1362" width="16.28515625" style="5" customWidth="1"/>
    <col min="1363" max="1363" width="42.7109375" style="5" customWidth="1"/>
    <col min="1364" max="1613" width="11.28515625" style="5"/>
    <col min="1614" max="1614" width="0" style="5" hidden="1" customWidth="1"/>
    <col min="1615" max="1615" width="68.28515625" style="5" customWidth="1"/>
    <col min="1616" max="1618" width="16.28515625" style="5" customWidth="1"/>
    <col min="1619" max="1619" width="42.7109375" style="5" customWidth="1"/>
    <col min="1620" max="1869" width="11.28515625" style="5"/>
    <col min="1870" max="1870" width="0" style="5" hidden="1" customWidth="1"/>
    <col min="1871" max="1871" width="68.28515625" style="5" customWidth="1"/>
    <col min="1872" max="1874" width="16.28515625" style="5" customWidth="1"/>
    <col min="1875" max="1875" width="42.7109375" style="5" customWidth="1"/>
    <col min="1876" max="2125" width="11.28515625" style="5"/>
    <col min="2126" max="2126" width="0" style="5" hidden="1" customWidth="1"/>
    <col min="2127" max="2127" width="68.28515625" style="5" customWidth="1"/>
    <col min="2128" max="2130" width="16.28515625" style="5" customWidth="1"/>
    <col min="2131" max="2131" width="42.7109375" style="5" customWidth="1"/>
    <col min="2132" max="2381" width="11.28515625" style="5"/>
    <col min="2382" max="2382" width="0" style="5" hidden="1" customWidth="1"/>
    <col min="2383" max="2383" width="68.28515625" style="5" customWidth="1"/>
    <col min="2384" max="2386" width="16.28515625" style="5" customWidth="1"/>
    <col min="2387" max="2387" width="42.7109375" style="5" customWidth="1"/>
    <col min="2388" max="2637" width="11.28515625" style="5"/>
    <col min="2638" max="2638" width="0" style="5" hidden="1" customWidth="1"/>
    <col min="2639" max="2639" width="68.28515625" style="5" customWidth="1"/>
    <col min="2640" max="2642" width="16.28515625" style="5" customWidth="1"/>
    <col min="2643" max="2643" width="42.7109375" style="5" customWidth="1"/>
    <col min="2644" max="2893" width="11.28515625" style="5"/>
    <col min="2894" max="2894" width="0" style="5" hidden="1" customWidth="1"/>
    <col min="2895" max="2895" width="68.28515625" style="5" customWidth="1"/>
    <col min="2896" max="2898" width="16.28515625" style="5" customWidth="1"/>
    <col min="2899" max="2899" width="42.7109375" style="5" customWidth="1"/>
    <col min="2900" max="3149" width="11.28515625" style="5"/>
    <col min="3150" max="3150" width="0" style="5" hidden="1" customWidth="1"/>
    <col min="3151" max="3151" width="68.28515625" style="5" customWidth="1"/>
    <col min="3152" max="3154" width="16.28515625" style="5" customWidth="1"/>
    <col min="3155" max="3155" width="42.7109375" style="5" customWidth="1"/>
    <col min="3156" max="3405" width="11.28515625" style="5"/>
    <col min="3406" max="3406" width="0" style="5" hidden="1" customWidth="1"/>
    <col min="3407" max="3407" width="68.28515625" style="5" customWidth="1"/>
    <col min="3408" max="3410" width="16.28515625" style="5" customWidth="1"/>
    <col min="3411" max="3411" width="42.7109375" style="5" customWidth="1"/>
    <col min="3412" max="3661" width="11.28515625" style="5"/>
    <col min="3662" max="3662" width="0" style="5" hidden="1" customWidth="1"/>
    <col min="3663" max="3663" width="68.28515625" style="5" customWidth="1"/>
    <col min="3664" max="3666" width="16.28515625" style="5" customWidth="1"/>
    <col min="3667" max="3667" width="42.7109375" style="5" customWidth="1"/>
    <col min="3668" max="3917" width="11.28515625" style="5"/>
    <col min="3918" max="3918" width="0" style="5" hidden="1" customWidth="1"/>
    <col min="3919" max="3919" width="68.28515625" style="5" customWidth="1"/>
    <col min="3920" max="3922" width="16.28515625" style="5" customWidth="1"/>
    <col min="3923" max="3923" width="42.7109375" style="5" customWidth="1"/>
    <col min="3924" max="4173" width="11.28515625" style="5"/>
    <col min="4174" max="4174" width="0" style="5" hidden="1" customWidth="1"/>
    <col min="4175" max="4175" width="68.28515625" style="5" customWidth="1"/>
    <col min="4176" max="4178" width="16.28515625" style="5" customWidth="1"/>
    <col min="4179" max="4179" width="42.7109375" style="5" customWidth="1"/>
    <col min="4180" max="4429" width="11.28515625" style="5"/>
    <col min="4430" max="4430" width="0" style="5" hidden="1" customWidth="1"/>
    <col min="4431" max="4431" width="68.28515625" style="5" customWidth="1"/>
    <col min="4432" max="4434" width="16.28515625" style="5" customWidth="1"/>
    <col min="4435" max="4435" width="42.7109375" style="5" customWidth="1"/>
    <col min="4436" max="4685" width="11.28515625" style="5"/>
    <col min="4686" max="4686" width="0" style="5" hidden="1" customWidth="1"/>
    <col min="4687" max="4687" width="68.28515625" style="5" customWidth="1"/>
    <col min="4688" max="4690" width="16.28515625" style="5" customWidth="1"/>
    <col min="4691" max="4691" width="42.7109375" style="5" customWidth="1"/>
    <col min="4692" max="4941" width="11.28515625" style="5"/>
    <col min="4942" max="4942" width="0" style="5" hidden="1" customWidth="1"/>
    <col min="4943" max="4943" width="68.28515625" style="5" customWidth="1"/>
    <col min="4944" max="4946" width="16.28515625" style="5" customWidth="1"/>
    <col min="4947" max="4947" width="42.7109375" style="5" customWidth="1"/>
    <col min="4948" max="5197" width="11.28515625" style="5"/>
    <col min="5198" max="5198" width="0" style="5" hidden="1" customWidth="1"/>
    <col min="5199" max="5199" width="68.28515625" style="5" customWidth="1"/>
    <col min="5200" max="5202" width="16.28515625" style="5" customWidth="1"/>
    <col min="5203" max="5203" width="42.7109375" style="5" customWidth="1"/>
    <col min="5204" max="5453" width="11.28515625" style="5"/>
    <col min="5454" max="5454" width="0" style="5" hidden="1" customWidth="1"/>
    <col min="5455" max="5455" width="68.28515625" style="5" customWidth="1"/>
    <col min="5456" max="5458" width="16.28515625" style="5" customWidth="1"/>
    <col min="5459" max="5459" width="42.7109375" style="5" customWidth="1"/>
    <col min="5460" max="5709" width="11.28515625" style="5"/>
    <col min="5710" max="5710" width="0" style="5" hidden="1" customWidth="1"/>
    <col min="5711" max="5711" width="68.28515625" style="5" customWidth="1"/>
    <col min="5712" max="5714" width="16.28515625" style="5" customWidth="1"/>
    <col min="5715" max="5715" width="42.7109375" style="5" customWidth="1"/>
    <col min="5716" max="5965" width="11.28515625" style="5"/>
    <col min="5966" max="5966" width="0" style="5" hidden="1" customWidth="1"/>
    <col min="5967" max="5967" width="68.28515625" style="5" customWidth="1"/>
    <col min="5968" max="5970" width="16.28515625" style="5" customWidth="1"/>
    <col min="5971" max="5971" width="42.7109375" style="5" customWidth="1"/>
    <col min="5972" max="6221" width="11.28515625" style="5"/>
    <col min="6222" max="6222" width="0" style="5" hidden="1" customWidth="1"/>
    <col min="6223" max="6223" width="68.28515625" style="5" customWidth="1"/>
    <col min="6224" max="6226" width="16.28515625" style="5" customWidth="1"/>
    <col min="6227" max="6227" width="42.7109375" style="5" customWidth="1"/>
    <col min="6228" max="6477" width="11.28515625" style="5"/>
    <col min="6478" max="6478" width="0" style="5" hidden="1" customWidth="1"/>
    <col min="6479" max="6479" width="68.28515625" style="5" customWidth="1"/>
    <col min="6480" max="6482" width="16.28515625" style="5" customWidth="1"/>
    <col min="6483" max="6483" width="42.7109375" style="5" customWidth="1"/>
    <col min="6484" max="6733" width="11.28515625" style="5"/>
    <col min="6734" max="6734" width="0" style="5" hidden="1" customWidth="1"/>
    <col min="6735" max="6735" width="68.28515625" style="5" customWidth="1"/>
    <col min="6736" max="6738" width="16.28515625" style="5" customWidth="1"/>
    <col min="6739" max="6739" width="42.7109375" style="5" customWidth="1"/>
    <col min="6740" max="6989" width="11.28515625" style="5"/>
    <col min="6990" max="6990" width="0" style="5" hidden="1" customWidth="1"/>
    <col min="6991" max="6991" width="68.28515625" style="5" customWidth="1"/>
    <col min="6992" max="6994" width="16.28515625" style="5" customWidth="1"/>
    <col min="6995" max="6995" width="42.7109375" style="5" customWidth="1"/>
    <col min="6996" max="7245" width="11.28515625" style="5"/>
    <col min="7246" max="7246" width="0" style="5" hidden="1" customWidth="1"/>
    <col min="7247" max="7247" width="68.28515625" style="5" customWidth="1"/>
    <col min="7248" max="7250" width="16.28515625" style="5" customWidth="1"/>
    <col min="7251" max="7251" width="42.7109375" style="5" customWidth="1"/>
    <col min="7252" max="7501" width="11.28515625" style="5"/>
    <col min="7502" max="7502" width="0" style="5" hidden="1" customWidth="1"/>
    <col min="7503" max="7503" width="68.28515625" style="5" customWidth="1"/>
    <col min="7504" max="7506" width="16.28515625" style="5" customWidth="1"/>
    <col min="7507" max="7507" width="42.7109375" style="5" customWidth="1"/>
    <col min="7508" max="7757" width="11.28515625" style="5"/>
    <col min="7758" max="7758" width="0" style="5" hidden="1" customWidth="1"/>
    <col min="7759" max="7759" width="68.28515625" style="5" customWidth="1"/>
    <col min="7760" max="7762" width="16.28515625" style="5" customWidth="1"/>
    <col min="7763" max="7763" width="42.7109375" style="5" customWidth="1"/>
    <col min="7764" max="8013" width="11.28515625" style="5"/>
    <col min="8014" max="8014" width="0" style="5" hidden="1" customWidth="1"/>
    <col min="8015" max="8015" width="68.28515625" style="5" customWidth="1"/>
    <col min="8016" max="8018" width="16.28515625" style="5" customWidth="1"/>
    <col min="8019" max="8019" width="42.7109375" style="5" customWidth="1"/>
    <col min="8020" max="8269" width="11.28515625" style="5"/>
    <col min="8270" max="8270" width="0" style="5" hidden="1" customWidth="1"/>
    <col min="8271" max="8271" width="68.28515625" style="5" customWidth="1"/>
    <col min="8272" max="8274" width="16.28515625" style="5" customWidth="1"/>
    <col min="8275" max="8275" width="42.7109375" style="5" customWidth="1"/>
    <col min="8276" max="8525" width="11.28515625" style="5"/>
    <col min="8526" max="8526" width="0" style="5" hidden="1" customWidth="1"/>
    <col min="8527" max="8527" width="68.28515625" style="5" customWidth="1"/>
    <col min="8528" max="8530" width="16.28515625" style="5" customWidth="1"/>
    <col min="8531" max="8531" width="42.7109375" style="5" customWidth="1"/>
    <col min="8532" max="8781" width="11.28515625" style="5"/>
    <col min="8782" max="8782" width="0" style="5" hidden="1" customWidth="1"/>
    <col min="8783" max="8783" width="68.28515625" style="5" customWidth="1"/>
    <col min="8784" max="8786" width="16.28515625" style="5" customWidth="1"/>
    <col min="8787" max="8787" width="42.7109375" style="5" customWidth="1"/>
    <col min="8788" max="9037" width="11.28515625" style="5"/>
    <col min="9038" max="9038" width="0" style="5" hidden="1" customWidth="1"/>
    <col min="9039" max="9039" width="68.28515625" style="5" customWidth="1"/>
    <col min="9040" max="9042" width="16.28515625" style="5" customWidth="1"/>
    <col min="9043" max="9043" width="42.7109375" style="5" customWidth="1"/>
    <col min="9044" max="9293" width="11.28515625" style="5"/>
    <col min="9294" max="9294" width="0" style="5" hidden="1" customWidth="1"/>
    <col min="9295" max="9295" width="68.28515625" style="5" customWidth="1"/>
    <col min="9296" max="9298" width="16.28515625" style="5" customWidth="1"/>
    <col min="9299" max="9299" width="42.7109375" style="5" customWidth="1"/>
    <col min="9300" max="9549" width="11.28515625" style="5"/>
    <col min="9550" max="9550" width="0" style="5" hidden="1" customWidth="1"/>
    <col min="9551" max="9551" width="68.28515625" style="5" customWidth="1"/>
    <col min="9552" max="9554" width="16.28515625" style="5" customWidth="1"/>
    <col min="9555" max="9555" width="42.7109375" style="5" customWidth="1"/>
    <col min="9556" max="9805" width="11.28515625" style="5"/>
    <col min="9806" max="9806" width="0" style="5" hidden="1" customWidth="1"/>
    <col min="9807" max="9807" width="68.28515625" style="5" customWidth="1"/>
    <col min="9808" max="9810" width="16.28515625" style="5" customWidth="1"/>
    <col min="9811" max="9811" width="42.7109375" style="5" customWidth="1"/>
    <col min="9812" max="10061" width="11.28515625" style="5"/>
    <col min="10062" max="10062" width="0" style="5" hidden="1" customWidth="1"/>
    <col min="10063" max="10063" width="68.28515625" style="5" customWidth="1"/>
    <col min="10064" max="10066" width="16.28515625" style="5" customWidth="1"/>
    <col min="10067" max="10067" width="42.7109375" style="5" customWidth="1"/>
    <col min="10068" max="10317" width="11.28515625" style="5"/>
    <col min="10318" max="10318" width="0" style="5" hidden="1" customWidth="1"/>
    <col min="10319" max="10319" width="68.28515625" style="5" customWidth="1"/>
    <col min="10320" max="10322" width="16.28515625" style="5" customWidth="1"/>
    <col min="10323" max="10323" width="42.7109375" style="5" customWidth="1"/>
    <col min="10324" max="10573" width="11.28515625" style="5"/>
    <col min="10574" max="10574" width="0" style="5" hidden="1" customWidth="1"/>
    <col min="10575" max="10575" width="68.28515625" style="5" customWidth="1"/>
    <col min="10576" max="10578" width="16.28515625" style="5" customWidth="1"/>
    <col min="10579" max="10579" width="42.7109375" style="5" customWidth="1"/>
    <col min="10580" max="10829" width="11.28515625" style="5"/>
    <col min="10830" max="10830" width="0" style="5" hidden="1" customWidth="1"/>
    <col min="10831" max="10831" width="68.28515625" style="5" customWidth="1"/>
    <col min="10832" max="10834" width="16.28515625" style="5" customWidth="1"/>
    <col min="10835" max="10835" width="42.7109375" style="5" customWidth="1"/>
    <col min="10836" max="11085" width="11.28515625" style="5"/>
    <col min="11086" max="11086" width="0" style="5" hidden="1" customWidth="1"/>
    <col min="11087" max="11087" width="68.28515625" style="5" customWidth="1"/>
    <col min="11088" max="11090" width="16.28515625" style="5" customWidth="1"/>
    <col min="11091" max="11091" width="42.7109375" style="5" customWidth="1"/>
    <col min="11092" max="11341" width="11.28515625" style="5"/>
    <col min="11342" max="11342" width="0" style="5" hidden="1" customWidth="1"/>
    <col min="11343" max="11343" width="68.28515625" style="5" customWidth="1"/>
    <col min="11344" max="11346" width="16.28515625" style="5" customWidth="1"/>
    <col min="11347" max="11347" width="42.7109375" style="5" customWidth="1"/>
    <col min="11348" max="11597" width="11.28515625" style="5"/>
    <col min="11598" max="11598" width="0" style="5" hidden="1" customWidth="1"/>
    <col min="11599" max="11599" width="68.28515625" style="5" customWidth="1"/>
    <col min="11600" max="11602" width="16.28515625" style="5" customWidth="1"/>
    <col min="11603" max="11603" width="42.7109375" style="5" customWidth="1"/>
    <col min="11604" max="11853" width="11.28515625" style="5"/>
    <col min="11854" max="11854" width="0" style="5" hidden="1" customWidth="1"/>
    <col min="11855" max="11855" width="68.28515625" style="5" customWidth="1"/>
    <col min="11856" max="11858" width="16.28515625" style="5" customWidth="1"/>
    <col min="11859" max="11859" width="42.7109375" style="5" customWidth="1"/>
    <col min="11860" max="12109" width="11.28515625" style="5"/>
    <col min="12110" max="12110" width="0" style="5" hidden="1" customWidth="1"/>
    <col min="12111" max="12111" width="68.28515625" style="5" customWidth="1"/>
    <col min="12112" max="12114" width="16.28515625" style="5" customWidth="1"/>
    <col min="12115" max="12115" width="42.7109375" style="5" customWidth="1"/>
    <col min="12116" max="12365" width="11.28515625" style="5"/>
    <col min="12366" max="12366" width="0" style="5" hidden="1" customWidth="1"/>
    <col min="12367" max="12367" width="68.28515625" style="5" customWidth="1"/>
    <col min="12368" max="12370" width="16.28515625" style="5" customWidth="1"/>
    <col min="12371" max="12371" width="42.7109375" style="5" customWidth="1"/>
    <col min="12372" max="12621" width="11.28515625" style="5"/>
    <col min="12622" max="12622" width="0" style="5" hidden="1" customWidth="1"/>
    <col min="12623" max="12623" width="68.28515625" style="5" customWidth="1"/>
    <col min="12624" max="12626" width="16.28515625" style="5" customWidth="1"/>
    <col min="12627" max="12627" width="42.7109375" style="5" customWidth="1"/>
    <col min="12628" max="12877" width="11.28515625" style="5"/>
    <col min="12878" max="12878" width="0" style="5" hidden="1" customWidth="1"/>
    <col min="12879" max="12879" width="68.28515625" style="5" customWidth="1"/>
    <col min="12880" max="12882" width="16.28515625" style="5" customWidth="1"/>
    <col min="12883" max="12883" width="42.7109375" style="5" customWidth="1"/>
    <col min="12884" max="13133" width="11.28515625" style="5"/>
    <col min="13134" max="13134" width="0" style="5" hidden="1" customWidth="1"/>
    <col min="13135" max="13135" width="68.28515625" style="5" customWidth="1"/>
    <col min="13136" max="13138" width="16.28515625" style="5" customWidth="1"/>
    <col min="13139" max="13139" width="42.7109375" style="5" customWidth="1"/>
    <col min="13140" max="13389" width="11.28515625" style="5"/>
    <col min="13390" max="13390" width="0" style="5" hidden="1" customWidth="1"/>
    <col min="13391" max="13391" width="68.28515625" style="5" customWidth="1"/>
    <col min="13392" max="13394" width="16.28515625" style="5" customWidth="1"/>
    <col min="13395" max="13395" width="42.7109375" style="5" customWidth="1"/>
    <col min="13396" max="13645" width="11.28515625" style="5"/>
    <col min="13646" max="13646" width="0" style="5" hidden="1" customWidth="1"/>
    <col min="13647" max="13647" width="68.28515625" style="5" customWidth="1"/>
    <col min="13648" max="13650" width="16.28515625" style="5" customWidth="1"/>
    <col min="13651" max="13651" width="42.7109375" style="5" customWidth="1"/>
    <col min="13652" max="13901" width="11.28515625" style="5"/>
    <col min="13902" max="13902" width="0" style="5" hidden="1" customWidth="1"/>
    <col min="13903" max="13903" width="68.28515625" style="5" customWidth="1"/>
    <col min="13904" max="13906" width="16.28515625" style="5" customWidth="1"/>
    <col min="13907" max="13907" width="42.7109375" style="5" customWidth="1"/>
    <col min="13908" max="14157" width="11.28515625" style="5"/>
    <col min="14158" max="14158" width="0" style="5" hidden="1" customWidth="1"/>
    <col min="14159" max="14159" width="68.28515625" style="5" customWidth="1"/>
    <col min="14160" max="14162" width="16.28515625" style="5" customWidth="1"/>
    <col min="14163" max="14163" width="42.7109375" style="5" customWidth="1"/>
    <col min="14164" max="14413" width="11.28515625" style="5"/>
    <col min="14414" max="14414" width="0" style="5" hidden="1" customWidth="1"/>
    <col min="14415" max="14415" width="68.28515625" style="5" customWidth="1"/>
    <col min="14416" max="14418" width="16.28515625" style="5" customWidth="1"/>
    <col min="14419" max="14419" width="42.7109375" style="5" customWidth="1"/>
    <col min="14420" max="14669" width="11.28515625" style="5"/>
    <col min="14670" max="14670" width="0" style="5" hidden="1" customWidth="1"/>
    <col min="14671" max="14671" width="68.28515625" style="5" customWidth="1"/>
    <col min="14672" max="14674" width="16.28515625" style="5" customWidth="1"/>
    <col min="14675" max="14675" width="42.7109375" style="5" customWidth="1"/>
    <col min="14676" max="14925" width="11.28515625" style="5"/>
    <col min="14926" max="14926" width="0" style="5" hidden="1" customWidth="1"/>
    <col min="14927" max="14927" width="68.28515625" style="5" customWidth="1"/>
    <col min="14928" max="14930" width="16.28515625" style="5" customWidth="1"/>
    <col min="14931" max="14931" width="42.7109375" style="5" customWidth="1"/>
    <col min="14932" max="15181" width="11.28515625" style="5"/>
    <col min="15182" max="15182" width="0" style="5" hidden="1" customWidth="1"/>
    <col min="15183" max="15183" width="68.28515625" style="5" customWidth="1"/>
    <col min="15184" max="15186" width="16.28515625" style="5" customWidth="1"/>
    <col min="15187" max="15187" width="42.7109375" style="5" customWidth="1"/>
    <col min="15188" max="15437" width="11.28515625" style="5"/>
    <col min="15438" max="15438" width="0" style="5" hidden="1" customWidth="1"/>
    <col min="15439" max="15439" width="68.28515625" style="5" customWidth="1"/>
    <col min="15440" max="15442" width="16.28515625" style="5" customWidth="1"/>
    <col min="15443" max="15443" width="42.7109375" style="5" customWidth="1"/>
    <col min="15444" max="15693" width="11.28515625" style="5"/>
    <col min="15694" max="15694" width="0" style="5" hidden="1" customWidth="1"/>
    <col min="15695" max="15695" width="68.28515625" style="5" customWidth="1"/>
    <col min="15696" max="15698" width="16.28515625" style="5" customWidth="1"/>
    <col min="15699" max="15699" width="42.7109375" style="5" customWidth="1"/>
    <col min="15700" max="15949" width="11.28515625" style="5"/>
    <col min="15950" max="15950" width="0" style="5" hidden="1" customWidth="1"/>
    <col min="15951" max="15951" width="68.28515625" style="5" customWidth="1"/>
    <col min="15952" max="15954" width="16.28515625" style="5" customWidth="1"/>
    <col min="15955" max="15955" width="42.7109375" style="5" customWidth="1"/>
    <col min="15956" max="16384" width="11.28515625" style="5"/>
  </cols>
  <sheetData>
    <row r="1" spans="1:22" customFormat="1" ht="15">
      <c r="A1" s="25"/>
      <c r="B1" s="24"/>
      <c r="C1" s="24"/>
      <c r="D1" s="24"/>
      <c r="E1" s="24"/>
      <c r="F1" s="24"/>
      <c r="G1" s="24"/>
      <c r="H1" s="25"/>
      <c r="L1" s="215"/>
      <c r="U1" s="171"/>
    </row>
    <row r="2" spans="1:22" customFormat="1" ht="15">
      <c r="A2" s="25"/>
      <c r="B2" s="24"/>
      <c r="C2" s="24"/>
      <c r="D2" s="24"/>
      <c r="E2" s="24"/>
      <c r="F2" s="24"/>
      <c r="G2" s="24"/>
      <c r="H2" s="25"/>
      <c r="L2" s="215"/>
      <c r="U2" s="171"/>
    </row>
    <row r="3" spans="1:22" customFormat="1" ht="30">
      <c r="A3" s="25"/>
      <c r="B3" s="26"/>
      <c r="C3" s="24"/>
      <c r="D3" s="148" t="s">
        <v>93</v>
      </c>
      <c r="E3" s="428" t="s">
        <v>94</v>
      </c>
      <c r="F3" s="428"/>
      <c r="G3" s="28"/>
      <c r="H3" s="25"/>
      <c r="L3" s="215"/>
      <c r="U3" s="171"/>
    </row>
    <row r="4" spans="1:22" customFormat="1" ht="14.65" customHeight="1">
      <c r="A4" s="25"/>
      <c r="B4" s="24"/>
      <c r="C4" s="30"/>
      <c r="D4" s="149" t="s">
        <v>95</v>
      </c>
      <c r="E4" s="428" t="s">
        <v>96</v>
      </c>
      <c r="F4" s="428"/>
      <c r="G4" s="28"/>
      <c r="H4" s="25"/>
      <c r="L4" s="215"/>
      <c r="U4" s="171"/>
    </row>
    <row r="5" spans="1:22" customFormat="1" ht="15">
      <c r="A5" s="25"/>
      <c r="B5" s="24"/>
      <c r="C5" s="24"/>
      <c r="D5" s="32"/>
      <c r="E5" s="25"/>
      <c r="F5" s="25"/>
      <c r="G5" s="24"/>
      <c r="H5" s="24"/>
      <c r="L5" s="215"/>
      <c r="U5" s="171"/>
    </row>
    <row r="6" spans="1:22" s="2" customFormat="1" ht="14.65" customHeight="1">
      <c r="A6" s="36"/>
      <c r="B6" s="429" t="s">
        <v>153</v>
      </c>
      <c r="C6" s="429"/>
      <c r="D6" s="429"/>
      <c r="E6" s="429"/>
      <c r="F6" s="429"/>
      <c r="G6" s="429"/>
      <c r="H6" s="429"/>
      <c r="I6" s="429"/>
      <c r="J6" s="429"/>
      <c r="K6" s="429"/>
      <c r="L6" s="429"/>
      <c r="M6" s="429"/>
      <c r="N6" s="429"/>
      <c r="O6" s="429"/>
      <c r="P6" s="429"/>
      <c r="Q6" s="429"/>
      <c r="R6" s="429"/>
      <c r="S6" s="429"/>
      <c r="T6" s="429"/>
      <c r="U6" s="429"/>
      <c r="V6" s="1"/>
    </row>
    <row r="7" spans="1:22" s="2" customFormat="1" ht="14.65" customHeight="1">
      <c r="A7" s="36"/>
      <c r="B7" s="416"/>
      <c r="C7" s="416"/>
      <c r="D7" s="416"/>
      <c r="E7" s="416"/>
      <c r="F7" s="416"/>
      <c r="G7" s="416"/>
      <c r="H7" s="416"/>
      <c r="I7" s="416"/>
      <c r="J7" s="416"/>
      <c r="K7" s="416"/>
      <c r="L7" s="416"/>
      <c r="M7" s="416"/>
      <c r="N7" s="416"/>
      <c r="O7" s="416"/>
      <c r="P7" s="416"/>
      <c r="Q7" s="416"/>
      <c r="R7" s="416"/>
      <c r="S7" s="416"/>
      <c r="T7" s="416"/>
      <c r="U7" s="416"/>
      <c r="V7" s="1"/>
    </row>
    <row r="8" spans="1:22" s="2" customFormat="1" ht="14.65" customHeight="1">
      <c r="A8" s="36"/>
      <c r="B8" s="416"/>
      <c r="C8" s="416"/>
      <c r="D8" s="416"/>
      <c r="E8" s="416"/>
      <c r="F8" s="416"/>
      <c r="G8" s="416"/>
      <c r="H8" s="416"/>
      <c r="I8" s="416"/>
      <c r="J8" s="416"/>
      <c r="K8" s="416"/>
      <c r="L8" s="416"/>
      <c r="M8" s="416"/>
      <c r="N8" s="416"/>
      <c r="O8" s="416"/>
      <c r="P8" s="416"/>
      <c r="Q8" s="416"/>
      <c r="R8" s="416"/>
      <c r="S8" s="416"/>
      <c r="T8" s="416"/>
      <c r="U8" s="416"/>
      <c r="V8" s="1"/>
    </row>
    <row r="9" spans="1:22" s="1" customFormat="1" ht="20.25">
      <c r="A9" s="36"/>
      <c r="B9" s="216" t="s">
        <v>154</v>
      </c>
      <c r="C9" s="45"/>
      <c r="D9" s="153"/>
      <c r="E9" s="153"/>
      <c r="F9" s="153"/>
      <c r="G9" s="153"/>
      <c r="H9" s="36"/>
      <c r="I9" s="36"/>
      <c r="J9" s="36"/>
      <c r="K9" s="38"/>
      <c r="L9" s="217"/>
      <c r="M9" s="36"/>
      <c r="N9" s="36"/>
      <c r="O9" s="36"/>
      <c r="P9" s="36"/>
      <c r="Q9" s="36"/>
      <c r="R9" s="36"/>
      <c r="S9" s="36"/>
      <c r="T9" s="36"/>
      <c r="U9" s="218"/>
    </row>
    <row r="10" spans="1:22" ht="24" customHeight="1">
      <c r="A10" s="3"/>
      <c r="B10" s="430" t="s">
        <v>98</v>
      </c>
      <c r="C10" s="430"/>
      <c r="D10" s="154"/>
      <c r="E10" s="4"/>
      <c r="F10" s="4"/>
      <c r="G10" s="155"/>
      <c r="H10" s="156"/>
      <c r="I10" s="163"/>
      <c r="M10" s="3"/>
      <c r="N10" s="3"/>
      <c r="O10" s="3"/>
      <c r="P10" s="3"/>
      <c r="Q10" s="3"/>
      <c r="R10" s="3"/>
      <c r="S10" s="3"/>
      <c r="V10" s="3"/>
    </row>
    <row r="11" spans="1:22" s="2" customFormat="1" ht="31.9" customHeight="1">
      <c r="A11" s="3"/>
      <c r="B11" s="432" t="s">
        <v>155</v>
      </c>
      <c r="C11" s="437" t="s">
        <v>156</v>
      </c>
      <c r="D11" s="431"/>
      <c r="E11" s="431"/>
      <c r="F11" s="431"/>
      <c r="G11" s="431"/>
      <c r="H11" s="431"/>
      <c r="I11" s="431"/>
      <c r="J11" s="438"/>
      <c r="K11" s="206"/>
      <c r="L11" s="220"/>
      <c r="M11" s="437" t="s">
        <v>157</v>
      </c>
      <c r="N11" s="431"/>
      <c r="O11" s="431"/>
      <c r="P11" s="431"/>
      <c r="Q11" s="431"/>
      <c r="R11" s="431"/>
      <c r="S11" s="431"/>
      <c r="T11" s="206"/>
      <c r="U11" s="209" t="s">
        <v>158</v>
      </c>
      <c r="V11" s="1"/>
    </row>
    <row r="12" spans="1:22" s="7" customFormat="1" ht="51" customHeight="1">
      <c r="A12" s="3"/>
      <c r="B12" s="434"/>
      <c r="C12" s="206" t="s">
        <v>159</v>
      </c>
      <c r="D12" s="206" t="s">
        <v>160</v>
      </c>
      <c r="E12" s="206" t="s">
        <v>161</v>
      </c>
      <c r="F12" s="206" t="s">
        <v>162</v>
      </c>
      <c r="G12" s="206" t="s">
        <v>163</v>
      </c>
      <c r="H12" s="206" t="s">
        <v>164</v>
      </c>
      <c r="I12" s="206" t="s">
        <v>165</v>
      </c>
      <c r="J12" s="206" t="s">
        <v>166</v>
      </c>
      <c r="K12" s="429" t="s">
        <v>167</v>
      </c>
      <c r="L12" s="440" t="s">
        <v>168</v>
      </c>
      <c r="M12" s="206" t="s">
        <v>169</v>
      </c>
      <c r="N12" s="206" t="s">
        <v>170</v>
      </c>
      <c r="O12" s="206" t="s">
        <v>171</v>
      </c>
      <c r="P12" s="206" t="s">
        <v>172</v>
      </c>
      <c r="Q12" s="206" t="s">
        <v>173</v>
      </c>
      <c r="R12" s="206" t="s">
        <v>165</v>
      </c>
      <c r="S12" s="206" t="s">
        <v>165</v>
      </c>
      <c r="T12" s="429" t="s">
        <v>174</v>
      </c>
      <c r="U12" s="432" t="s">
        <v>168</v>
      </c>
      <c r="V12" s="6"/>
    </row>
    <row r="13" spans="1:22" s="277" customFormat="1" ht="42" customHeight="1">
      <c r="A13" s="345"/>
      <c r="B13" s="346" t="s">
        <v>175</v>
      </c>
      <c r="C13" s="347">
        <v>1240</v>
      </c>
      <c r="D13" s="347">
        <v>1160</v>
      </c>
      <c r="E13" s="347">
        <v>1000</v>
      </c>
      <c r="F13" s="347">
        <v>1160</v>
      </c>
      <c r="G13" s="347">
        <v>1160</v>
      </c>
      <c r="H13" s="347">
        <v>1160</v>
      </c>
      <c r="I13" s="347"/>
      <c r="J13" s="347"/>
      <c r="K13" s="416"/>
      <c r="L13" s="441"/>
      <c r="M13" s="347"/>
      <c r="N13" s="347"/>
      <c r="O13" s="347"/>
      <c r="P13" s="347"/>
      <c r="Q13" s="347"/>
      <c r="R13" s="347"/>
      <c r="S13" s="347"/>
      <c r="T13" s="416"/>
      <c r="U13" s="433"/>
      <c r="V13" s="276"/>
    </row>
    <row r="14" spans="1:22" s="2" customFormat="1" ht="15">
      <c r="A14" s="42"/>
      <c r="B14" s="221"/>
      <c r="C14" s="435" t="s">
        <v>176</v>
      </c>
      <c r="D14" s="424"/>
      <c r="E14" s="424"/>
      <c r="F14" s="424"/>
      <c r="G14" s="424"/>
      <c r="H14" s="424"/>
      <c r="I14" s="424"/>
      <c r="J14" s="436"/>
      <c r="K14" s="439"/>
      <c r="L14" s="442"/>
      <c r="M14" s="435" t="s">
        <v>176</v>
      </c>
      <c r="N14" s="424"/>
      <c r="O14" s="424"/>
      <c r="P14" s="424"/>
      <c r="Q14" s="424"/>
      <c r="R14" s="424"/>
      <c r="S14" s="424"/>
      <c r="T14" s="439"/>
      <c r="U14" s="434"/>
      <c r="V14" s="1"/>
    </row>
    <row r="15" spans="1:22" ht="24" customHeight="1">
      <c r="A15" s="348"/>
      <c r="B15" s="330" t="s">
        <v>46</v>
      </c>
      <c r="C15" s="349">
        <f t="shared" ref="C15:J15" si="0">SUM(C16)</f>
        <v>3</v>
      </c>
      <c r="D15" s="349">
        <f t="shared" si="0"/>
        <v>14</v>
      </c>
      <c r="E15" s="349">
        <f t="shared" si="0"/>
        <v>1</v>
      </c>
      <c r="F15" s="349">
        <f t="shared" si="0"/>
        <v>0</v>
      </c>
      <c r="G15" s="349">
        <f t="shared" si="0"/>
        <v>0</v>
      </c>
      <c r="H15" s="349">
        <f t="shared" si="0"/>
        <v>0</v>
      </c>
      <c r="I15" s="349">
        <f t="shared" si="0"/>
        <v>0</v>
      </c>
      <c r="J15" s="349">
        <f t="shared" si="0"/>
        <v>0</v>
      </c>
      <c r="K15" s="349">
        <f t="shared" ref="K15:K25" si="1">SUM(C15:J15)</f>
        <v>18</v>
      </c>
      <c r="L15" s="350">
        <f t="shared" ref="L15:L53" si="2">SUMPRODUCT(C15:J15,$C$13:$J$13)</f>
        <v>20960</v>
      </c>
      <c r="M15" s="349">
        <f t="shared" ref="M15:S15" si="3">M16</f>
        <v>5</v>
      </c>
      <c r="N15" s="349">
        <f t="shared" si="3"/>
        <v>2</v>
      </c>
      <c r="O15" s="349">
        <f t="shared" si="3"/>
        <v>1</v>
      </c>
      <c r="P15" s="349">
        <f t="shared" si="3"/>
        <v>0</v>
      </c>
      <c r="Q15" s="349">
        <f t="shared" si="3"/>
        <v>1</v>
      </c>
      <c r="R15" s="349">
        <f t="shared" si="3"/>
        <v>0</v>
      </c>
      <c r="S15" s="349">
        <f t="shared" si="3"/>
        <v>0</v>
      </c>
      <c r="T15" s="349">
        <f t="shared" ref="T15:T53" si="4">SUM(M15:S15)</f>
        <v>9</v>
      </c>
      <c r="U15" s="212"/>
      <c r="V15" s="3"/>
    </row>
    <row r="16" spans="1:22" ht="24" customHeight="1">
      <c r="A16" s="348"/>
      <c r="B16" s="222" t="s">
        <v>177</v>
      </c>
      <c r="C16" s="212">
        <v>3</v>
      </c>
      <c r="D16" s="212">
        <v>14</v>
      </c>
      <c r="E16" s="212">
        <v>1</v>
      </c>
      <c r="F16" s="212">
        <v>0</v>
      </c>
      <c r="G16" s="212">
        <v>0</v>
      </c>
      <c r="H16" s="212">
        <v>0</v>
      </c>
      <c r="I16" s="212">
        <v>0</v>
      </c>
      <c r="J16" s="212">
        <v>0</v>
      </c>
      <c r="K16" s="351">
        <f t="shared" si="1"/>
        <v>18</v>
      </c>
      <c r="L16" s="352">
        <f t="shared" si="2"/>
        <v>20960</v>
      </c>
      <c r="M16" s="212">
        <v>5</v>
      </c>
      <c r="N16" s="212">
        <v>2</v>
      </c>
      <c r="O16" s="212">
        <v>1</v>
      </c>
      <c r="P16" s="212">
        <v>0</v>
      </c>
      <c r="Q16" s="212">
        <v>1</v>
      </c>
      <c r="R16" s="212"/>
      <c r="S16" s="212"/>
      <c r="T16" s="353">
        <f t="shared" si="4"/>
        <v>9</v>
      </c>
      <c r="U16" s="212"/>
      <c r="V16" s="3"/>
    </row>
    <row r="17" spans="1:22" ht="24" customHeight="1">
      <c r="A17" s="348"/>
      <c r="B17" s="330" t="s">
        <v>47</v>
      </c>
      <c r="C17" s="349">
        <f t="shared" ref="C17:J17" si="5">SUM(C18:C22)</f>
        <v>2</v>
      </c>
      <c r="D17" s="349">
        <f t="shared" si="5"/>
        <v>6</v>
      </c>
      <c r="E17" s="349">
        <f t="shared" si="5"/>
        <v>18</v>
      </c>
      <c r="F17" s="349">
        <f t="shared" si="5"/>
        <v>16</v>
      </c>
      <c r="G17" s="349">
        <f t="shared" si="5"/>
        <v>0</v>
      </c>
      <c r="H17" s="349">
        <f t="shared" si="5"/>
        <v>4</v>
      </c>
      <c r="I17" s="349">
        <f t="shared" si="5"/>
        <v>0</v>
      </c>
      <c r="J17" s="349">
        <f t="shared" si="5"/>
        <v>0</v>
      </c>
      <c r="K17" s="349">
        <f t="shared" si="1"/>
        <v>46</v>
      </c>
      <c r="L17" s="350">
        <f t="shared" si="2"/>
        <v>50640</v>
      </c>
      <c r="M17" s="349">
        <f t="shared" ref="M17:S17" si="6">SUM(M18:M22)</f>
        <v>8</v>
      </c>
      <c r="N17" s="349">
        <f t="shared" si="6"/>
        <v>9</v>
      </c>
      <c r="O17" s="349">
        <f t="shared" si="6"/>
        <v>7</v>
      </c>
      <c r="P17" s="349">
        <f t="shared" si="6"/>
        <v>0</v>
      </c>
      <c r="Q17" s="349">
        <f t="shared" si="6"/>
        <v>6</v>
      </c>
      <c r="R17" s="349">
        <f t="shared" si="6"/>
        <v>0</v>
      </c>
      <c r="S17" s="349">
        <f t="shared" si="6"/>
        <v>0</v>
      </c>
      <c r="T17" s="349">
        <f t="shared" si="4"/>
        <v>30</v>
      </c>
      <c r="U17" s="212"/>
      <c r="V17" s="3"/>
    </row>
    <row r="18" spans="1:22" ht="24" customHeight="1">
      <c r="A18" s="348"/>
      <c r="B18" s="222" t="s">
        <v>178</v>
      </c>
      <c r="C18" s="212">
        <v>2</v>
      </c>
      <c r="D18" s="212">
        <v>6</v>
      </c>
      <c r="E18" s="212">
        <v>2</v>
      </c>
      <c r="F18" s="212">
        <v>0</v>
      </c>
      <c r="G18" s="212">
        <v>0</v>
      </c>
      <c r="H18" s="212">
        <v>1</v>
      </c>
      <c r="I18" s="212">
        <v>0</v>
      </c>
      <c r="J18" s="212"/>
      <c r="K18" s="351">
        <f t="shared" si="1"/>
        <v>11</v>
      </c>
      <c r="L18" s="352">
        <f t="shared" si="2"/>
        <v>12600</v>
      </c>
      <c r="M18" s="212">
        <v>4</v>
      </c>
      <c r="N18" s="212">
        <v>2</v>
      </c>
      <c r="O18" s="212">
        <v>1</v>
      </c>
      <c r="P18" s="212">
        <v>0</v>
      </c>
      <c r="Q18" s="212">
        <v>1</v>
      </c>
      <c r="R18" s="212"/>
      <c r="S18" s="212"/>
      <c r="T18" s="353">
        <f t="shared" si="4"/>
        <v>8</v>
      </c>
      <c r="U18" s="212"/>
      <c r="V18" s="3"/>
    </row>
    <row r="19" spans="1:22" ht="24" customHeight="1">
      <c r="A19" s="348"/>
      <c r="B19" s="222" t="s">
        <v>179</v>
      </c>
      <c r="C19" s="212">
        <v>0</v>
      </c>
      <c r="D19" s="212">
        <v>0</v>
      </c>
      <c r="E19" s="212">
        <v>1</v>
      </c>
      <c r="F19" s="212">
        <v>7</v>
      </c>
      <c r="G19" s="212">
        <v>0</v>
      </c>
      <c r="H19" s="212">
        <v>2</v>
      </c>
      <c r="I19" s="212">
        <v>0</v>
      </c>
      <c r="J19" s="212"/>
      <c r="K19" s="351">
        <f t="shared" si="1"/>
        <v>10</v>
      </c>
      <c r="L19" s="352">
        <f t="shared" si="2"/>
        <v>11440</v>
      </c>
      <c r="M19" s="212">
        <v>1</v>
      </c>
      <c r="N19" s="212">
        <v>1</v>
      </c>
      <c r="O19" s="212">
        <v>1</v>
      </c>
      <c r="P19" s="212">
        <v>0</v>
      </c>
      <c r="Q19" s="212">
        <v>2</v>
      </c>
      <c r="R19" s="212"/>
      <c r="S19" s="212"/>
      <c r="T19" s="353">
        <f t="shared" si="4"/>
        <v>5</v>
      </c>
      <c r="U19" s="212"/>
      <c r="V19" s="3"/>
    </row>
    <row r="20" spans="1:22" ht="24" customHeight="1">
      <c r="A20" s="348"/>
      <c r="B20" s="222" t="s">
        <v>180</v>
      </c>
      <c r="C20" s="212">
        <v>0</v>
      </c>
      <c r="D20" s="212">
        <v>0</v>
      </c>
      <c r="E20" s="212">
        <v>11</v>
      </c>
      <c r="F20" s="212">
        <v>4</v>
      </c>
      <c r="G20" s="212">
        <v>0</v>
      </c>
      <c r="H20" s="212">
        <v>1</v>
      </c>
      <c r="I20" s="212">
        <v>0</v>
      </c>
      <c r="J20" s="212"/>
      <c r="K20" s="351">
        <f t="shared" si="1"/>
        <v>16</v>
      </c>
      <c r="L20" s="352">
        <f t="shared" si="2"/>
        <v>16800</v>
      </c>
      <c r="M20" s="212">
        <v>2</v>
      </c>
      <c r="N20" s="212">
        <v>4</v>
      </c>
      <c r="O20" s="212">
        <v>3</v>
      </c>
      <c r="P20" s="212">
        <v>0</v>
      </c>
      <c r="Q20" s="212">
        <v>1</v>
      </c>
      <c r="R20" s="212"/>
      <c r="S20" s="212"/>
      <c r="T20" s="353">
        <f t="shared" si="4"/>
        <v>10</v>
      </c>
      <c r="U20" s="212"/>
      <c r="V20" s="3"/>
    </row>
    <row r="21" spans="1:22" ht="24" customHeight="1">
      <c r="A21" s="348"/>
      <c r="B21" s="222" t="s">
        <v>181</v>
      </c>
      <c r="C21" s="212">
        <v>0</v>
      </c>
      <c r="D21" s="212">
        <v>0</v>
      </c>
      <c r="E21" s="212">
        <v>2</v>
      </c>
      <c r="F21" s="212">
        <v>3</v>
      </c>
      <c r="G21" s="212">
        <v>0</v>
      </c>
      <c r="H21" s="212">
        <v>0</v>
      </c>
      <c r="I21" s="212">
        <v>0</v>
      </c>
      <c r="J21" s="212"/>
      <c r="K21" s="351">
        <f t="shared" si="1"/>
        <v>5</v>
      </c>
      <c r="L21" s="352">
        <f t="shared" si="2"/>
        <v>5480</v>
      </c>
      <c r="M21" s="212">
        <v>1</v>
      </c>
      <c r="N21" s="212">
        <v>2</v>
      </c>
      <c r="O21" s="212">
        <v>1</v>
      </c>
      <c r="P21" s="212">
        <v>0</v>
      </c>
      <c r="Q21" s="212">
        <v>1</v>
      </c>
      <c r="R21" s="212"/>
      <c r="S21" s="212"/>
      <c r="T21" s="353">
        <f t="shared" si="4"/>
        <v>5</v>
      </c>
      <c r="U21" s="212"/>
      <c r="V21" s="3"/>
    </row>
    <row r="22" spans="1:22" ht="24" customHeight="1">
      <c r="A22" s="348"/>
      <c r="B22" s="222" t="s">
        <v>182</v>
      </c>
      <c r="C22" s="212">
        <v>0</v>
      </c>
      <c r="D22" s="212">
        <v>0</v>
      </c>
      <c r="E22" s="212">
        <v>2</v>
      </c>
      <c r="F22" s="212">
        <v>2</v>
      </c>
      <c r="G22" s="212">
        <v>0</v>
      </c>
      <c r="H22" s="212">
        <v>0</v>
      </c>
      <c r="I22" s="212">
        <v>0</v>
      </c>
      <c r="J22" s="212"/>
      <c r="K22" s="351">
        <f t="shared" si="1"/>
        <v>4</v>
      </c>
      <c r="L22" s="352">
        <f t="shared" si="2"/>
        <v>4320</v>
      </c>
      <c r="M22" s="212">
        <v>0</v>
      </c>
      <c r="N22" s="212">
        <v>0</v>
      </c>
      <c r="O22" s="212">
        <v>1</v>
      </c>
      <c r="P22" s="212">
        <v>0</v>
      </c>
      <c r="Q22" s="212">
        <v>1</v>
      </c>
      <c r="R22" s="212"/>
      <c r="S22" s="212"/>
      <c r="T22" s="353">
        <f t="shared" si="4"/>
        <v>2</v>
      </c>
      <c r="U22" s="212"/>
      <c r="V22" s="3"/>
    </row>
    <row r="23" spans="1:22" ht="24" customHeight="1">
      <c r="A23" s="348"/>
      <c r="B23" s="330" t="s">
        <v>48</v>
      </c>
      <c r="C23" s="349">
        <f t="shared" ref="C23:J23" si="7">SUM(C24:C25)</f>
        <v>0</v>
      </c>
      <c r="D23" s="349">
        <f t="shared" si="7"/>
        <v>0</v>
      </c>
      <c r="E23" s="349">
        <f t="shared" si="7"/>
        <v>6</v>
      </c>
      <c r="F23" s="349">
        <f t="shared" si="7"/>
        <v>9</v>
      </c>
      <c r="G23" s="349">
        <f t="shared" si="7"/>
        <v>0</v>
      </c>
      <c r="H23" s="349">
        <f t="shared" si="7"/>
        <v>0</v>
      </c>
      <c r="I23" s="349">
        <f t="shared" si="7"/>
        <v>0</v>
      </c>
      <c r="J23" s="349">
        <f t="shared" si="7"/>
        <v>0</v>
      </c>
      <c r="K23" s="349">
        <f t="shared" si="1"/>
        <v>15</v>
      </c>
      <c r="L23" s="350">
        <f t="shared" si="2"/>
        <v>16440</v>
      </c>
      <c r="M23" s="349">
        <f t="shared" ref="M23:S23" si="8">SUM(M24:M25)</f>
        <v>2</v>
      </c>
      <c r="N23" s="349">
        <f t="shared" si="8"/>
        <v>3</v>
      </c>
      <c r="O23" s="349">
        <f t="shared" si="8"/>
        <v>1</v>
      </c>
      <c r="P23" s="349">
        <f t="shared" si="8"/>
        <v>0</v>
      </c>
      <c r="Q23" s="349">
        <f t="shared" si="8"/>
        <v>0</v>
      </c>
      <c r="R23" s="349">
        <f t="shared" si="8"/>
        <v>0</v>
      </c>
      <c r="S23" s="349">
        <f t="shared" si="8"/>
        <v>0</v>
      </c>
      <c r="T23" s="349">
        <f t="shared" si="4"/>
        <v>6</v>
      </c>
      <c r="U23" s="212"/>
      <c r="V23" s="3"/>
    </row>
    <row r="24" spans="1:22" ht="27" customHeight="1">
      <c r="A24" s="348"/>
      <c r="B24" s="222" t="s">
        <v>183</v>
      </c>
      <c r="C24" s="212">
        <v>0</v>
      </c>
      <c r="D24" s="212">
        <v>0</v>
      </c>
      <c r="E24" s="212">
        <v>3</v>
      </c>
      <c r="F24" s="212">
        <v>6</v>
      </c>
      <c r="G24" s="212">
        <v>0</v>
      </c>
      <c r="H24" s="212">
        <v>0</v>
      </c>
      <c r="I24" s="212">
        <v>0</v>
      </c>
      <c r="J24" s="212"/>
      <c r="K24" s="351">
        <f t="shared" si="1"/>
        <v>9</v>
      </c>
      <c r="L24" s="352">
        <f t="shared" si="2"/>
        <v>9960</v>
      </c>
      <c r="M24" s="212">
        <v>1</v>
      </c>
      <c r="N24" s="212">
        <v>2</v>
      </c>
      <c r="O24" s="212">
        <v>1</v>
      </c>
      <c r="P24" s="212">
        <v>0</v>
      </c>
      <c r="Q24" s="212">
        <v>0</v>
      </c>
      <c r="R24" s="212"/>
      <c r="S24" s="212"/>
      <c r="T24" s="353">
        <f t="shared" si="4"/>
        <v>4</v>
      </c>
      <c r="U24" s="212"/>
      <c r="V24" s="3"/>
    </row>
    <row r="25" spans="1:22" ht="24" customHeight="1">
      <c r="A25" s="348"/>
      <c r="B25" s="222" t="s">
        <v>184</v>
      </c>
      <c r="C25" s="212">
        <v>0</v>
      </c>
      <c r="D25" s="212">
        <v>0</v>
      </c>
      <c r="E25" s="212">
        <v>3</v>
      </c>
      <c r="F25" s="212">
        <v>3</v>
      </c>
      <c r="G25" s="212">
        <v>0</v>
      </c>
      <c r="H25" s="212">
        <v>0</v>
      </c>
      <c r="I25" s="212">
        <v>0</v>
      </c>
      <c r="J25" s="212"/>
      <c r="K25" s="351">
        <f t="shared" si="1"/>
        <v>6</v>
      </c>
      <c r="L25" s="352">
        <f t="shared" si="2"/>
        <v>6480</v>
      </c>
      <c r="M25" s="212">
        <v>1</v>
      </c>
      <c r="N25" s="212">
        <v>1</v>
      </c>
      <c r="O25" s="212">
        <v>0</v>
      </c>
      <c r="P25" s="212">
        <v>0</v>
      </c>
      <c r="Q25" s="212">
        <v>0</v>
      </c>
      <c r="R25" s="212"/>
      <c r="S25" s="212"/>
      <c r="T25" s="353">
        <f t="shared" si="4"/>
        <v>2</v>
      </c>
      <c r="U25" s="212"/>
      <c r="V25" s="3"/>
    </row>
    <row r="26" spans="1:22" ht="24" customHeight="1">
      <c r="A26" s="348"/>
      <c r="B26" s="206" t="s">
        <v>185</v>
      </c>
      <c r="C26" s="354">
        <f t="shared" ref="C26:K26" si="9">C23+C17</f>
        <v>2</v>
      </c>
      <c r="D26" s="354">
        <f t="shared" si="9"/>
        <v>6</v>
      </c>
      <c r="E26" s="354">
        <f t="shared" si="9"/>
        <v>24</v>
      </c>
      <c r="F26" s="354">
        <f t="shared" si="9"/>
        <v>25</v>
      </c>
      <c r="G26" s="354">
        <f t="shared" si="9"/>
        <v>0</v>
      </c>
      <c r="H26" s="354">
        <f t="shared" si="9"/>
        <v>4</v>
      </c>
      <c r="I26" s="354">
        <f t="shared" si="9"/>
        <v>0</v>
      </c>
      <c r="J26" s="354">
        <f t="shared" si="9"/>
        <v>0</v>
      </c>
      <c r="K26" s="354">
        <f t="shared" si="9"/>
        <v>61</v>
      </c>
      <c r="L26" s="355">
        <f t="shared" si="2"/>
        <v>67080</v>
      </c>
      <c r="M26" s="354">
        <f t="shared" ref="M26:S26" si="10">M23+M17</f>
        <v>10</v>
      </c>
      <c r="N26" s="354">
        <f t="shared" si="10"/>
        <v>12</v>
      </c>
      <c r="O26" s="354">
        <f t="shared" si="10"/>
        <v>8</v>
      </c>
      <c r="P26" s="354">
        <f t="shared" si="10"/>
        <v>0</v>
      </c>
      <c r="Q26" s="354">
        <f t="shared" si="10"/>
        <v>6</v>
      </c>
      <c r="R26" s="354">
        <f t="shared" si="10"/>
        <v>0</v>
      </c>
      <c r="S26" s="354">
        <f t="shared" si="10"/>
        <v>0</v>
      </c>
      <c r="T26" s="353">
        <f t="shared" si="4"/>
        <v>36</v>
      </c>
      <c r="U26" s="212"/>
      <c r="V26" s="3"/>
    </row>
    <row r="27" spans="1:22" ht="24" customHeight="1">
      <c r="A27" s="348"/>
      <c r="B27" s="330" t="s">
        <v>49</v>
      </c>
      <c r="C27" s="349">
        <f t="shared" ref="C27:J27" si="11">SUM(C28:C33)</f>
        <v>0</v>
      </c>
      <c r="D27" s="349">
        <f t="shared" si="11"/>
        <v>0</v>
      </c>
      <c r="E27" s="349">
        <f t="shared" si="11"/>
        <v>21</v>
      </c>
      <c r="F27" s="349">
        <f t="shared" si="11"/>
        <v>208</v>
      </c>
      <c r="G27" s="349">
        <f t="shared" si="11"/>
        <v>0</v>
      </c>
      <c r="H27" s="349">
        <f t="shared" si="11"/>
        <v>6</v>
      </c>
      <c r="I27" s="349">
        <f t="shared" si="11"/>
        <v>0</v>
      </c>
      <c r="J27" s="349">
        <f t="shared" si="11"/>
        <v>0</v>
      </c>
      <c r="K27" s="349">
        <f t="shared" ref="K27:K53" si="12">SUM(C27:J27)</f>
        <v>235</v>
      </c>
      <c r="L27" s="350">
        <f t="shared" si="2"/>
        <v>269240</v>
      </c>
      <c r="M27" s="349">
        <f t="shared" ref="M27:S27" si="13">SUM(M28:M33)</f>
        <v>0</v>
      </c>
      <c r="N27" s="349">
        <f t="shared" si="13"/>
        <v>7</v>
      </c>
      <c r="O27" s="349">
        <f t="shared" si="13"/>
        <v>10</v>
      </c>
      <c r="P27" s="349">
        <f t="shared" si="13"/>
        <v>1</v>
      </c>
      <c r="Q27" s="349">
        <f t="shared" si="13"/>
        <v>9</v>
      </c>
      <c r="R27" s="349">
        <f t="shared" si="13"/>
        <v>0</v>
      </c>
      <c r="S27" s="349">
        <f t="shared" si="13"/>
        <v>0</v>
      </c>
      <c r="T27" s="349">
        <f t="shared" si="4"/>
        <v>27</v>
      </c>
      <c r="U27" s="212"/>
      <c r="V27" s="3"/>
    </row>
    <row r="28" spans="1:22" ht="36.6" customHeight="1">
      <c r="A28" s="348"/>
      <c r="B28" s="222" t="s">
        <v>186</v>
      </c>
      <c r="C28" s="295">
        <v>0</v>
      </c>
      <c r="D28" s="295">
        <v>0</v>
      </c>
      <c r="E28" s="295">
        <v>9</v>
      </c>
      <c r="F28" s="295">
        <v>139</v>
      </c>
      <c r="G28" s="295">
        <v>0</v>
      </c>
      <c r="H28" s="295">
        <v>2</v>
      </c>
      <c r="I28" s="295">
        <v>0</v>
      </c>
      <c r="J28" s="295"/>
      <c r="K28" s="351">
        <f t="shared" si="12"/>
        <v>150</v>
      </c>
      <c r="L28" s="352">
        <f t="shared" si="2"/>
        <v>172560</v>
      </c>
      <c r="M28" s="212">
        <v>0</v>
      </c>
      <c r="N28" s="212">
        <v>2</v>
      </c>
      <c r="O28" s="212">
        <v>2</v>
      </c>
      <c r="P28" s="212">
        <v>0</v>
      </c>
      <c r="Q28" s="212">
        <v>2</v>
      </c>
      <c r="R28" s="212"/>
      <c r="S28" s="212"/>
      <c r="T28" s="353">
        <f t="shared" si="4"/>
        <v>6</v>
      </c>
      <c r="U28" s="212"/>
      <c r="V28" s="3"/>
    </row>
    <row r="29" spans="1:22" ht="24" customHeight="1">
      <c r="A29" s="348"/>
      <c r="B29" s="222" t="s">
        <v>187</v>
      </c>
      <c r="C29" s="295">
        <v>0</v>
      </c>
      <c r="D29" s="295">
        <v>0</v>
      </c>
      <c r="E29" s="295">
        <v>5</v>
      </c>
      <c r="F29" s="295">
        <v>49</v>
      </c>
      <c r="G29" s="295">
        <v>0</v>
      </c>
      <c r="H29" s="295">
        <v>1</v>
      </c>
      <c r="I29" s="295">
        <v>0</v>
      </c>
      <c r="J29" s="295"/>
      <c r="K29" s="351">
        <f t="shared" si="12"/>
        <v>55</v>
      </c>
      <c r="L29" s="352">
        <f t="shared" si="2"/>
        <v>63000</v>
      </c>
      <c r="M29" s="212">
        <v>0</v>
      </c>
      <c r="N29" s="212">
        <v>0</v>
      </c>
      <c r="O29" s="212">
        <v>0</v>
      </c>
      <c r="P29" s="212">
        <v>0</v>
      </c>
      <c r="Q29" s="212">
        <v>3</v>
      </c>
      <c r="R29" s="212"/>
      <c r="S29" s="212"/>
      <c r="T29" s="353">
        <f t="shared" si="4"/>
        <v>3</v>
      </c>
      <c r="U29" s="212"/>
      <c r="V29" s="3"/>
    </row>
    <row r="30" spans="1:22" ht="24" customHeight="1">
      <c r="A30" s="348"/>
      <c r="B30" s="222" t="s">
        <v>188</v>
      </c>
      <c r="C30" s="295">
        <v>0</v>
      </c>
      <c r="D30" s="295">
        <v>0</v>
      </c>
      <c r="E30" s="295">
        <v>1</v>
      </c>
      <c r="F30" s="295">
        <v>7</v>
      </c>
      <c r="G30" s="295">
        <v>0</v>
      </c>
      <c r="H30" s="295">
        <v>0</v>
      </c>
      <c r="I30" s="295"/>
      <c r="J30" s="295"/>
      <c r="K30" s="351">
        <f t="shared" si="12"/>
        <v>8</v>
      </c>
      <c r="L30" s="352">
        <f t="shared" si="2"/>
        <v>9120</v>
      </c>
      <c r="M30" s="212">
        <v>0</v>
      </c>
      <c r="N30" s="212">
        <v>1</v>
      </c>
      <c r="O30" s="212">
        <v>1</v>
      </c>
      <c r="P30" s="212">
        <v>0</v>
      </c>
      <c r="Q30" s="212">
        <v>1</v>
      </c>
      <c r="R30" s="212"/>
      <c r="S30" s="212"/>
      <c r="T30" s="353">
        <f t="shared" si="4"/>
        <v>3</v>
      </c>
      <c r="U30" s="212"/>
      <c r="V30" s="3"/>
    </row>
    <row r="31" spans="1:22" ht="24" customHeight="1">
      <c r="A31" s="348"/>
      <c r="B31" s="222" t="s">
        <v>189</v>
      </c>
      <c r="C31" s="295">
        <v>0</v>
      </c>
      <c r="D31" s="295">
        <v>0</v>
      </c>
      <c r="E31" s="295">
        <v>2</v>
      </c>
      <c r="F31" s="295">
        <v>5</v>
      </c>
      <c r="G31" s="295">
        <v>0</v>
      </c>
      <c r="H31" s="295">
        <v>1</v>
      </c>
      <c r="I31" s="295"/>
      <c r="J31" s="295"/>
      <c r="K31" s="351">
        <f t="shared" si="12"/>
        <v>8</v>
      </c>
      <c r="L31" s="352">
        <f t="shared" si="2"/>
        <v>8960</v>
      </c>
      <c r="M31" s="212">
        <v>0</v>
      </c>
      <c r="N31" s="212">
        <v>1</v>
      </c>
      <c r="O31" s="212">
        <v>2</v>
      </c>
      <c r="P31" s="212">
        <v>0</v>
      </c>
      <c r="Q31" s="212">
        <v>1</v>
      </c>
      <c r="R31" s="212"/>
      <c r="S31" s="212"/>
      <c r="T31" s="353">
        <f t="shared" si="4"/>
        <v>4</v>
      </c>
      <c r="U31" s="212"/>
      <c r="V31" s="3"/>
    </row>
    <row r="32" spans="1:22" ht="24" customHeight="1">
      <c r="A32" s="348"/>
      <c r="B32" s="222" t="s">
        <v>190</v>
      </c>
      <c r="C32" s="295">
        <v>0</v>
      </c>
      <c r="D32" s="295">
        <v>0</v>
      </c>
      <c r="E32" s="295">
        <v>2</v>
      </c>
      <c r="F32" s="295">
        <v>5</v>
      </c>
      <c r="G32" s="295">
        <v>0</v>
      </c>
      <c r="H32" s="295">
        <v>1</v>
      </c>
      <c r="I32" s="295"/>
      <c r="J32" s="295"/>
      <c r="K32" s="351">
        <f t="shared" si="12"/>
        <v>8</v>
      </c>
      <c r="L32" s="352">
        <f t="shared" si="2"/>
        <v>8960</v>
      </c>
      <c r="M32" s="212">
        <v>0</v>
      </c>
      <c r="N32" s="212">
        <v>1</v>
      </c>
      <c r="O32" s="212">
        <v>2</v>
      </c>
      <c r="P32" s="212">
        <v>0</v>
      </c>
      <c r="Q32" s="212">
        <v>1</v>
      </c>
      <c r="R32" s="212"/>
      <c r="S32" s="212"/>
      <c r="T32" s="353">
        <f t="shared" si="4"/>
        <v>4</v>
      </c>
      <c r="U32" s="212"/>
      <c r="V32" s="3"/>
    </row>
    <row r="33" spans="1:22" ht="28.9" customHeight="1">
      <c r="A33" s="348"/>
      <c r="B33" s="222" t="s">
        <v>191</v>
      </c>
      <c r="C33" s="295">
        <v>0</v>
      </c>
      <c r="D33" s="295">
        <v>0</v>
      </c>
      <c r="E33" s="295">
        <v>2</v>
      </c>
      <c r="F33" s="295">
        <v>3</v>
      </c>
      <c r="G33" s="295">
        <v>0</v>
      </c>
      <c r="H33" s="295">
        <v>1</v>
      </c>
      <c r="I33" s="295"/>
      <c r="J33" s="295"/>
      <c r="K33" s="351">
        <f t="shared" si="12"/>
        <v>6</v>
      </c>
      <c r="L33" s="352">
        <f t="shared" si="2"/>
        <v>6640</v>
      </c>
      <c r="M33" s="212">
        <v>0</v>
      </c>
      <c r="N33" s="212">
        <v>2</v>
      </c>
      <c r="O33" s="212">
        <v>3</v>
      </c>
      <c r="P33" s="212">
        <v>1</v>
      </c>
      <c r="Q33" s="212">
        <v>1</v>
      </c>
      <c r="R33" s="212"/>
      <c r="S33" s="212"/>
      <c r="T33" s="353">
        <f t="shared" si="4"/>
        <v>7</v>
      </c>
      <c r="U33" s="212"/>
      <c r="V33" s="3"/>
    </row>
    <row r="34" spans="1:22" ht="24" customHeight="1">
      <c r="A34" s="348"/>
      <c r="B34" s="330" t="s">
        <v>192</v>
      </c>
      <c r="C34" s="349">
        <f t="shared" ref="C34:J34" si="14">SUM(C35:C37)</f>
        <v>0</v>
      </c>
      <c r="D34" s="349">
        <f t="shared" si="14"/>
        <v>0</v>
      </c>
      <c r="E34" s="349">
        <f t="shared" si="14"/>
        <v>9</v>
      </c>
      <c r="F34" s="349">
        <f t="shared" si="14"/>
        <v>6</v>
      </c>
      <c r="G34" s="349">
        <f t="shared" si="14"/>
        <v>0</v>
      </c>
      <c r="H34" s="349">
        <f t="shared" si="14"/>
        <v>1</v>
      </c>
      <c r="I34" s="349">
        <f t="shared" si="14"/>
        <v>0</v>
      </c>
      <c r="J34" s="349">
        <f t="shared" si="14"/>
        <v>0</v>
      </c>
      <c r="K34" s="349">
        <f t="shared" si="12"/>
        <v>16</v>
      </c>
      <c r="L34" s="350">
        <f t="shared" si="2"/>
        <v>17120</v>
      </c>
      <c r="M34" s="349">
        <f t="shared" ref="M34:S34" si="15">SUM(M35:M37)</f>
        <v>2</v>
      </c>
      <c r="N34" s="349">
        <f t="shared" si="15"/>
        <v>6</v>
      </c>
      <c r="O34" s="349">
        <f t="shared" si="15"/>
        <v>1</v>
      </c>
      <c r="P34" s="349">
        <f t="shared" si="15"/>
        <v>0</v>
      </c>
      <c r="Q34" s="349">
        <f t="shared" si="15"/>
        <v>5</v>
      </c>
      <c r="R34" s="349">
        <f t="shared" si="15"/>
        <v>0</v>
      </c>
      <c r="S34" s="349">
        <f t="shared" si="15"/>
        <v>0</v>
      </c>
      <c r="T34" s="349">
        <f t="shared" si="4"/>
        <v>14</v>
      </c>
      <c r="U34" s="212"/>
      <c r="V34" s="3"/>
    </row>
    <row r="35" spans="1:22" ht="24" customHeight="1">
      <c r="A35" s="348"/>
      <c r="B35" s="222" t="s">
        <v>193</v>
      </c>
      <c r="C35" s="212">
        <v>0</v>
      </c>
      <c r="D35" s="212">
        <v>0</v>
      </c>
      <c r="E35" s="212">
        <v>3</v>
      </c>
      <c r="F35" s="212">
        <v>0</v>
      </c>
      <c r="G35" s="212">
        <v>0</v>
      </c>
      <c r="H35" s="212">
        <v>0</v>
      </c>
      <c r="I35" s="212"/>
      <c r="J35" s="212"/>
      <c r="K35" s="351">
        <f t="shared" si="12"/>
        <v>3</v>
      </c>
      <c r="L35" s="352">
        <f t="shared" si="2"/>
        <v>3000</v>
      </c>
      <c r="M35" s="212">
        <v>0</v>
      </c>
      <c r="N35" s="212">
        <v>2</v>
      </c>
      <c r="O35" s="212">
        <v>0</v>
      </c>
      <c r="P35" s="212">
        <v>0</v>
      </c>
      <c r="Q35" s="212">
        <v>2</v>
      </c>
      <c r="R35" s="212"/>
      <c r="S35" s="212"/>
      <c r="T35" s="353">
        <f t="shared" si="4"/>
        <v>4</v>
      </c>
      <c r="U35" s="212"/>
      <c r="V35" s="3"/>
    </row>
    <row r="36" spans="1:22" ht="24" customHeight="1">
      <c r="A36" s="348"/>
      <c r="B36" s="222" t="s">
        <v>194</v>
      </c>
      <c r="C36" s="212">
        <v>0</v>
      </c>
      <c r="D36" s="212">
        <v>0</v>
      </c>
      <c r="E36" s="212">
        <v>2</v>
      </c>
      <c r="F36" s="212">
        <v>3</v>
      </c>
      <c r="G36" s="212">
        <v>0</v>
      </c>
      <c r="H36" s="212">
        <v>1</v>
      </c>
      <c r="I36" s="212"/>
      <c r="J36" s="212"/>
      <c r="K36" s="351">
        <f t="shared" si="12"/>
        <v>6</v>
      </c>
      <c r="L36" s="352">
        <f t="shared" si="2"/>
        <v>6640</v>
      </c>
      <c r="M36" s="212">
        <v>1</v>
      </c>
      <c r="N36" s="212">
        <v>2</v>
      </c>
      <c r="O36" s="212">
        <v>0</v>
      </c>
      <c r="P36" s="212">
        <v>0</v>
      </c>
      <c r="Q36" s="212">
        <v>1</v>
      </c>
      <c r="R36" s="212"/>
      <c r="S36" s="212"/>
      <c r="T36" s="353">
        <f t="shared" si="4"/>
        <v>4</v>
      </c>
      <c r="U36" s="212"/>
      <c r="V36" s="3"/>
    </row>
    <row r="37" spans="1:22" ht="24" customHeight="1">
      <c r="A37" s="348"/>
      <c r="B37" s="222" t="s">
        <v>192</v>
      </c>
      <c r="C37" s="212">
        <v>0</v>
      </c>
      <c r="D37" s="212">
        <v>0</v>
      </c>
      <c r="E37" s="212">
        <v>4</v>
      </c>
      <c r="F37" s="212">
        <v>3</v>
      </c>
      <c r="G37" s="212">
        <v>0</v>
      </c>
      <c r="H37" s="212">
        <v>0</v>
      </c>
      <c r="I37" s="212"/>
      <c r="J37" s="212"/>
      <c r="K37" s="351">
        <f t="shared" si="12"/>
        <v>7</v>
      </c>
      <c r="L37" s="352">
        <f t="shared" si="2"/>
        <v>7480</v>
      </c>
      <c r="M37" s="212">
        <v>1</v>
      </c>
      <c r="N37" s="212">
        <v>2</v>
      </c>
      <c r="O37" s="212">
        <v>1</v>
      </c>
      <c r="P37" s="212">
        <v>0</v>
      </c>
      <c r="Q37" s="212">
        <v>2</v>
      </c>
      <c r="R37" s="212"/>
      <c r="S37" s="212"/>
      <c r="T37" s="353">
        <f t="shared" si="4"/>
        <v>6</v>
      </c>
      <c r="U37" s="212"/>
      <c r="V37" s="3"/>
    </row>
    <row r="38" spans="1:22" ht="24" customHeight="1">
      <c r="A38" s="348"/>
      <c r="B38" s="330" t="s">
        <v>51</v>
      </c>
      <c r="C38" s="349">
        <f t="shared" ref="C38:J38" si="16">C39</f>
        <v>1</v>
      </c>
      <c r="D38" s="349">
        <f t="shared" si="16"/>
        <v>4</v>
      </c>
      <c r="E38" s="349">
        <f t="shared" si="16"/>
        <v>2</v>
      </c>
      <c r="F38" s="349">
        <f t="shared" si="16"/>
        <v>2</v>
      </c>
      <c r="G38" s="349">
        <f t="shared" si="16"/>
        <v>0</v>
      </c>
      <c r="H38" s="349">
        <f t="shared" si="16"/>
        <v>1</v>
      </c>
      <c r="I38" s="349">
        <f t="shared" si="16"/>
        <v>0</v>
      </c>
      <c r="J38" s="349">
        <f t="shared" si="16"/>
        <v>0</v>
      </c>
      <c r="K38" s="349">
        <f t="shared" si="12"/>
        <v>10</v>
      </c>
      <c r="L38" s="350">
        <f t="shared" si="2"/>
        <v>11360</v>
      </c>
      <c r="M38" s="349">
        <f t="shared" ref="M38:S38" si="17">M39</f>
        <v>0</v>
      </c>
      <c r="N38" s="349">
        <f t="shared" si="17"/>
        <v>1</v>
      </c>
      <c r="O38" s="349">
        <f t="shared" si="17"/>
        <v>2</v>
      </c>
      <c r="P38" s="349">
        <f t="shared" si="17"/>
        <v>2</v>
      </c>
      <c r="Q38" s="349">
        <f t="shared" si="17"/>
        <v>0</v>
      </c>
      <c r="R38" s="349">
        <f t="shared" si="17"/>
        <v>0</v>
      </c>
      <c r="S38" s="349">
        <f t="shared" si="17"/>
        <v>0</v>
      </c>
      <c r="T38" s="349">
        <f t="shared" si="4"/>
        <v>5</v>
      </c>
      <c r="U38" s="212"/>
      <c r="V38" s="3"/>
    </row>
    <row r="39" spans="1:22" ht="24" customHeight="1">
      <c r="A39" s="348"/>
      <c r="B39" s="222" t="s">
        <v>195</v>
      </c>
      <c r="C39" s="212">
        <v>1</v>
      </c>
      <c r="D39" s="212">
        <v>4</v>
      </c>
      <c r="E39" s="212">
        <v>2</v>
      </c>
      <c r="F39" s="212">
        <v>2</v>
      </c>
      <c r="G39" s="212">
        <v>0</v>
      </c>
      <c r="H39" s="212">
        <v>1</v>
      </c>
      <c r="I39" s="212"/>
      <c r="J39" s="212"/>
      <c r="K39" s="351">
        <f t="shared" si="12"/>
        <v>10</v>
      </c>
      <c r="L39" s="352">
        <f t="shared" si="2"/>
        <v>11360</v>
      </c>
      <c r="M39" s="212">
        <v>0</v>
      </c>
      <c r="N39" s="212">
        <v>1</v>
      </c>
      <c r="O39" s="212">
        <v>2</v>
      </c>
      <c r="P39" s="212">
        <v>2</v>
      </c>
      <c r="Q39" s="212">
        <v>0</v>
      </c>
      <c r="R39" s="212"/>
      <c r="S39" s="212"/>
      <c r="T39" s="353">
        <f t="shared" si="4"/>
        <v>5</v>
      </c>
      <c r="U39" s="212"/>
      <c r="V39" s="3"/>
    </row>
    <row r="40" spans="1:22" ht="24" customHeight="1">
      <c r="A40" s="348"/>
      <c r="B40" s="330" t="s">
        <v>52</v>
      </c>
      <c r="C40" s="349">
        <f t="shared" ref="C40:J40" si="18">SUM(C41:C42)</f>
        <v>0</v>
      </c>
      <c r="D40" s="349">
        <f t="shared" si="18"/>
        <v>0</v>
      </c>
      <c r="E40" s="349">
        <f t="shared" si="18"/>
        <v>0</v>
      </c>
      <c r="F40" s="349">
        <f t="shared" si="18"/>
        <v>0</v>
      </c>
      <c r="G40" s="349">
        <f t="shared" si="18"/>
        <v>12</v>
      </c>
      <c r="H40" s="349">
        <f t="shared" si="18"/>
        <v>0</v>
      </c>
      <c r="I40" s="349">
        <f t="shared" si="18"/>
        <v>0</v>
      </c>
      <c r="J40" s="349">
        <f t="shared" si="18"/>
        <v>0</v>
      </c>
      <c r="K40" s="349">
        <f t="shared" si="12"/>
        <v>12</v>
      </c>
      <c r="L40" s="350">
        <f t="shared" si="2"/>
        <v>13920</v>
      </c>
      <c r="M40" s="349">
        <f t="shared" ref="M40:S40" si="19">SUM(M41:M42)</f>
        <v>1</v>
      </c>
      <c r="N40" s="349">
        <f t="shared" si="19"/>
        <v>8</v>
      </c>
      <c r="O40" s="349">
        <f t="shared" si="19"/>
        <v>7</v>
      </c>
      <c r="P40" s="349">
        <f t="shared" si="19"/>
        <v>6</v>
      </c>
      <c r="Q40" s="349">
        <f t="shared" si="19"/>
        <v>2</v>
      </c>
      <c r="R40" s="349">
        <f t="shared" si="19"/>
        <v>0</v>
      </c>
      <c r="S40" s="349">
        <f t="shared" si="19"/>
        <v>0</v>
      </c>
      <c r="T40" s="349">
        <f t="shared" si="4"/>
        <v>24</v>
      </c>
      <c r="U40" s="212"/>
      <c r="V40" s="3"/>
    </row>
    <row r="41" spans="1:22" ht="47.65" customHeight="1">
      <c r="A41" s="348"/>
      <c r="B41" s="222" t="s">
        <v>196</v>
      </c>
      <c r="C41" s="212">
        <v>0</v>
      </c>
      <c r="D41" s="212">
        <v>0</v>
      </c>
      <c r="E41" s="212">
        <v>0</v>
      </c>
      <c r="F41" s="212">
        <v>0</v>
      </c>
      <c r="G41" s="212">
        <v>6</v>
      </c>
      <c r="H41" s="212"/>
      <c r="I41" s="212"/>
      <c r="J41" s="212"/>
      <c r="K41" s="351">
        <f t="shared" si="12"/>
        <v>6</v>
      </c>
      <c r="L41" s="352">
        <f t="shared" si="2"/>
        <v>6960</v>
      </c>
      <c r="M41" s="212">
        <v>1</v>
      </c>
      <c r="N41" s="212">
        <v>2</v>
      </c>
      <c r="O41" s="212">
        <v>1</v>
      </c>
      <c r="P41" s="212"/>
      <c r="Q41" s="212"/>
      <c r="R41" s="212"/>
      <c r="S41" s="212"/>
      <c r="T41" s="353">
        <f t="shared" si="4"/>
        <v>4</v>
      </c>
      <c r="U41" s="212"/>
      <c r="V41" s="3"/>
    </row>
    <row r="42" spans="1:22" ht="47.65" customHeight="1">
      <c r="A42" s="348"/>
      <c r="B42" s="222" t="s">
        <v>197</v>
      </c>
      <c r="C42" s="212">
        <v>0</v>
      </c>
      <c r="D42" s="212">
        <v>0</v>
      </c>
      <c r="E42" s="212">
        <v>0</v>
      </c>
      <c r="F42" s="212">
        <v>0</v>
      </c>
      <c r="G42" s="212">
        <v>6</v>
      </c>
      <c r="H42" s="212"/>
      <c r="I42" s="212"/>
      <c r="J42" s="212"/>
      <c r="K42" s="351">
        <f t="shared" si="12"/>
        <v>6</v>
      </c>
      <c r="L42" s="352">
        <f t="shared" si="2"/>
        <v>6960</v>
      </c>
      <c r="M42" s="212"/>
      <c r="N42" s="212">
        <v>6</v>
      </c>
      <c r="O42" s="212">
        <v>6</v>
      </c>
      <c r="P42" s="212">
        <v>6</v>
      </c>
      <c r="Q42" s="212">
        <v>2</v>
      </c>
      <c r="R42" s="212"/>
      <c r="S42" s="212"/>
      <c r="T42" s="353">
        <f t="shared" si="4"/>
        <v>20</v>
      </c>
      <c r="U42" s="212"/>
      <c r="V42" s="3"/>
    </row>
    <row r="43" spans="1:22" ht="47.65" customHeight="1">
      <c r="A43" s="348"/>
      <c r="B43" s="330" t="s">
        <v>53</v>
      </c>
      <c r="C43" s="349">
        <f t="shared" ref="C43:J43" si="20">SUM(C44:C45)</f>
        <v>0</v>
      </c>
      <c r="D43" s="349">
        <f t="shared" si="20"/>
        <v>4</v>
      </c>
      <c r="E43" s="349">
        <f t="shared" si="20"/>
        <v>3</v>
      </c>
      <c r="F43" s="349">
        <f t="shared" si="20"/>
        <v>5</v>
      </c>
      <c r="G43" s="349">
        <f t="shared" si="20"/>
        <v>0</v>
      </c>
      <c r="H43" s="349">
        <f t="shared" si="20"/>
        <v>2</v>
      </c>
      <c r="I43" s="349">
        <f t="shared" si="20"/>
        <v>0</v>
      </c>
      <c r="J43" s="349">
        <f t="shared" si="20"/>
        <v>0</v>
      </c>
      <c r="K43" s="349">
        <f t="shared" si="12"/>
        <v>14</v>
      </c>
      <c r="L43" s="350">
        <f t="shared" si="2"/>
        <v>15760</v>
      </c>
      <c r="M43" s="349">
        <f t="shared" ref="M43:S43" si="21">SUM(M44:M45)</f>
        <v>3</v>
      </c>
      <c r="N43" s="349">
        <f t="shared" si="21"/>
        <v>2</v>
      </c>
      <c r="O43" s="349">
        <f t="shared" si="21"/>
        <v>2</v>
      </c>
      <c r="P43" s="349">
        <f t="shared" si="21"/>
        <v>1</v>
      </c>
      <c r="Q43" s="349">
        <f t="shared" si="21"/>
        <v>2</v>
      </c>
      <c r="R43" s="349">
        <f t="shared" si="21"/>
        <v>0</v>
      </c>
      <c r="S43" s="349">
        <f t="shared" si="21"/>
        <v>0</v>
      </c>
      <c r="T43" s="349">
        <f t="shared" si="4"/>
        <v>10</v>
      </c>
      <c r="U43" s="212"/>
      <c r="V43" s="3"/>
    </row>
    <row r="44" spans="1:22" ht="24" customHeight="1">
      <c r="A44" s="348"/>
      <c r="B44" s="222" t="s">
        <v>198</v>
      </c>
      <c r="C44" s="212">
        <v>0</v>
      </c>
      <c r="D44" s="212">
        <v>2</v>
      </c>
      <c r="E44" s="212">
        <v>1</v>
      </c>
      <c r="F44" s="212">
        <v>2</v>
      </c>
      <c r="G44" s="212">
        <v>0</v>
      </c>
      <c r="H44" s="212">
        <v>1</v>
      </c>
      <c r="I44" s="212"/>
      <c r="J44" s="212"/>
      <c r="K44" s="351">
        <f t="shared" si="12"/>
        <v>6</v>
      </c>
      <c r="L44" s="352">
        <f t="shared" si="2"/>
        <v>6800</v>
      </c>
      <c r="M44" s="212">
        <v>1</v>
      </c>
      <c r="N44" s="212">
        <v>1</v>
      </c>
      <c r="O44" s="212">
        <v>0</v>
      </c>
      <c r="P44" s="212">
        <v>0</v>
      </c>
      <c r="Q44" s="212">
        <v>1</v>
      </c>
      <c r="R44" s="212"/>
      <c r="S44" s="212"/>
      <c r="T44" s="353">
        <f t="shared" si="4"/>
        <v>3</v>
      </c>
      <c r="U44" s="212"/>
      <c r="V44" s="3"/>
    </row>
    <row r="45" spans="1:22" ht="24" customHeight="1">
      <c r="A45" s="348"/>
      <c r="B45" s="222" t="s">
        <v>53</v>
      </c>
      <c r="C45" s="212">
        <v>0</v>
      </c>
      <c r="D45" s="212">
        <v>2</v>
      </c>
      <c r="E45" s="212">
        <v>2</v>
      </c>
      <c r="F45" s="212">
        <v>3</v>
      </c>
      <c r="G45" s="212">
        <v>0</v>
      </c>
      <c r="H45" s="212">
        <v>1</v>
      </c>
      <c r="I45" s="212"/>
      <c r="J45" s="212"/>
      <c r="K45" s="351">
        <f t="shared" si="12"/>
        <v>8</v>
      </c>
      <c r="L45" s="352">
        <f t="shared" si="2"/>
        <v>8960</v>
      </c>
      <c r="M45" s="212">
        <v>2</v>
      </c>
      <c r="N45" s="212">
        <v>1</v>
      </c>
      <c r="O45" s="212">
        <v>2</v>
      </c>
      <c r="P45" s="212">
        <v>1</v>
      </c>
      <c r="Q45" s="212">
        <v>1</v>
      </c>
      <c r="R45" s="212"/>
      <c r="S45" s="212"/>
      <c r="T45" s="353">
        <f t="shared" si="4"/>
        <v>7</v>
      </c>
      <c r="U45" s="212"/>
      <c r="V45" s="3"/>
    </row>
    <row r="46" spans="1:22" ht="38.65" customHeight="1">
      <c r="A46" s="348"/>
      <c r="B46" s="330" t="s">
        <v>54</v>
      </c>
      <c r="C46" s="349">
        <f t="shared" ref="C46:J46" si="22">C47</f>
        <v>0</v>
      </c>
      <c r="D46" s="349">
        <f t="shared" si="22"/>
        <v>0</v>
      </c>
      <c r="E46" s="349">
        <f t="shared" si="22"/>
        <v>0</v>
      </c>
      <c r="F46" s="349">
        <f t="shared" si="22"/>
        <v>0</v>
      </c>
      <c r="G46" s="349">
        <f t="shared" si="22"/>
        <v>0</v>
      </c>
      <c r="H46" s="349">
        <f t="shared" si="22"/>
        <v>0</v>
      </c>
      <c r="I46" s="349">
        <f t="shared" si="22"/>
        <v>0</v>
      </c>
      <c r="J46" s="349">
        <f t="shared" si="22"/>
        <v>0</v>
      </c>
      <c r="K46" s="349">
        <f t="shared" si="12"/>
        <v>0</v>
      </c>
      <c r="L46" s="350">
        <f t="shared" si="2"/>
        <v>0</v>
      </c>
      <c r="M46" s="349">
        <f t="shared" ref="M46:S46" si="23">M47</f>
        <v>1</v>
      </c>
      <c r="N46" s="349">
        <f t="shared" si="23"/>
        <v>2</v>
      </c>
      <c r="O46" s="349">
        <f t="shared" si="23"/>
        <v>1</v>
      </c>
      <c r="P46" s="349">
        <f t="shared" si="23"/>
        <v>0</v>
      </c>
      <c r="Q46" s="349">
        <f t="shared" si="23"/>
        <v>2</v>
      </c>
      <c r="R46" s="349">
        <f t="shared" si="23"/>
        <v>0</v>
      </c>
      <c r="S46" s="349">
        <f t="shared" si="23"/>
        <v>0</v>
      </c>
      <c r="T46" s="349">
        <f t="shared" si="4"/>
        <v>6</v>
      </c>
      <c r="U46" s="212"/>
      <c r="V46" s="3"/>
    </row>
    <row r="47" spans="1:22" ht="24" customHeight="1">
      <c r="A47" s="348"/>
      <c r="B47" s="222" t="s">
        <v>199</v>
      </c>
      <c r="C47" s="212"/>
      <c r="D47" s="212"/>
      <c r="E47" s="212"/>
      <c r="F47" s="212"/>
      <c r="G47" s="212"/>
      <c r="H47" s="212"/>
      <c r="I47" s="212"/>
      <c r="J47" s="212"/>
      <c r="K47" s="351">
        <f t="shared" si="12"/>
        <v>0</v>
      </c>
      <c r="L47" s="352">
        <f t="shared" si="2"/>
        <v>0</v>
      </c>
      <c r="M47" s="212">
        <v>1</v>
      </c>
      <c r="N47" s="212">
        <v>2</v>
      </c>
      <c r="O47" s="212">
        <v>1</v>
      </c>
      <c r="P47" s="212"/>
      <c r="Q47" s="212">
        <v>2</v>
      </c>
      <c r="R47" s="212"/>
      <c r="S47" s="212"/>
      <c r="T47" s="353">
        <f t="shared" si="4"/>
        <v>6</v>
      </c>
      <c r="U47" s="212" t="s">
        <v>200</v>
      </c>
      <c r="V47" s="3"/>
    </row>
    <row r="48" spans="1:22" ht="24" customHeight="1">
      <c r="A48" s="348"/>
      <c r="B48" s="330" t="s">
        <v>55</v>
      </c>
      <c r="C48" s="349">
        <f t="shared" ref="C48:J48" si="24">C49</f>
        <v>0</v>
      </c>
      <c r="D48" s="349">
        <f t="shared" si="24"/>
        <v>1</v>
      </c>
      <c r="E48" s="349">
        <f t="shared" si="24"/>
        <v>2</v>
      </c>
      <c r="F48" s="349">
        <f t="shared" si="24"/>
        <v>2</v>
      </c>
      <c r="G48" s="349">
        <f t="shared" si="24"/>
        <v>0</v>
      </c>
      <c r="H48" s="349">
        <f t="shared" si="24"/>
        <v>1</v>
      </c>
      <c r="I48" s="349">
        <f t="shared" si="24"/>
        <v>0</v>
      </c>
      <c r="J48" s="349">
        <f t="shared" si="24"/>
        <v>0</v>
      </c>
      <c r="K48" s="349">
        <f t="shared" si="12"/>
        <v>6</v>
      </c>
      <c r="L48" s="350">
        <f t="shared" si="2"/>
        <v>6640</v>
      </c>
      <c r="M48" s="349">
        <f t="shared" ref="M48:S48" si="25">M49</f>
        <v>1</v>
      </c>
      <c r="N48" s="349">
        <f t="shared" si="25"/>
        <v>0</v>
      </c>
      <c r="O48" s="349">
        <f t="shared" si="25"/>
        <v>0</v>
      </c>
      <c r="P48" s="349">
        <f t="shared" si="25"/>
        <v>0</v>
      </c>
      <c r="Q48" s="349">
        <f t="shared" si="25"/>
        <v>2</v>
      </c>
      <c r="R48" s="349">
        <f t="shared" si="25"/>
        <v>0</v>
      </c>
      <c r="S48" s="349">
        <f t="shared" si="25"/>
        <v>0</v>
      </c>
      <c r="T48" s="349">
        <f t="shared" si="4"/>
        <v>3</v>
      </c>
      <c r="U48" s="212"/>
      <c r="V48" s="3"/>
    </row>
    <row r="49" spans="1:22" ht="24" customHeight="1">
      <c r="A49" s="348"/>
      <c r="B49" s="222" t="s">
        <v>55</v>
      </c>
      <c r="C49" s="212">
        <v>0</v>
      </c>
      <c r="D49" s="212">
        <v>1</v>
      </c>
      <c r="E49" s="212">
        <v>2</v>
      </c>
      <c r="F49" s="212">
        <v>2</v>
      </c>
      <c r="G49" s="212"/>
      <c r="H49" s="212">
        <v>1</v>
      </c>
      <c r="I49" s="212"/>
      <c r="J49" s="212"/>
      <c r="K49" s="351">
        <f t="shared" si="12"/>
        <v>6</v>
      </c>
      <c r="L49" s="352">
        <f t="shared" si="2"/>
        <v>6640</v>
      </c>
      <c r="M49" s="212">
        <v>1</v>
      </c>
      <c r="N49" s="212"/>
      <c r="O49" s="212"/>
      <c r="P49" s="212"/>
      <c r="Q49" s="212">
        <v>2</v>
      </c>
      <c r="R49" s="212"/>
      <c r="S49" s="212"/>
      <c r="T49" s="353">
        <f t="shared" si="4"/>
        <v>3</v>
      </c>
      <c r="U49" s="212"/>
      <c r="V49" s="3"/>
    </row>
    <row r="50" spans="1:22" ht="53.65" customHeight="1">
      <c r="A50" s="348"/>
      <c r="B50" s="330" t="s">
        <v>201</v>
      </c>
      <c r="C50" s="349">
        <f t="shared" ref="C50:J50" si="26">SUM(C51:C53)</f>
        <v>0</v>
      </c>
      <c r="D50" s="349">
        <f t="shared" si="26"/>
        <v>1</v>
      </c>
      <c r="E50" s="349">
        <f t="shared" si="26"/>
        <v>1</v>
      </c>
      <c r="F50" s="349">
        <f t="shared" si="26"/>
        <v>8</v>
      </c>
      <c r="G50" s="349">
        <f t="shared" si="26"/>
        <v>0</v>
      </c>
      <c r="H50" s="349">
        <f t="shared" si="26"/>
        <v>0</v>
      </c>
      <c r="I50" s="349">
        <f t="shared" si="26"/>
        <v>0</v>
      </c>
      <c r="J50" s="349">
        <f t="shared" si="26"/>
        <v>0</v>
      </c>
      <c r="K50" s="349">
        <f t="shared" si="12"/>
        <v>10</v>
      </c>
      <c r="L50" s="350">
        <f t="shared" si="2"/>
        <v>11440</v>
      </c>
      <c r="M50" s="349">
        <f t="shared" ref="M50:S50" si="27">SUM(M51:M53)</f>
        <v>0</v>
      </c>
      <c r="N50" s="349">
        <f t="shared" si="27"/>
        <v>0</v>
      </c>
      <c r="O50" s="349">
        <f t="shared" si="27"/>
        <v>0</v>
      </c>
      <c r="P50" s="349">
        <f t="shared" si="27"/>
        <v>0</v>
      </c>
      <c r="Q50" s="349">
        <f t="shared" si="27"/>
        <v>0</v>
      </c>
      <c r="R50" s="349">
        <f t="shared" si="27"/>
        <v>0</v>
      </c>
      <c r="S50" s="349">
        <f t="shared" si="27"/>
        <v>0</v>
      </c>
      <c r="T50" s="349">
        <f t="shared" si="4"/>
        <v>0</v>
      </c>
      <c r="U50" s="212"/>
      <c r="V50" s="3"/>
    </row>
    <row r="51" spans="1:22" ht="24" customHeight="1">
      <c r="A51" s="348"/>
      <c r="B51" s="294" t="s">
        <v>202</v>
      </c>
      <c r="C51" s="295">
        <v>0</v>
      </c>
      <c r="D51" s="295">
        <v>1</v>
      </c>
      <c r="E51" s="295">
        <v>1</v>
      </c>
      <c r="F51" s="295">
        <v>8</v>
      </c>
      <c r="G51" s="295">
        <v>0</v>
      </c>
      <c r="H51" s="295">
        <v>0</v>
      </c>
      <c r="I51" s="295">
        <v>0</v>
      </c>
      <c r="J51" s="295">
        <v>0</v>
      </c>
      <c r="K51" s="351">
        <f t="shared" si="12"/>
        <v>10</v>
      </c>
      <c r="L51" s="352">
        <f t="shared" si="2"/>
        <v>11440</v>
      </c>
      <c r="M51" s="212"/>
      <c r="N51" s="212"/>
      <c r="O51" s="212"/>
      <c r="P51" s="212"/>
      <c r="Q51" s="212"/>
      <c r="R51" s="212"/>
      <c r="S51" s="212"/>
      <c r="T51" s="353">
        <f t="shared" si="4"/>
        <v>0</v>
      </c>
      <c r="U51" s="212" t="s">
        <v>203</v>
      </c>
      <c r="V51" s="3"/>
    </row>
    <row r="52" spans="1:22" ht="24" customHeight="1">
      <c r="A52" s="348"/>
      <c r="B52" s="294" t="s">
        <v>204</v>
      </c>
      <c r="C52" s="295">
        <v>0</v>
      </c>
      <c r="D52" s="295">
        <v>0</v>
      </c>
      <c r="E52" s="295">
        <v>0</v>
      </c>
      <c r="F52" s="295">
        <v>0</v>
      </c>
      <c r="G52" s="295">
        <v>0</v>
      </c>
      <c r="H52" s="295">
        <v>0</v>
      </c>
      <c r="I52" s="295">
        <v>0</v>
      </c>
      <c r="J52" s="295">
        <v>0</v>
      </c>
      <c r="K52" s="351">
        <f t="shared" si="12"/>
        <v>0</v>
      </c>
      <c r="L52" s="352">
        <f t="shared" si="2"/>
        <v>0</v>
      </c>
      <c r="M52" s="212"/>
      <c r="N52" s="212"/>
      <c r="O52" s="212"/>
      <c r="P52" s="212"/>
      <c r="Q52" s="212"/>
      <c r="R52" s="212"/>
      <c r="S52" s="212"/>
      <c r="T52" s="353">
        <f t="shared" si="4"/>
        <v>0</v>
      </c>
      <c r="U52" s="212"/>
      <c r="V52" s="3"/>
    </row>
    <row r="53" spans="1:22" ht="24" customHeight="1">
      <c r="A53" s="348"/>
      <c r="B53" s="222" t="s">
        <v>205</v>
      </c>
      <c r="C53" s="212"/>
      <c r="D53" s="212"/>
      <c r="E53" s="212"/>
      <c r="F53" s="212"/>
      <c r="G53" s="212"/>
      <c r="H53" s="212"/>
      <c r="I53" s="212"/>
      <c r="J53" s="212"/>
      <c r="K53" s="351">
        <f t="shared" si="12"/>
        <v>0</v>
      </c>
      <c r="L53" s="352">
        <f t="shared" si="2"/>
        <v>0</v>
      </c>
      <c r="M53" s="212"/>
      <c r="N53" s="212"/>
      <c r="O53" s="212"/>
      <c r="P53" s="212"/>
      <c r="Q53" s="212"/>
      <c r="R53" s="212"/>
      <c r="S53" s="212"/>
      <c r="T53" s="353">
        <f t="shared" si="4"/>
        <v>0</v>
      </c>
      <c r="U53" s="212"/>
      <c r="V53" s="3"/>
    </row>
    <row r="54" spans="1:22" ht="24" customHeight="1">
      <c r="A54" s="348"/>
      <c r="B54" s="206" t="s">
        <v>206</v>
      </c>
      <c r="C54" s="354">
        <f t="shared" ref="C54:T54" si="28">C15+C17+C23+C27+C34+C38+C40+C43+C46+C48+C50</f>
        <v>6</v>
      </c>
      <c r="D54" s="354">
        <f t="shared" si="28"/>
        <v>30</v>
      </c>
      <c r="E54" s="354">
        <f t="shared" si="28"/>
        <v>63</v>
      </c>
      <c r="F54" s="354">
        <f t="shared" si="28"/>
        <v>256</v>
      </c>
      <c r="G54" s="354">
        <f t="shared" si="28"/>
        <v>12</v>
      </c>
      <c r="H54" s="354">
        <f t="shared" si="28"/>
        <v>15</v>
      </c>
      <c r="I54" s="354">
        <f t="shared" si="28"/>
        <v>0</v>
      </c>
      <c r="J54" s="354">
        <f t="shared" si="28"/>
        <v>0</v>
      </c>
      <c r="K54" s="354">
        <f t="shared" si="28"/>
        <v>382</v>
      </c>
      <c r="L54" s="355">
        <f t="shared" si="28"/>
        <v>433520</v>
      </c>
      <c r="M54" s="354">
        <f t="shared" si="28"/>
        <v>23</v>
      </c>
      <c r="N54" s="354">
        <f t="shared" si="28"/>
        <v>40</v>
      </c>
      <c r="O54" s="354">
        <f t="shared" si="28"/>
        <v>32</v>
      </c>
      <c r="P54" s="354">
        <f t="shared" si="28"/>
        <v>10</v>
      </c>
      <c r="Q54" s="354">
        <f t="shared" si="28"/>
        <v>29</v>
      </c>
      <c r="R54" s="354">
        <f t="shared" si="28"/>
        <v>0</v>
      </c>
      <c r="S54" s="354">
        <f t="shared" si="28"/>
        <v>0</v>
      </c>
      <c r="T54" s="354">
        <f t="shared" si="28"/>
        <v>134</v>
      </c>
      <c r="U54" s="212"/>
      <c r="V54" s="3"/>
    </row>
    <row r="55" spans="1:22" s="8" customFormat="1" ht="24" customHeight="1" thickBot="1">
      <c r="A55" s="356"/>
      <c r="B55" s="357"/>
      <c r="C55" s="358"/>
      <c r="D55" s="359"/>
      <c r="E55" s="359"/>
      <c r="F55" s="359"/>
      <c r="G55" s="359"/>
      <c r="H55" s="359"/>
      <c r="I55" s="359"/>
      <c r="J55" s="359"/>
      <c r="K55" s="85"/>
      <c r="L55" s="360"/>
      <c r="M55" s="87"/>
      <c r="N55" s="84"/>
      <c r="O55" s="84"/>
      <c r="P55" s="84"/>
      <c r="Q55" s="84"/>
      <c r="R55" s="84"/>
      <c r="S55" s="84"/>
      <c r="T55" s="88"/>
      <c r="U55" s="361"/>
    </row>
    <row r="56" spans="1:22" ht="24" customHeight="1" thickTop="1" thickBot="1">
      <c r="A56" s="348"/>
      <c r="B56" s="362" t="s">
        <v>57</v>
      </c>
      <c r="C56" s="363">
        <v>18000</v>
      </c>
      <c r="D56" s="364"/>
      <c r="E56" s="365"/>
      <c r="F56" s="365"/>
      <c r="G56" s="365"/>
      <c r="H56" s="365"/>
      <c r="I56" s="365"/>
      <c r="J56" s="365"/>
      <c r="K56" s="94"/>
      <c r="L56" s="366"/>
      <c r="M56" s="46"/>
      <c r="N56" s="46"/>
      <c r="O56" s="46"/>
      <c r="P56" s="46"/>
      <c r="Q56" s="46"/>
      <c r="R56" s="46"/>
      <c r="S56" s="46"/>
      <c r="T56" s="46"/>
      <c r="U56" s="367"/>
      <c r="V56" s="3"/>
    </row>
    <row r="57" spans="1:22" s="3" customFormat="1" ht="24" customHeight="1" thickTop="1" thickBot="1">
      <c r="A57" s="368"/>
      <c r="B57" s="369"/>
      <c r="C57" s="370"/>
      <c r="D57" s="371"/>
      <c r="E57" s="371"/>
      <c r="F57" s="371"/>
      <c r="G57" s="371"/>
      <c r="H57" s="371"/>
      <c r="I57" s="371"/>
      <c r="J57" s="371"/>
      <c r="K57" s="100"/>
      <c r="L57" s="372"/>
      <c r="M57" s="46"/>
      <c r="N57" s="46"/>
      <c r="O57" s="46"/>
      <c r="P57" s="46"/>
      <c r="Q57" s="46"/>
      <c r="R57" s="46"/>
      <c r="S57" s="46"/>
      <c r="T57" s="46"/>
      <c r="U57" s="373"/>
    </row>
    <row r="58" spans="1:22" s="9" customFormat="1" ht="31.15" customHeight="1" thickTop="1" thickBot="1">
      <c r="A58" s="374"/>
      <c r="B58" s="221" t="s">
        <v>207</v>
      </c>
      <c r="C58" s="375">
        <f t="shared" ref="C58:J58" si="29">C54*C13</f>
        <v>7440</v>
      </c>
      <c r="D58" s="375">
        <f t="shared" si="29"/>
        <v>34800</v>
      </c>
      <c r="E58" s="375">
        <f t="shared" si="29"/>
        <v>63000</v>
      </c>
      <c r="F58" s="375">
        <f t="shared" si="29"/>
        <v>296960</v>
      </c>
      <c r="G58" s="375">
        <f t="shared" si="29"/>
        <v>13920</v>
      </c>
      <c r="H58" s="375">
        <f t="shared" si="29"/>
        <v>17400</v>
      </c>
      <c r="I58" s="375">
        <f t="shared" si="29"/>
        <v>0</v>
      </c>
      <c r="J58" s="375">
        <f t="shared" si="29"/>
        <v>0</v>
      </c>
      <c r="K58" s="105"/>
      <c r="L58" s="372"/>
      <c r="M58" s="106"/>
      <c r="N58" s="106"/>
      <c r="O58" s="106"/>
      <c r="P58" s="106"/>
      <c r="Q58" s="106"/>
      <c r="R58" s="106"/>
      <c r="S58" s="106"/>
      <c r="T58" s="106"/>
      <c r="U58" s="373"/>
      <c r="V58" s="376"/>
    </row>
    <row r="59" spans="1:22" ht="24" customHeight="1" thickTop="1" thickBot="1">
      <c r="A59" s="368"/>
      <c r="B59" s="377"/>
      <c r="C59" s="378"/>
      <c r="D59" s="379"/>
      <c r="E59" s="379"/>
      <c r="F59" s="379"/>
      <c r="G59" s="380"/>
      <c r="H59" s="381"/>
      <c r="I59" s="379"/>
      <c r="J59" s="379"/>
      <c r="K59" s="100"/>
      <c r="L59" s="372"/>
      <c r="M59" s="46"/>
      <c r="N59" s="46"/>
      <c r="O59" s="46"/>
      <c r="P59" s="46"/>
      <c r="Q59" s="46"/>
      <c r="R59" s="46"/>
      <c r="S59" s="46"/>
      <c r="T59" s="46"/>
      <c r="U59" s="367"/>
      <c r="V59" s="3"/>
    </row>
    <row r="60" spans="1:22" ht="16.5" thickTop="1" thickBot="1">
      <c r="A60" s="348"/>
      <c r="B60" s="221" t="s">
        <v>208</v>
      </c>
      <c r="C60" s="375">
        <f>SUM(C58:J58)+C56</f>
        <v>451520</v>
      </c>
      <c r="D60" s="382"/>
      <c r="E60" s="383"/>
      <c r="F60" s="384"/>
      <c r="G60" s="385"/>
      <c r="H60" s="383"/>
      <c r="I60" s="383"/>
      <c r="J60" s="383"/>
      <c r="K60" s="117"/>
      <c r="L60" s="372"/>
      <c r="M60" s="46"/>
      <c r="N60" s="46"/>
      <c r="O60" s="46"/>
      <c r="P60" s="46"/>
      <c r="Q60" s="46"/>
      <c r="R60" s="46"/>
      <c r="S60" s="46"/>
      <c r="T60" s="46"/>
      <c r="U60" s="367"/>
      <c r="V60" s="3"/>
    </row>
    <row r="61" spans="1:22" ht="15.75" thickTop="1" thickBot="1">
      <c r="A61" s="368"/>
      <c r="B61" s="377"/>
      <c r="C61" s="378"/>
      <c r="D61" s="383"/>
      <c r="E61" s="383"/>
      <c r="F61" s="384"/>
      <c r="G61" s="385"/>
      <c r="H61" s="383"/>
      <c r="I61" s="383"/>
      <c r="J61" s="383"/>
      <c r="K61" s="117"/>
      <c r="L61" s="372"/>
      <c r="M61" s="46"/>
      <c r="N61" s="46"/>
      <c r="O61" s="46"/>
      <c r="P61" s="46"/>
      <c r="Q61" s="46"/>
      <c r="R61" s="46"/>
      <c r="S61" s="46"/>
      <c r="T61" s="46"/>
      <c r="U61" s="367"/>
      <c r="V61" s="3"/>
    </row>
    <row r="62" spans="1:22" ht="15.75" thickTop="1">
      <c r="A62" s="348"/>
      <c r="B62" s="221" t="s">
        <v>209</v>
      </c>
      <c r="C62" s="375">
        <f>IFERROR(L54/K54,)</f>
        <v>1134.8691099476439</v>
      </c>
      <c r="D62" s="223"/>
      <c r="E62" s="223"/>
      <c r="F62" s="223"/>
      <c r="G62" s="224"/>
      <c r="H62" s="223"/>
      <c r="I62" s="223"/>
      <c r="J62" s="223"/>
      <c r="K62" s="120"/>
      <c r="L62" s="386"/>
      <c r="M62" s="46"/>
      <c r="N62" s="46"/>
      <c r="O62" s="46"/>
      <c r="P62" s="46"/>
      <c r="Q62" s="46"/>
      <c r="R62" s="46"/>
      <c r="S62" s="46"/>
      <c r="T62" s="46"/>
      <c r="U62" s="367"/>
      <c r="V62" s="3"/>
    </row>
    <row r="63" spans="1:22">
      <c r="A63" s="3"/>
      <c r="B63" s="223"/>
      <c r="C63" s="223"/>
      <c r="D63" s="223"/>
      <c r="E63" s="223"/>
      <c r="F63" s="223"/>
      <c r="G63" s="224"/>
      <c r="H63" s="223"/>
      <c r="I63" s="223"/>
      <c r="J63" s="223"/>
      <c r="K63" s="159"/>
      <c r="L63" s="225"/>
      <c r="M63" s="3"/>
      <c r="N63" s="3"/>
      <c r="O63" s="3"/>
      <c r="P63" s="3"/>
      <c r="Q63" s="3"/>
      <c r="R63" s="3"/>
      <c r="S63" s="3"/>
      <c r="T63" s="3"/>
      <c r="U63" s="226"/>
      <c r="V63" s="3"/>
    </row>
    <row r="64" spans="1:22">
      <c r="A64" s="3"/>
      <c r="B64" s="3"/>
      <c r="C64" s="3"/>
      <c r="D64" s="3"/>
      <c r="E64" s="3"/>
      <c r="F64" s="3"/>
      <c r="G64" s="10"/>
      <c r="H64" s="3"/>
      <c r="I64" s="3"/>
      <c r="J64" s="3"/>
      <c r="K64" s="159"/>
      <c r="L64" s="225"/>
      <c r="M64" s="3"/>
      <c r="N64" s="3"/>
      <c r="O64" s="3"/>
      <c r="P64" s="3"/>
      <c r="Q64" s="3"/>
      <c r="R64" s="3"/>
      <c r="S64" s="3"/>
      <c r="T64" s="3"/>
      <c r="U64" s="226"/>
      <c r="V64" s="3"/>
    </row>
    <row r="65" spans="1:22">
      <c r="A65" s="3"/>
      <c r="B65" s="3"/>
      <c r="C65" s="3"/>
      <c r="D65" s="3"/>
      <c r="E65" s="3"/>
      <c r="F65" s="3"/>
      <c r="G65" s="10"/>
      <c r="H65" s="3"/>
      <c r="I65" s="3"/>
      <c r="J65" s="3"/>
      <c r="K65" s="159"/>
      <c r="L65" s="225"/>
      <c r="M65" s="3"/>
      <c r="N65" s="3"/>
      <c r="O65" s="3"/>
      <c r="P65" s="3"/>
      <c r="Q65" s="3"/>
      <c r="R65" s="3"/>
      <c r="S65" s="3"/>
      <c r="T65" s="3"/>
      <c r="U65" s="226"/>
      <c r="V65" s="3"/>
    </row>
    <row r="66" spans="1:22">
      <c r="A66" s="3"/>
      <c r="B66" s="387" t="s">
        <v>152</v>
      </c>
      <c r="C66" s="3"/>
      <c r="D66" s="3"/>
      <c r="E66" s="3"/>
      <c r="F66" s="3"/>
      <c r="G66" s="3"/>
      <c r="H66" s="3"/>
      <c r="I66" s="3"/>
      <c r="J66" s="3"/>
      <c r="K66" s="159"/>
      <c r="L66" s="225"/>
      <c r="M66" s="3"/>
      <c r="N66" s="3"/>
      <c r="O66" s="3"/>
      <c r="P66" s="3"/>
      <c r="Q66" s="3"/>
      <c r="R66" s="3"/>
      <c r="S66" s="3"/>
      <c r="T66" s="3"/>
      <c r="U66" s="226"/>
      <c r="V66" s="3"/>
    </row>
    <row r="67" spans="1:22">
      <c r="A67" s="3"/>
      <c r="B67" s="3"/>
      <c r="C67" s="3"/>
      <c r="D67" s="3"/>
      <c r="E67" s="3"/>
      <c r="F67" s="3"/>
      <c r="G67" s="10"/>
      <c r="H67" s="3"/>
      <c r="I67" s="3"/>
      <c r="J67" s="3"/>
      <c r="K67" s="159"/>
      <c r="L67" s="225"/>
      <c r="M67" s="3"/>
      <c r="N67" s="3"/>
      <c r="O67" s="3"/>
      <c r="P67" s="3"/>
      <c r="Q67" s="3"/>
      <c r="R67" s="3"/>
      <c r="S67" s="3"/>
      <c r="T67" s="3"/>
      <c r="U67" s="226"/>
      <c r="V67" s="3"/>
    </row>
    <row r="68" spans="1:22">
      <c r="A68" s="3"/>
      <c r="B68" s="3"/>
      <c r="C68" s="3"/>
      <c r="D68" s="3"/>
      <c r="E68" s="3"/>
      <c r="F68" s="3"/>
      <c r="G68" s="10"/>
      <c r="H68" s="3"/>
      <c r="I68" s="3"/>
      <c r="J68" s="3"/>
      <c r="K68" s="159"/>
      <c r="L68" s="225"/>
      <c r="M68" s="3"/>
      <c r="N68" s="3"/>
      <c r="O68" s="3"/>
      <c r="P68" s="3"/>
      <c r="Q68" s="3"/>
      <c r="R68" s="3"/>
      <c r="S68" s="3"/>
      <c r="T68" s="3"/>
      <c r="U68" s="226"/>
      <c r="V68" s="3"/>
    </row>
    <row r="69" spans="1:22">
      <c r="A69" s="3"/>
      <c r="B69" s="3"/>
      <c r="C69" s="3"/>
      <c r="D69" s="3"/>
      <c r="E69" s="3"/>
      <c r="F69" s="3"/>
      <c r="G69" s="10"/>
      <c r="H69" s="3"/>
      <c r="I69" s="3"/>
      <c r="J69" s="3"/>
      <c r="K69" s="159"/>
      <c r="L69" s="225"/>
      <c r="M69" s="3"/>
      <c r="N69" s="3"/>
      <c r="O69" s="3"/>
      <c r="P69" s="3"/>
      <c r="Q69" s="3"/>
      <c r="R69" s="3"/>
      <c r="S69" s="3"/>
      <c r="T69" s="3"/>
      <c r="U69" s="226"/>
      <c r="V69" s="3"/>
    </row>
    <row r="70" spans="1:22">
      <c r="A70" s="3"/>
      <c r="B70" s="3"/>
      <c r="C70" s="3"/>
      <c r="D70" s="3"/>
      <c r="E70" s="3"/>
      <c r="F70" s="3"/>
      <c r="G70" s="10"/>
      <c r="H70" s="3"/>
      <c r="I70" s="3"/>
      <c r="J70" s="3"/>
      <c r="K70" s="159"/>
      <c r="L70" s="225"/>
      <c r="M70" s="3"/>
      <c r="N70" s="3"/>
      <c r="O70" s="3"/>
      <c r="P70" s="3"/>
      <c r="Q70" s="3"/>
      <c r="R70" s="3"/>
      <c r="S70" s="3"/>
      <c r="T70" s="3"/>
      <c r="U70" s="226"/>
      <c r="V70" s="3"/>
    </row>
    <row r="71" spans="1:22">
      <c r="A71" s="3"/>
      <c r="B71" s="3"/>
      <c r="C71" s="3"/>
      <c r="D71" s="3"/>
      <c r="E71" s="3"/>
      <c r="F71" s="3"/>
      <c r="G71" s="10"/>
      <c r="H71" s="3"/>
      <c r="I71" s="3"/>
      <c r="J71" s="3"/>
      <c r="K71" s="159"/>
      <c r="L71" s="225"/>
      <c r="M71" s="3"/>
      <c r="N71" s="3"/>
      <c r="O71" s="3"/>
      <c r="P71" s="3"/>
      <c r="Q71" s="3"/>
      <c r="R71" s="3"/>
      <c r="S71" s="3"/>
      <c r="T71" s="3"/>
      <c r="U71" s="226"/>
      <c r="V71" s="3"/>
    </row>
    <row r="72" spans="1:22">
      <c r="A72" s="3"/>
      <c r="B72" s="3"/>
      <c r="C72" s="3"/>
      <c r="D72" s="3"/>
      <c r="E72" s="3"/>
      <c r="F72" s="3"/>
      <c r="G72" s="10"/>
      <c r="H72" s="3"/>
      <c r="I72" s="3"/>
      <c r="J72" s="3"/>
      <c r="K72" s="159"/>
      <c r="L72" s="225"/>
      <c r="M72" s="3"/>
      <c r="N72" s="3"/>
      <c r="O72" s="3"/>
      <c r="P72" s="3"/>
      <c r="Q72" s="3"/>
      <c r="R72" s="3"/>
      <c r="S72" s="3"/>
      <c r="T72" s="3"/>
      <c r="U72" s="226"/>
      <c r="V72" s="3"/>
    </row>
    <row r="73" spans="1:22">
      <c r="A73" s="3"/>
      <c r="B73" s="3"/>
      <c r="C73" s="3"/>
      <c r="D73" s="3"/>
      <c r="E73" s="3"/>
      <c r="F73" s="3"/>
      <c r="G73" s="10"/>
      <c r="H73" s="3"/>
      <c r="I73" s="3"/>
      <c r="J73" s="3"/>
      <c r="K73" s="159"/>
      <c r="L73" s="225"/>
      <c r="M73" s="3"/>
      <c r="N73" s="3"/>
      <c r="O73" s="3"/>
      <c r="P73" s="3"/>
      <c r="Q73" s="3"/>
      <c r="R73" s="3"/>
      <c r="S73" s="3"/>
      <c r="T73" s="3"/>
      <c r="U73" s="226"/>
      <c r="V73" s="3"/>
    </row>
    <row r="74" spans="1:22">
      <c r="A74" s="3"/>
      <c r="B74" s="3"/>
      <c r="C74" s="3"/>
      <c r="D74" s="3"/>
      <c r="E74" s="3"/>
      <c r="F74" s="3"/>
      <c r="G74" s="10"/>
      <c r="H74" s="3"/>
      <c r="I74" s="3"/>
      <c r="J74" s="3"/>
      <c r="K74" s="159"/>
      <c r="L74" s="225"/>
      <c r="M74" s="3"/>
      <c r="N74" s="3"/>
      <c r="O74" s="3"/>
      <c r="P74" s="3"/>
      <c r="Q74" s="3"/>
      <c r="R74" s="3"/>
      <c r="S74" s="3"/>
      <c r="T74" s="3"/>
      <c r="U74" s="226"/>
      <c r="V74" s="3"/>
    </row>
    <row r="75" spans="1:22">
      <c r="A75" s="3"/>
      <c r="B75" s="3"/>
      <c r="C75" s="3"/>
      <c r="D75" s="3"/>
      <c r="E75" s="3"/>
      <c r="F75" s="3"/>
      <c r="G75" s="10"/>
      <c r="H75" s="3"/>
      <c r="I75" s="3"/>
      <c r="J75" s="3"/>
      <c r="K75" s="159"/>
      <c r="L75" s="225"/>
      <c r="M75" s="3"/>
      <c r="N75" s="3"/>
      <c r="O75" s="3"/>
      <c r="P75" s="3"/>
      <c r="Q75" s="3"/>
      <c r="R75" s="3"/>
      <c r="S75" s="3"/>
      <c r="T75" s="3"/>
      <c r="U75" s="226"/>
      <c r="V75" s="3"/>
    </row>
    <row r="76" spans="1:22">
      <c r="A76" s="3"/>
      <c r="B76" s="3"/>
      <c r="C76" s="3"/>
      <c r="D76" s="3"/>
      <c r="E76" s="3"/>
      <c r="F76" s="3"/>
      <c r="G76" s="10"/>
      <c r="H76" s="3"/>
      <c r="I76" s="3"/>
      <c r="J76" s="3"/>
      <c r="K76" s="159"/>
      <c r="L76" s="225"/>
      <c r="M76" s="3"/>
      <c r="N76" s="3"/>
      <c r="O76" s="3"/>
      <c r="P76" s="3"/>
      <c r="Q76" s="3"/>
      <c r="R76" s="3"/>
      <c r="S76" s="3"/>
      <c r="T76" s="3"/>
      <c r="U76" s="226"/>
      <c r="V76" s="3"/>
    </row>
    <row r="77" spans="1:22">
      <c r="A77" s="3"/>
      <c r="H77" s="5"/>
    </row>
    <row r="78" spans="1:22">
      <c r="H78" s="5"/>
    </row>
    <row r="79" spans="1:22">
      <c r="H79" s="5"/>
    </row>
    <row r="80" spans="1:22">
      <c r="H80" s="5"/>
    </row>
    <row r="81" spans="8:8">
      <c r="H81" s="5"/>
    </row>
    <row r="82" spans="8:8">
      <c r="H82" s="5"/>
    </row>
    <row r="83" spans="8:8">
      <c r="H83" s="5"/>
    </row>
    <row r="84" spans="8:8">
      <c r="H84" s="5"/>
    </row>
    <row r="85" spans="8:8">
      <c r="H85" s="5"/>
    </row>
    <row r="86" spans="8:8">
      <c r="H86" s="5"/>
    </row>
    <row r="87" spans="8:8">
      <c r="H87" s="5"/>
    </row>
    <row r="88" spans="8:8">
      <c r="H88" s="5"/>
    </row>
    <row r="89" spans="8:8">
      <c r="H89" s="5"/>
    </row>
    <row r="90" spans="8:8">
      <c r="H90" s="5"/>
    </row>
    <row r="91" spans="8:8">
      <c r="H91" s="5"/>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row r="106" spans="8:8">
      <c r="H106" s="5"/>
    </row>
    <row r="107" spans="8:8">
      <c r="H107" s="5"/>
    </row>
    <row r="108" spans="8:8">
      <c r="H108" s="5"/>
    </row>
    <row r="109" spans="8:8">
      <c r="H109" s="5"/>
    </row>
    <row r="110" spans="8:8">
      <c r="H110" s="5"/>
    </row>
    <row r="111" spans="8:8">
      <c r="H111" s="5"/>
    </row>
    <row r="112" spans="8:8">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row r="131" spans="8:8">
      <c r="H131" s="5"/>
    </row>
    <row r="132" spans="8:8">
      <c r="H132" s="5"/>
    </row>
    <row r="133" spans="8:8">
      <c r="H133" s="5"/>
    </row>
    <row r="134" spans="8:8">
      <c r="H134" s="5"/>
    </row>
    <row r="135" spans="8:8">
      <c r="H135" s="5"/>
    </row>
    <row r="136" spans="8:8">
      <c r="H136" s="5"/>
    </row>
    <row r="137" spans="8:8">
      <c r="H137" s="5"/>
    </row>
    <row r="138" spans="8:8">
      <c r="H138" s="5"/>
    </row>
    <row r="139" spans="8:8">
      <c r="H139" s="5"/>
    </row>
    <row r="140" spans="8:8">
      <c r="H140" s="5"/>
    </row>
    <row r="141" spans="8:8">
      <c r="H141" s="5"/>
    </row>
    <row r="142" spans="8:8">
      <c r="H142" s="5"/>
    </row>
    <row r="143" spans="8:8">
      <c r="H143" s="5"/>
    </row>
    <row r="144" spans="8:8">
      <c r="H144" s="5"/>
    </row>
    <row r="145" spans="8:8">
      <c r="H145" s="5"/>
    </row>
    <row r="146" spans="8:8">
      <c r="H146" s="5"/>
    </row>
    <row r="147" spans="8:8">
      <c r="H147" s="5"/>
    </row>
    <row r="148" spans="8:8">
      <c r="H148" s="5"/>
    </row>
    <row r="149" spans="8:8">
      <c r="H149" s="5"/>
    </row>
    <row r="150" spans="8:8">
      <c r="H150" s="5"/>
    </row>
    <row r="151" spans="8:8">
      <c r="H151" s="5"/>
    </row>
    <row r="152" spans="8:8">
      <c r="H152" s="5"/>
    </row>
    <row r="153" spans="8:8">
      <c r="H153" s="5"/>
    </row>
    <row r="154" spans="8:8">
      <c r="H154" s="5"/>
    </row>
    <row r="155" spans="8:8">
      <c r="H155" s="5"/>
    </row>
    <row r="156" spans="8:8">
      <c r="H156" s="5"/>
    </row>
    <row r="157" spans="8:8">
      <c r="H157" s="5"/>
    </row>
    <row r="158" spans="8:8">
      <c r="H158" s="5"/>
    </row>
    <row r="159" spans="8:8">
      <c r="H159" s="5"/>
    </row>
    <row r="160" spans="8:8">
      <c r="H160" s="5"/>
    </row>
    <row r="161" spans="8:8">
      <c r="H161" s="5"/>
    </row>
    <row r="162" spans="8:8">
      <c r="H162" s="5"/>
    </row>
    <row r="163" spans="8:8">
      <c r="H163" s="5"/>
    </row>
    <row r="164" spans="8:8">
      <c r="H164" s="5"/>
    </row>
    <row r="165" spans="8:8">
      <c r="H165" s="5"/>
    </row>
    <row r="166" spans="8:8">
      <c r="H166" s="5"/>
    </row>
    <row r="167" spans="8:8">
      <c r="H167" s="5"/>
    </row>
    <row r="168" spans="8:8">
      <c r="H168" s="5"/>
    </row>
    <row r="169" spans="8:8">
      <c r="H169" s="5"/>
    </row>
    <row r="170" spans="8:8">
      <c r="H170" s="5"/>
    </row>
    <row r="171" spans="8:8">
      <c r="H171" s="5"/>
    </row>
    <row r="172" spans="8:8">
      <c r="H172" s="5"/>
    </row>
    <row r="173" spans="8:8">
      <c r="H173" s="5"/>
    </row>
    <row r="174" spans="8:8">
      <c r="H174" s="5"/>
    </row>
    <row r="175" spans="8:8">
      <c r="H175" s="5"/>
    </row>
    <row r="176" spans="8:8">
      <c r="H176" s="5"/>
    </row>
    <row r="177" spans="8:8">
      <c r="H177" s="5"/>
    </row>
    <row r="178" spans="8:8">
      <c r="H178" s="5"/>
    </row>
    <row r="179" spans="8:8">
      <c r="H179" s="5"/>
    </row>
    <row r="180" spans="8:8">
      <c r="H180" s="5"/>
    </row>
    <row r="181" spans="8:8">
      <c r="H181" s="5"/>
    </row>
    <row r="182" spans="8:8">
      <c r="H182" s="5"/>
    </row>
    <row r="183" spans="8:8">
      <c r="H183" s="5"/>
    </row>
    <row r="184" spans="8:8">
      <c r="H184" s="5"/>
    </row>
    <row r="185" spans="8:8">
      <c r="H185" s="5"/>
    </row>
    <row r="186" spans="8:8">
      <c r="H186" s="5"/>
    </row>
    <row r="187" spans="8:8">
      <c r="H187" s="5"/>
    </row>
    <row r="188" spans="8:8">
      <c r="H188" s="5"/>
    </row>
    <row r="189" spans="8:8">
      <c r="H189" s="5"/>
    </row>
    <row r="190" spans="8:8">
      <c r="H190" s="5"/>
    </row>
    <row r="191" spans="8:8">
      <c r="H191" s="5"/>
    </row>
    <row r="192" spans="8:8">
      <c r="H192" s="5"/>
    </row>
    <row r="193" spans="8:8">
      <c r="H193" s="5"/>
    </row>
    <row r="194" spans="8:8">
      <c r="H194" s="5"/>
    </row>
    <row r="195" spans="8:8">
      <c r="H195" s="5"/>
    </row>
    <row r="196" spans="8:8">
      <c r="H196" s="5"/>
    </row>
    <row r="197" spans="8:8">
      <c r="H197" s="5"/>
    </row>
    <row r="198" spans="8:8">
      <c r="H198" s="5"/>
    </row>
    <row r="199" spans="8:8">
      <c r="H199" s="5"/>
    </row>
    <row r="200" spans="8:8">
      <c r="H200" s="5"/>
    </row>
    <row r="201" spans="8:8">
      <c r="H201" s="5"/>
    </row>
    <row r="202" spans="8:8">
      <c r="H202" s="5"/>
    </row>
    <row r="203" spans="8:8">
      <c r="H203" s="5"/>
    </row>
    <row r="204" spans="8:8">
      <c r="H204" s="5"/>
    </row>
    <row r="205" spans="8:8">
      <c r="H205" s="5"/>
    </row>
    <row r="206" spans="8:8">
      <c r="H206" s="5"/>
    </row>
  </sheetData>
  <mergeCells count="13">
    <mergeCell ref="U12:U14"/>
    <mergeCell ref="C14:J14"/>
    <mergeCell ref="M14:S14"/>
    <mergeCell ref="E3:F3"/>
    <mergeCell ref="E4:F4"/>
    <mergeCell ref="B6:U8"/>
    <mergeCell ref="B10:C10"/>
    <mergeCell ref="B11:B12"/>
    <mergeCell ref="C11:J11"/>
    <mergeCell ref="M11:S11"/>
    <mergeCell ref="K12:K14"/>
    <mergeCell ref="L12:L14"/>
    <mergeCell ref="T12:T14"/>
  </mergeCells>
  <pageMargins left="0.7" right="0.7" top="0.75" bottom="0.75" header="0.3" footer="0.3"/>
  <pageSetup paperSize="9" orientation="portrait" r:id="rId1"/>
  <customProperties>
    <customPr name="OrphanNamesChecke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8C27D-642F-4EE0-AA1B-609CAB9F6A49}">
  <dimension ref="A1:U24"/>
  <sheetViews>
    <sheetView workbookViewId="0">
      <selection activeCell="F13" sqref="F13:F24"/>
    </sheetView>
  </sheetViews>
  <sheetFormatPr defaultColWidth="11.5703125" defaultRowHeight="15"/>
  <cols>
    <col min="1" max="1" width="11.5703125" style="13"/>
    <col min="2" max="2" width="61.7109375" style="13" customWidth="1"/>
    <col min="3" max="3" width="11.5703125" style="13"/>
    <col min="4" max="4" width="30.28515625" style="13" customWidth="1"/>
    <col min="5" max="5" width="30.5703125" style="13" customWidth="1"/>
    <col min="6" max="6" width="24" style="227" bestFit="1" customWidth="1"/>
    <col min="7" max="16384" width="11.5703125" style="13"/>
  </cols>
  <sheetData>
    <row r="1" spans="1:21">
      <c r="A1" s="24"/>
      <c r="B1" s="24"/>
      <c r="C1" s="24"/>
      <c r="D1" s="24"/>
      <c r="E1" s="24"/>
      <c r="F1" s="187"/>
      <c r="G1" s="24"/>
      <c r="H1" s="24"/>
      <c r="L1" s="237"/>
    </row>
    <row r="2" spans="1:21">
      <c r="A2" s="24"/>
      <c r="B2" s="24"/>
      <c r="C2" s="24"/>
      <c r="D2" s="24"/>
      <c r="E2" s="24"/>
      <c r="F2" s="187"/>
      <c r="G2" s="24"/>
      <c r="H2" s="24"/>
      <c r="L2" s="237"/>
    </row>
    <row r="3" spans="1:21">
      <c r="A3" s="24"/>
      <c r="B3" s="26"/>
      <c r="C3" s="24"/>
      <c r="D3" s="148" t="s">
        <v>93</v>
      </c>
      <c r="E3" s="428" t="s">
        <v>94</v>
      </c>
      <c r="F3" s="428"/>
      <c r="G3" s="24"/>
      <c r="H3" s="24"/>
      <c r="L3" s="237"/>
    </row>
    <row r="4" spans="1:21">
      <c r="A4" s="24"/>
      <c r="B4" s="24"/>
      <c r="C4" s="30"/>
      <c r="D4" s="149" t="s">
        <v>95</v>
      </c>
      <c r="E4" s="428" t="s">
        <v>96</v>
      </c>
      <c r="F4" s="428"/>
      <c r="G4" s="24"/>
      <c r="H4" s="24"/>
      <c r="L4" s="237"/>
    </row>
    <row r="5" spans="1:21">
      <c r="A5" s="24"/>
      <c r="B5" s="24"/>
      <c r="C5" s="24"/>
      <c r="D5" s="32"/>
      <c r="E5" s="24"/>
      <c r="F5" s="187"/>
      <c r="G5" s="24"/>
      <c r="H5" s="24"/>
      <c r="L5" s="237"/>
    </row>
    <row r="6" spans="1:21" s="1" customFormat="1" ht="14.65" customHeight="1">
      <c r="A6" s="36"/>
      <c r="B6" s="429" t="s">
        <v>210</v>
      </c>
      <c r="C6" s="429"/>
      <c r="D6" s="429"/>
      <c r="E6" s="429"/>
      <c r="F6" s="429"/>
      <c r="G6" s="190"/>
      <c r="H6" s="190"/>
      <c r="I6" s="190"/>
      <c r="J6" s="190"/>
      <c r="K6" s="190"/>
      <c r="L6" s="190"/>
      <c r="M6" s="190"/>
      <c r="N6" s="190"/>
      <c r="O6" s="190"/>
      <c r="P6" s="190"/>
      <c r="Q6" s="190"/>
      <c r="R6" s="190"/>
      <c r="S6" s="190"/>
      <c r="T6" s="190"/>
      <c r="U6" s="190"/>
    </row>
    <row r="7" spans="1:21" s="1" customFormat="1" ht="14.65" customHeight="1">
      <c r="A7" s="36"/>
      <c r="B7" s="416"/>
      <c r="C7" s="416"/>
      <c r="D7" s="416"/>
      <c r="E7" s="416"/>
      <c r="F7" s="416"/>
      <c r="G7" s="190"/>
      <c r="H7" s="190"/>
      <c r="I7" s="190"/>
      <c r="J7" s="190"/>
      <c r="K7" s="190"/>
      <c r="L7" s="190"/>
      <c r="M7" s="190"/>
      <c r="N7" s="190"/>
      <c r="O7" s="190"/>
      <c r="P7" s="190"/>
      <c r="Q7" s="190"/>
      <c r="R7" s="190"/>
      <c r="S7" s="190"/>
      <c r="T7" s="190"/>
      <c r="U7" s="190"/>
    </row>
    <row r="8" spans="1:21" s="1" customFormat="1" ht="14.65" customHeight="1">
      <c r="A8" s="36"/>
      <c r="B8" s="416"/>
      <c r="C8" s="416"/>
      <c r="D8" s="416"/>
      <c r="E8" s="416"/>
      <c r="F8" s="416"/>
      <c r="G8" s="190"/>
      <c r="H8" s="190"/>
      <c r="I8" s="190"/>
      <c r="J8" s="190"/>
      <c r="K8" s="190"/>
      <c r="L8" s="190"/>
      <c r="M8" s="190"/>
      <c r="N8" s="190"/>
      <c r="O8" s="190"/>
      <c r="P8" s="190"/>
      <c r="Q8" s="190"/>
      <c r="R8" s="190"/>
      <c r="S8" s="190"/>
      <c r="T8" s="190"/>
      <c r="U8" s="190"/>
    </row>
    <row r="9" spans="1:21" s="3" customFormat="1" ht="12.75">
      <c r="B9" s="430" t="s">
        <v>98</v>
      </c>
      <c r="C9" s="430"/>
      <c r="D9" s="154"/>
      <c r="E9" s="4"/>
      <c r="F9" s="238"/>
      <c r="G9" s="239"/>
      <c r="H9" s="240"/>
      <c r="K9" s="241"/>
      <c r="L9" s="242"/>
    </row>
    <row r="10" spans="1:21">
      <c r="B10" s="443" t="s">
        <v>211</v>
      </c>
      <c r="C10" s="445" t="s">
        <v>212</v>
      </c>
      <c r="D10" s="447" t="s">
        <v>213</v>
      </c>
      <c r="E10" s="443" t="s">
        <v>214</v>
      </c>
      <c r="F10" s="443" t="s">
        <v>215</v>
      </c>
    </row>
    <row r="11" spans="1:21">
      <c r="B11" s="444"/>
      <c r="C11" s="446"/>
      <c r="D11" s="448"/>
      <c r="E11" s="444"/>
      <c r="F11" s="444"/>
    </row>
    <row r="12" spans="1:21">
      <c r="B12" s="243"/>
      <c r="C12" s="244"/>
      <c r="D12" s="245" t="s">
        <v>216</v>
      </c>
      <c r="E12" s="246"/>
      <c r="F12" s="247"/>
    </row>
    <row r="13" spans="1:21" ht="36">
      <c r="B13" s="248" t="str">
        <f t="shared" ref="B13:B19" si="0">IF(LEN(C13)=1,$B$11&amp;"00"&amp;C13,IF(LEN(C13)=2,$B$11&amp;"0"&amp;C13,$B$11&amp;C13))</f>
        <v>001</v>
      </c>
      <c r="C13" s="248">
        <v>1</v>
      </c>
      <c r="D13" s="249" t="s">
        <v>217</v>
      </c>
      <c r="E13" s="250" t="s">
        <v>218</v>
      </c>
      <c r="F13" s="212">
        <v>5</v>
      </c>
    </row>
    <row r="14" spans="1:21" ht="36">
      <c r="B14" s="248" t="str">
        <f t="shared" si="0"/>
        <v>002</v>
      </c>
      <c r="C14" s="248">
        <v>2</v>
      </c>
      <c r="D14" s="249" t="s">
        <v>219</v>
      </c>
      <c r="E14" s="250" t="s">
        <v>220</v>
      </c>
      <c r="F14" s="212">
        <v>3</v>
      </c>
    </row>
    <row r="15" spans="1:21" ht="36">
      <c r="B15" s="248" t="str">
        <f t="shared" si="0"/>
        <v>003</v>
      </c>
      <c r="C15" s="248">
        <v>3</v>
      </c>
      <c r="D15" s="249" t="s">
        <v>221</v>
      </c>
      <c r="E15" s="250" t="s">
        <v>222</v>
      </c>
      <c r="F15" s="212">
        <v>3</v>
      </c>
    </row>
    <row r="16" spans="1:21">
      <c r="B16" s="248" t="str">
        <f t="shared" si="0"/>
        <v>004</v>
      </c>
      <c r="C16" s="248">
        <v>4</v>
      </c>
      <c r="D16" s="249" t="s">
        <v>223</v>
      </c>
      <c r="E16" s="250" t="s">
        <v>224</v>
      </c>
      <c r="F16" s="212">
        <v>4</v>
      </c>
    </row>
    <row r="17" spans="2:6">
      <c r="B17" s="248" t="str">
        <f t="shared" si="0"/>
        <v>005</v>
      </c>
      <c r="C17" s="248">
        <v>5</v>
      </c>
      <c r="D17" s="249" t="s">
        <v>225</v>
      </c>
      <c r="E17" s="250" t="s">
        <v>226</v>
      </c>
      <c r="F17" s="212">
        <v>3</v>
      </c>
    </row>
    <row r="18" spans="2:6" ht="24">
      <c r="B18" s="248" t="str">
        <f t="shared" si="0"/>
        <v>006</v>
      </c>
      <c r="C18" s="248">
        <f>C17+1</f>
        <v>6</v>
      </c>
      <c r="D18" s="251" t="s">
        <v>227</v>
      </c>
      <c r="E18" s="250" t="s">
        <v>228</v>
      </c>
      <c r="F18" s="212">
        <v>8</v>
      </c>
    </row>
    <row r="19" spans="2:6" ht="24">
      <c r="B19" s="248" t="str">
        <f t="shared" si="0"/>
        <v>007</v>
      </c>
      <c r="C19" s="248">
        <f xml:space="preserve"> C18 + 1</f>
        <v>7</v>
      </c>
      <c r="D19" s="249" t="s">
        <v>229</v>
      </c>
      <c r="E19" s="250" t="s">
        <v>230</v>
      </c>
      <c r="F19" s="212">
        <v>6</v>
      </c>
    </row>
    <row r="20" spans="2:6">
      <c r="B20" s="248" t="str">
        <f>IF(LEN(C20)=1,$B$11&amp;"00"&amp;C20,IF(LEN(C20)=2,$B$11&amp;"0"&amp;C20,$B$11&amp;C20))</f>
        <v>008</v>
      </c>
      <c r="C20" s="248">
        <f xml:space="preserve"> C19 + 1</f>
        <v>8</v>
      </c>
      <c r="D20" s="249" t="s">
        <v>231</v>
      </c>
      <c r="E20" s="250" t="s">
        <v>232</v>
      </c>
      <c r="F20" s="287">
        <v>2</v>
      </c>
    </row>
    <row r="21" spans="2:6" ht="24">
      <c r="B21" s="243"/>
      <c r="C21" s="244"/>
      <c r="D21" s="245" t="s">
        <v>233</v>
      </c>
      <c r="E21" s="246"/>
      <c r="F21" s="388"/>
    </row>
    <row r="22" spans="2:6" ht="24">
      <c r="B22" s="248" t="str">
        <f>IF(LEN(C22)=1,$B$11&amp;"00"&amp;C22,IF(LEN(C22)=2,$B$11&amp;"0"&amp;C22,$B$11&amp;C22))</f>
        <v>009</v>
      </c>
      <c r="C22" s="248">
        <f>C20+1</f>
        <v>9</v>
      </c>
      <c r="D22" s="252" t="s">
        <v>234</v>
      </c>
      <c r="E22" s="250" t="s">
        <v>235</v>
      </c>
      <c r="F22" s="212">
        <v>12</v>
      </c>
    </row>
    <row r="23" spans="2:6" ht="36">
      <c r="B23" s="248" t="str">
        <f>IF(LEN(C23)=1,$B$11&amp;"00"&amp;C23,IF(LEN(C23)=2,$B$11&amp;"0"&amp;C23,$B$11&amp;C23))</f>
        <v>010</v>
      </c>
      <c r="C23" s="248">
        <f>C22+1</f>
        <v>10</v>
      </c>
      <c r="D23" s="252" t="s">
        <v>236</v>
      </c>
      <c r="E23" s="250" t="s">
        <v>237</v>
      </c>
      <c r="F23" s="212">
        <v>8</v>
      </c>
    </row>
    <row r="24" spans="2:6" ht="48">
      <c r="B24" s="248" t="str">
        <f>IF(LEN(C24)=1,$B$11&amp;"00"&amp;C24,IF(LEN(C24)=2,$B$11&amp;"0"&amp;C24,$B$11&amp;C24))</f>
        <v>011</v>
      </c>
      <c r="C24" s="248">
        <f>C23+1</f>
        <v>11</v>
      </c>
      <c r="D24" s="252" t="s">
        <v>238</v>
      </c>
      <c r="E24" s="250" t="s">
        <v>239</v>
      </c>
      <c r="F24" s="212">
        <v>8</v>
      </c>
    </row>
  </sheetData>
  <mergeCells count="9">
    <mergeCell ref="E3:F3"/>
    <mergeCell ref="E4:F4"/>
    <mergeCell ref="B6:F8"/>
    <mergeCell ref="B9:C9"/>
    <mergeCell ref="B10:B11"/>
    <mergeCell ref="C10:C11"/>
    <mergeCell ref="D10:D11"/>
    <mergeCell ref="E10:E11"/>
    <mergeCell ref="F10:F11"/>
  </mergeCells>
  <dataValidations count="1">
    <dataValidation allowBlank="1" showInputMessage="1" showErrorMessage="1" errorTitle="Erreur de saise" error="Veuillez saisir : _x000a_O : Oui_x000a_N : Non" sqref="E10" xr:uid="{AE1558A2-79CC-49DD-AD9D-3AC76158D1AD}"/>
  </dataValidations>
  <pageMargins left="0.7" right="0.7" top="0.75" bottom="0.75" header="0.3" footer="0.3"/>
  <customProperties>
    <customPr name="OrphanNamesChecked" r:id="rId1"/>
  </customPropertie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B71EB-D3AB-483B-BBE2-BDA5D1F2B1EC}">
  <dimension ref="A1:U23"/>
  <sheetViews>
    <sheetView topLeftCell="A7" workbookViewId="0">
      <selection activeCell="B23" sqref="B23"/>
    </sheetView>
  </sheetViews>
  <sheetFormatPr defaultColWidth="11.5703125" defaultRowHeight="12"/>
  <cols>
    <col min="1" max="1" width="11.5703125" style="232"/>
    <col min="2" max="2" width="24.7109375" style="232" customWidth="1"/>
    <col min="3" max="3" width="12.42578125" style="232" bestFit="1" customWidth="1"/>
    <col min="4" max="4" width="15.5703125" style="232" bestFit="1" customWidth="1"/>
    <col min="5" max="7" width="12.42578125" style="232" bestFit="1" customWidth="1"/>
    <col min="8" max="12" width="12.140625" style="232" bestFit="1" customWidth="1"/>
    <col min="13" max="13" width="13.42578125" style="236" bestFit="1" customWidth="1"/>
    <col min="14" max="16384" width="11.5703125" style="232"/>
  </cols>
  <sheetData>
    <row r="1" spans="1:21" s="13" customFormat="1" ht="15">
      <c r="A1" s="24"/>
      <c r="B1" s="24"/>
      <c r="C1" s="24"/>
      <c r="D1" s="24"/>
      <c r="E1" s="24"/>
      <c r="F1" s="24"/>
      <c r="G1" s="24"/>
      <c r="H1" s="24"/>
      <c r="M1" s="227"/>
    </row>
    <row r="2" spans="1:21" s="13" customFormat="1" ht="15">
      <c r="A2" s="24"/>
      <c r="B2" s="24"/>
      <c r="C2" s="24"/>
      <c r="D2" s="24"/>
      <c r="E2" s="24"/>
      <c r="F2" s="24"/>
      <c r="G2" s="24"/>
      <c r="H2" s="24"/>
      <c r="M2" s="227"/>
    </row>
    <row r="3" spans="1:21" s="13" customFormat="1" ht="30">
      <c r="A3" s="24"/>
      <c r="B3" s="26"/>
      <c r="C3" s="24"/>
      <c r="D3" s="148" t="s">
        <v>93</v>
      </c>
      <c r="E3" s="428" t="s">
        <v>94</v>
      </c>
      <c r="F3" s="428"/>
      <c r="G3" s="188"/>
      <c r="H3" s="24"/>
      <c r="M3" s="227"/>
    </row>
    <row r="4" spans="1:21" s="13" customFormat="1" ht="27.6" customHeight="1">
      <c r="A4" s="24"/>
      <c r="B4" s="24"/>
      <c r="C4" s="30"/>
      <c r="D4" s="149" t="s">
        <v>95</v>
      </c>
      <c r="E4" s="428" t="s">
        <v>96</v>
      </c>
      <c r="F4" s="428"/>
      <c r="G4" s="189"/>
      <c r="H4" s="24"/>
      <c r="M4" s="227"/>
    </row>
    <row r="5" spans="1:21" s="13" customFormat="1" ht="15">
      <c r="A5" s="24"/>
      <c r="B5" s="24"/>
      <c r="C5" s="24"/>
      <c r="D5" s="228"/>
      <c r="E5" s="24"/>
      <c r="F5" s="229"/>
      <c r="G5" s="24"/>
      <c r="H5" s="24"/>
      <c r="M5" s="227"/>
    </row>
    <row r="6" spans="1:21" s="1" customFormat="1" ht="14.65" customHeight="1">
      <c r="A6" s="36"/>
      <c r="B6" s="416" t="s">
        <v>240</v>
      </c>
      <c r="C6" s="416"/>
      <c r="D6" s="416"/>
      <c r="E6" s="416"/>
      <c r="F6" s="416"/>
      <c r="G6" s="416"/>
      <c r="H6" s="416"/>
      <c r="I6" s="416"/>
      <c r="J6" s="416"/>
      <c r="K6" s="416"/>
      <c r="L6" s="416"/>
      <c r="M6" s="433"/>
      <c r="N6" s="190"/>
      <c r="O6" s="190"/>
      <c r="P6" s="190"/>
      <c r="Q6" s="190"/>
      <c r="R6" s="190"/>
      <c r="S6" s="190"/>
      <c r="T6" s="190"/>
      <c r="U6" s="190"/>
    </row>
    <row r="7" spans="1:21" s="1" customFormat="1" ht="14.65" customHeight="1">
      <c r="A7" s="36"/>
      <c r="B7" s="416"/>
      <c r="C7" s="416"/>
      <c r="D7" s="416"/>
      <c r="E7" s="416"/>
      <c r="F7" s="416"/>
      <c r="G7" s="416"/>
      <c r="H7" s="416"/>
      <c r="I7" s="416"/>
      <c r="J7" s="416"/>
      <c r="K7" s="416"/>
      <c r="L7" s="416"/>
      <c r="M7" s="433"/>
      <c r="N7" s="190"/>
      <c r="O7" s="190"/>
      <c r="P7" s="190"/>
      <c r="Q7" s="190"/>
      <c r="R7" s="190"/>
      <c r="S7" s="190"/>
      <c r="T7" s="190"/>
      <c r="U7" s="190"/>
    </row>
    <row r="8" spans="1:21" s="1" customFormat="1" ht="14.65" customHeight="1">
      <c r="A8" s="36"/>
      <c r="B8" s="416"/>
      <c r="C8" s="416"/>
      <c r="D8" s="416"/>
      <c r="E8" s="416"/>
      <c r="F8" s="416"/>
      <c r="G8" s="416"/>
      <c r="H8" s="416"/>
      <c r="I8" s="416"/>
      <c r="J8" s="416"/>
      <c r="K8" s="416"/>
      <c r="L8" s="416"/>
      <c r="M8" s="433"/>
      <c r="N8" s="190"/>
      <c r="O8" s="190"/>
      <c r="P8" s="190"/>
      <c r="Q8" s="190"/>
      <c r="R8" s="190"/>
      <c r="S8" s="190"/>
      <c r="T8" s="190"/>
      <c r="U8" s="190"/>
    </row>
    <row r="9" spans="1:21" s="1" customFormat="1" ht="14.65" customHeight="1">
      <c r="A9" s="36"/>
      <c r="B9" s="230"/>
      <c r="C9" s="230"/>
      <c r="D9" s="230"/>
      <c r="E9" s="230"/>
      <c r="F9" s="230"/>
      <c r="G9" s="230"/>
      <c r="H9" s="230"/>
      <c r="I9" s="190"/>
      <c r="J9" s="190"/>
      <c r="K9" s="190"/>
      <c r="L9" s="190"/>
      <c r="M9" s="231"/>
      <c r="N9" s="190"/>
      <c r="O9" s="190"/>
      <c r="P9" s="190"/>
      <c r="Q9" s="190"/>
      <c r="R9" s="190"/>
      <c r="S9" s="190"/>
      <c r="T9" s="190"/>
      <c r="U9" s="190"/>
    </row>
    <row r="10" spans="1:21" ht="26.45" customHeight="1">
      <c r="B10" s="449" t="s">
        <v>23</v>
      </c>
      <c r="C10" s="449"/>
      <c r="D10" s="449"/>
      <c r="E10" s="449"/>
      <c r="F10" s="449"/>
      <c r="G10" s="449"/>
      <c r="H10" s="449"/>
      <c r="I10" s="449"/>
      <c r="J10" s="449"/>
      <c r="K10" s="449"/>
      <c r="L10" s="449"/>
      <c r="M10" s="450"/>
    </row>
    <row r="11" spans="1:21" ht="25.5">
      <c r="B11" s="233" t="s">
        <v>23</v>
      </c>
      <c r="C11" s="221" t="s">
        <v>25</v>
      </c>
      <c r="D11" s="221" t="s">
        <v>26</v>
      </c>
      <c r="E11" s="221" t="s">
        <v>27</v>
      </c>
      <c r="F11" s="221" t="s">
        <v>28</v>
      </c>
      <c r="G11" s="221" t="s">
        <v>29</v>
      </c>
      <c r="H11" s="221" t="s">
        <v>30</v>
      </c>
      <c r="I11" s="221" t="s">
        <v>31</v>
      </c>
      <c r="J11" s="221" t="s">
        <v>32</v>
      </c>
      <c r="K11" s="221" t="s">
        <v>33</v>
      </c>
      <c r="L11" s="221" t="s">
        <v>34</v>
      </c>
      <c r="M11" s="260" t="s">
        <v>241</v>
      </c>
    </row>
    <row r="12" spans="1:21">
      <c r="B12" s="234" t="s">
        <v>45</v>
      </c>
      <c r="C12" s="235">
        <f>'BUILD (3)'!C60</f>
        <v>451520</v>
      </c>
      <c r="D12" s="235">
        <v>0</v>
      </c>
      <c r="E12" s="235">
        <v>0</v>
      </c>
      <c r="F12" s="235">
        <v>0</v>
      </c>
      <c r="G12" s="235">
        <v>0</v>
      </c>
      <c r="H12" s="235">
        <v>0</v>
      </c>
      <c r="I12" s="235">
        <v>0</v>
      </c>
      <c r="J12" s="235">
        <v>0</v>
      </c>
      <c r="K12" s="269">
        <v>0</v>
      </c>
      <c r="L12" s="269">
        <v>0</v>
      </c>
      <c r="M12" s="272">
        <f>SUM(C12:L12)</f>
        <v>451520</v>
      </c>
    </row>
    <row r="13" spans="1:21">
      <c r="B13" s="234" t="s">
        <v>242</v>
      </c>
      <c r="C13" s="389">
        <f>'RUN (3)'!$G$43</f>
        <v>187008.59999999998</v>
      </c>
      <c r="D13" s="389">
        <f>'RUN (3)'!$G$43</f>
        <v>187008.59999999998</v>
      </c>
      <c r="E13" s="389">
        <f>'RUN (3)'!$G$43</f>
        <v>187008.59999999998</v>
      </c>
      <c r="F13" s="389">
        <f t="shared" ref="F13:L13" si="0">E13</f>
        <v>187008.59999999998</v>
      </c>
      <c r="G13" s="389">
        <f t="shared" si="0"/>
        <v>187008.59999999998</v>
      </c>
      <c r="H13" s="389">
        <f t="shared" si="0"/>
        <v>187008.59999999998</v>
      </c>
      <c r="I13" s="389">
        <f t="shared" si="0"/>
        <v>187008.59999999998</v>
      </c>
      <c r="J13" s="389">
        <f t="shared" si="0"/>
        <v>187008.59999999998</v>
      </c>
      <c r="K13" s="389">
        <f t="shared" si="0"/>
        <v>187008.59999999998</v>
      </c>
      <c r="L13" s="389">
        <f t="shared" si="0"/>
        <v>187008.59999999998</v>
      </c>
      <c r="M13" s="293">
        <f>SUM(C13:L13)</f>
        <v>1870086</v>
      </c>
    </row>
    <row r="20" spans="2:16" ht="32.450000000000003" customHeight="1">
      <c r="B20" s="451" t="s">
        <v>243</v>
      </c>
      <c r="C20" s="451"/>
      <c r="D20" s="451"/>
      <c r="E20" s="451"/>
      <c r="F20" s="451"/>
      <c r="G20" s="451"/>
      <c r="H20" s="451"/>
      <c r="I20" s="451"/>
      <c r="J20" s="451"/>
      <c r="K20" s="451"/>
      <c r="L20" s="451"/>
      <c r="M20" s="452"/>
      <c r="N20" s="390"/>
      <c r="O20" s="390"/>
      <c r="P20" s="390"/>
    </row>
    <row r="23" spans="2:16">
      <c r="B23" s="278" t="s">
        <v>244</v>
      </c>
    </row>
  </sheetData>
  <mergeCells count="5">
    <mergeCell ref="E3:F3"/>
    <mergeCell ref="E4:F4"/>
    <mergeCell ref="B6:M8"/>
    <mergeCell ref="B10:M10"/>
    <mergeCell ref="B20:M20"/>
  </mergeCells>
  <conditionalFormatting sqref="W20:W21">
    <cfRule type="cellIs" dxfId="1" priority="2" operator="equal">
      <formula>0</formula>
    </cfRule>
  </conditionalFormatting>
  <pageMargins left="0.7" right="0.7" top="0.75" bottom="0.75" header="0.3" footer="0.3"/>
  <customProperties>
    <customPr name="OrphanNamesChecked" r:id="rId1"/>
  </customPropertie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72AF-874E-4D32-8495-D9479AEC9C67}">
  <dimension ref="A1"/>
  <sheetViews>
    <sheetView topLeftCell="E1" workbookViewId="0">
      <selection activeCell="E1" sqref="E1"/>
    </sheetView>
  </sheetViews>
  <sheetFormatPr defaultColWidth="10.5703125" defaultRowHeight="15"/>
  <cols>
    <col min="1" max="16384" width="10.5703125" style="174"/>
  </cols>
  <sheetData/>
  <pageMargins left="0.7" right="0.7" top="0.75" bottom="0.75" header="0.3" footer="0.3"/>
  <customProperties>
    <customPr name="OrphanNamesChecked" r:id="rId1"/>
  </customPropertie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3534-DCCE-4B9C-9277-E1E637DBABB3}">
  <dimension ref="A1:U72"/>
  <sheetViews>
    <sheetView topLeftCell="A9" workbookViewId="0">
      <selection activeCell="F38" sqref="F38"/>
    </sheetView>
  </sheetViews>
  <sheetFormatPr defaultColWidth="10.7109375" defaultRowHeight="14.25"/>
  <cols>
    <col min="1" max="1" width="31.42578125" style="34" customWidth="1"/>
    <col min="2" max="2" width="51" style="34" customWidth="1"/>
    <col min="3" max="3" width="23" style="186" bestFit="1" customWidth="1"/>
    <col min="4" max="16384" width="10.7109375" style="34"/>
  </cols>
  <sheetData>
    <row r="1" spans="1:21" hidden="1">
      <c r="C1" s="186" t="s">
        <v>245</v>
      </c>
    </row>
    <row r="2" spans="1:21" s="13" customFormat="1" ht="15">
      <c r="A2" s="24"/>
      <c r="B2" s="24"/>
      <c r="C2" s="187"/>
      <c r="D2" s="24"/>
      <c r="E2" s="24"/>
      <c r="F2" s="24"/>
      <c r="G2" s="24"/>
      <c r="H2" s="24"/>
    </row>
    <row r="3" spans="1:21" s="13" customFormat="1" ht="15">
      <c r="A3" s="24"/>
      <c r="B3" s="24"/>
      <c r="C3" s="187"/>
      <c r="D3" s="24"/>
      <c r="E3" s="24"/>
      <c r="F3" s="24"/>
      <c r="G3" s="24"/>
      <c r="H3" s="24"/>
    </row>
    <row r="4" spans="1:21" s="13" customFormat="1" ht="30">
      <c r="A4" s="24"/>
      <c r="B4" s="148" t="s">
        <v>93</v>
      </c>
      <c r="C4" s="205" t="s">
        <v>94</v>
      </c>
      <c r="D4" s="24"/>
      <c r="G4" s="188"/>
      <c r="H4" s="24"/>
    </row>
    <row r="5" spans="1:21" s="13" customFormat="1" ht="14.65" customHeight="1">
      <c r="A5" s="24"/>
      <c r="B5" s="149" t="s">
        <v>95</v>
      </c>
      <c r="C5" s="205" t="s">
        <v>96</v>
      </c>
      <c r="D5" s="24"/>
      <c r="G5" s="189"/>
      <c r="H5" s="24"/>
    </row>
    <row r="6" spans="1:21" s="13" customFormat="1" ht="15">
      <c r="A6" s="24"/>
      <c r="B6" s="24"/>
      <c r="C6" s="187"/>
      <c r="D6" s="24"/>
      <c r="E6" s="24"/>
      <c r="G6" s="24"/>
      <c r="H6" s="24"/>
    </row>
    <row r="7" spans="1:21" s="1" customFormat="1" ht="14.65" customHeight="1">
      <c r="A7" s="416" t="s">
        <v>43</v>
      </c>
      <c r="B7" s="416"/>
      <c r="C7" s="416"/>
      <c r="D7" s="190"/>
      <c r="E7" s="190"/>
      <c r="F7" s="190"/>
      <c r="G7" s="190"/>
      <c r="H7" s="190"/>
      <c r="I7" s="190"/>
      <c r="J7" s="190"/>
      <c r="K7" s="190"/>
      <c r="L7" s="190"/>
      <c r="M7" s="190"/>
      <c r="N7" s="190"/>
      <c r="O7" s="190"/>
      <c r="P7" s="190"/>
      <c r="Q7" s="190"/>
      <c r="R7" s="190"/>
      <c r="S7" s="190"/>
      <c r="T7" s="190"/>
      <c r="U7" s="190"/>
    </row>
    <row r="8" spans="1:21" s="1" customFormat="1" ht="14.65" customHeight="1">
      <c r="A8" s="416"/>
      <c r="B8" s="416"/>
      <c r="C8" s="416"/>
      <c r="D8" s="190"/>
      <c r="E8" s="190"/>
      <c r="F8" s="190"/>
      <c r="G8" s="190"/>
      <c r="H8" s="190"/>
      <c r="I8" s="190"/>
      <c r="J8" s="190"/>
      <c r="K8" s="190"/>
      <c r="L8" s="190"/>
      <c r="M8" s="190"/>
      <c r="N8" s="190"/>
      <c r="O8" s="190"/>
      <c r="P8" s="190"/>
      <c r="Q8" s="190"/>
      <c r="R8" s="190"/>
      <c r="S8" s="190"/>
      <c r="T8" s="190"/>
      <c r="U8" s="190"/>
    </row>
    <row r="9" spans="1:21" s="1" customFormat="1" ht="14.65" customHeight="1">
      <c r="A9" s="416"/>
      <c r="B9" s="416"/>
      <c r="C9" s="416"/>
      <c r="D9" s="190"/>
      <c r="E9" s="190"/>
      <c r="F9" s="190"/>
      <c r="G9" s="190"/>
      <c r="H9" s="190"/>
      <c r="I9" s="190"/>
      <c r="J9" s="190"/>
      <c r="K9" s="190"/>
      <c r="L9" s="190"/>
      <c r="M9" s="190"/>
      <c r="N9" s="190"/>
      <c r="O9" s="190"/>
      <c r="P9" s="190"/>
      <c r="Q9" s="190"/>
      <c r="R9" s="190"/>
      <c r="S9" s="190"/>
      <c r="T9" s="190"/>
      <c r="U9" s="190"/>
    </row>
    <row r="10" spans="1:21">
      <c r="C10" s="391" t="s">
        <v>246</v>
      </c>
      <c r="D10" s="191"/>
      <c r="E10" s="191"/>
      <c r="F10" s="191"/>
      <c r="G10" s="191"/>
      <c r="H10" s="191"/>
      <c r="I10" s="191"/>
      <c r="J10" s="191"/>
      <c r="K10" s="191"/>
      <c r="L10" s="191"/>
    </row>
    <row r="11" spans="1:21">
      <c r="A11" s="161" t="s">
        <v>44</v>
      </c>
      <c r="B11" s="162"/>
      <c r="C11" s="162"/>
      <c r="D11" s="191"/>
      <c r="E11" s="191"/>
      <c r="F11" s="191"/>
      <c r="G11" s="191"/>
      <c r="H11" s="191"/>
      <c r="I11" s="191"/>
      <c r="J11" s="191"/>
      <c r="K11" s="191"/>
      <c r="L11" s="191"/>
    </row>
    <row r="12" spans="1:21">
      <c r="A12" s="417" t="s">
        <v>11</v>
      </c>
      <c r="B12" s="417"/>
      <c r="C12" s="392">
        <f>C28+C40*3</f>
        <v>1012545.7999999999</v>
      </c>
    </row>
    <row r="13" spans="1:21">
      <c r="A13" s="417" t="s">
        <v>13</v>
      </c>
      <c r="B13" s="417"/>
      <c r="C13" s="392">
        <f>C28+C41</f>
        <v>1386563</v>
      </c>
    </row>
    <row r="14" spans="1:21">
      <c r="A14" s="418" t="s">
        <v>15</v>
      </c>
      <c r="B14" s="418"/>
      <c r="C14" s="392">
        <f>C28+C41*2</f>
        <v>2321606</v>
      </c>
    </row>
    <row r="15" spans="1:21">
      <c r="A15" s="419"/>
      <c r="B15" s="420"/>
      <c r="C15" s="192"/>
    </row>
    <row r="16" spans="1:21">
      <c r="A16" s="421" t="s">
        <v>45</v>
      </c>
      <c r="B16" s="194" t="s">
        <v>46</v>
      </c>
      <c r="C16" s="256">
        <f>'BUILD (3)'!L15</f>
        <v>20960</v>
      </c>
    </row>
    <row r="17" spans="1:3">
      <c r="A17" s="422"/>
      <c r="B17" s="194" t="s">
        <v>47</v>
      </c>
      <c r="C17" s="256">
        <f>'BUILD (3)'!L17</f>
        <v>50640</v>
      </c>
    </row>
    <row r="18" spans="1:3">
      <c r="A18" s="422"/>
      <c r="B18" s="194" t="s">
        <v>48</v>
      </c>
      <c r="C18" s="256">
        <f>'BUILD (3)'!L23</f>
        <v>16440</v>
      </c>
    </row>
    <row r="19" spans="1:3">
      <c r="A19" s="422"/>
      <c r="B19" s="194" t="s">
        <v>49</v>
      </c>
      <c r="C19" s="256">
        <f>'BUILD (3)'!L27</f>
        <v>269240</v>
      </c>
    </row>
    <row r="20" spans="1:3">
      <c r="A20" s="422"/>
      <c r="B20" s="194" t="s">
        <v>50</v>
      </c>
      <c r="C20" s="256">
        <f>'BUILD (3)'!L34</f>
        <v>17120</v>
      </c>
    </row>
    <row r="21" spans="1:3">
      <c r="A21" s="422"/>
      <c r="B21" s="194" t="s">
        <v>51</v>
      </c>
      <c r="C21" s="256">
        <f>'BUILD (3)'!L38</f>
        <v>11360</v>
      </c>
    </row>
    <row r="22" spans="1:3">
      <c r="A22" s="422"/>
      <c r="B22" s="194" t="s">
        <v>52</v>
      </c>
      <c r="C22" s="256">
        <f>'BUILD (3)'!L40</f>
        <v>13920</v>
      </c>
    </row>
    <row r="23" spans="1:3">
      <c r="A23" s="422"/>
      <c r="B23" s="194" t="s">
        <v>53</v>
      </c>
      <c r="C23" s="256">
        <f>'BUILD (3)'!L43</f>
        <v>15760</v>
      </c>
    </row>
    <row r="24" spans="1:3">
      <c r="A24" s="422"/>
      <c r="B24" s="194" t="s">
        <v>54</v>
      </c>
      <c r="C24" s="256">
        <f>'BUILD (3)'!L46</f>
        <v>0</v>
      </c>
    </row>
    <row r="25" spans="1:3">
      <c r="A25" s="422"/>
      <c r="B25" s="194" t="s">
        <v>55</v>
      </c>
      <c r="C25" s="256">
        <f>'BUILD (3)'!L48</f>
        <v>6640</v>
      </c>
    </row>
    <row r="26" spans="1:3">
      <c r="A26" s="422"/>
      <c r="B26" s="194" t="s">
        <v>247</v>
      </c>
      <c r="C26" s="256">
        <f>'BUILD (3)'!L50</f>
        <v>11440</v>
      </c>
    </row>
    <row r="27" spans="1:3">
      <c r="A27" s="422"/>
      <c r="B27" s="194" t="s">
        <v>57</v>
      </c>
      <c r="C27" s="281">
        <f>'BUILD (3)'!C56</f>
        <v>18000</v>
      </c>
    </row>
    <row r="28" spans="1:3">
      <c r="A28" s="422"/>
      <c r="B28" s="196" t="s">
        <v>58</v>
      </c>
      <c r="C28" s="257">
        <f>SUM(C16:C27)</f>
        <v>451520</v>
      </c>
    </row>
    <row r="29" spans="1:3" ht="14.1" customHeight="1">
      <c r="A29" s="421" t="s">
        <v>59</v>
      </c>
      <c r="B29" s="198" t="s">
        <v>60</v>
      </c>
      <c r="C29" s="258">
        <f>SUM(C32:C35)</f>
        <v>145899.59999999998</v>
      </c>
    </row>
    <row r="30" spans="1:3" ht="14.1" customHeight="1">
      <c r="A30" s="422"/>
      <c r="B30" s="194" t="s">
        <v>61</v>
      </c>
      <c r="C30" s="256">
        <f>IFERROR(C32/'RUN (3)'!C20,0)</f>
        <v>779.48936170212767</v>
      </c>
    </row>
    <row r="31" spans="1:3">
      <c r="A31" s="422"/>
      <c r="B31" s="194" t="s">
        <v>62</v>
      </c>
      <c r="C31" s="256">
        <f>C32/12</f>
        <v>9159</v>
      </c>
    </row>
    <row r="32" spans="1:3">
      <c r="A32" s="422"/>
      <c r="B32" s="194" t="s">
        <v>63</v>
      </c>
      <c r="C32" s="256">
        <f>'RUN (3)'!G20</f>
        <v>109908</v>
      </c>
    </row>
    <row r="33" spans="1:4">
      <c r="A33" s="422"/>
      <c r="B33" s="194" t="s">
        <v>64</v>
      </c>
      <c r="C33" s="256">
        <f>'RUN (3)'!G28</f>
        <v>23935.8</v>
      </c>
      <c r="D33" s="393"/>
    </row>
    <row r="34" spans="1:4">
      <c r="A34" s="422"/>
      <c r="B34" s="194" t="s">
        <v>65</v>
      </c>
      <c r="C34" s="256">
        <f>'RUN (3)'!G35</f>
        <v>0</v>
      </c>
    </row>
    <row r="35" spans="1:4">
      <c r="A35" s="422"/>
      <c r="B35" s="194" t="s">
        <v>66</v>
      </c>
      <c r="C35" s="256">
        <f>'RUN (3)'!G41</f>
        <v>12055.8</v>
      </c>
    </row>
    <row r="36" spans="1:4">
      <c r="A36" s="422"/>
      <c r="B36" s="198" t="s">
        <v>67</v>
      </c>
      <c r="C36" s="258">
        <f>SUM(C37:C39)</f>
        <v>41109</v>
      </c>
    </row>
    <row r="37" spans="1:4">
      <c r="A37" s="422"/>
      <c r="B37" s="194" t="s">
        <v>68</v>
      </c>
      <c r="C37" s="256">
        <f>'RUN (3)'!G30+'RUN (3)'!G32</f>
        <v>21257.4</v>
      </c>
    </row>
    <row r="38" spans="1:4">
      <c r="A38" s="422"/>
      <c r="B38" s="194" t="s">
        <v>69</v>
      </c>
      <c r="C38" s="256">
        <f>'RUN (3)'!G31</f>
        <v>19851.599999999999</v>
      </c>
    </row>
    <row r="39" spans="1:4">
      <c r="A39" s="422"/>
      <c r="B39" s="194" t="s">
        <v>70</v>
      </c>
      <c r="C39" s="256"/>
    </row>
    <row r="40" spans="1:4">
      <c r="A40" s="422"/>
      <c r="B40" s="196" t="s">
        <v>71</v>
      </c>
      <c r="C40" s="257">
        <f>C36+C29</f>
        <v>187008.59999999998</v>
      </c>
    </row>
    <row r="41" spans="1:4" ht="15">
      <c r="A41" s="422"/>
      <c r="B41" s="196" t="s">
        <v>18</v>
      </c>
      <c r="C41" s="284">
        <f>C40*5</f>
        <v>935042.99999999988</v>
      </c>
      <c r="D41"/>
    </row>
    <row r="42" spans="1:4">
      <c r="A42" s="200"/>
      <c r="B42" s="200"/>
      <c r="C42" s="259"/>
    </row>
    <row r="43" spans="1:4">
      <c r="A43" s="424" t="s">
        <v>72</v>
      </c>
      <c r="B43" s="424"/>
      <c r="C43" s="288">
        <f>'BUILD (3)'!K54</f>
        <v>382</v>
      </c>
    </row>
    <row r="44" spans="1:4">
      <c r="A44" s="424" t="s">
        <v>73</v>
      </c>
      <c r="B44" s="424"/>
      <c r="C44" s="257">
        <f>IFERROR('BUILD (3)'!C62,0)</f>
        <v>1134.8691099476439</v>
      </c>
    </row>
    <row r="45" spans="1:4">
      <c r="A45" s="425"/>
      <c r="B45" s="425"/>
      <c r="C45" s="259"/>
    </row>
    <row r="46" spans="1:4">
      <c r="A46" s="424" t="s">
        <v>74</v>
      </c>
      <c r="B46" s="424"/>
      <c r="C46" s="288">
        <f>'BUILD (3)'!T54</f>
        <v>134</v>
      </c>
    </row>
    <row r="47" spans="1:4">
      <c r="A47" s="202"/>
      <c r="B47" s="202"/>
      <c r="C47" s="203"/>
    </row>
    <row r="48" spans="1:4" ht="15">
      <c r="A48" s="453" t="s">
        <v>248</v>
      </c>
      <c r="B48" s="453"/>
      <c r="C48" s="454"/>
    </row>
    <row r="50" spans="1:1" ht="13.9" customHeight="1"/>
    <row r="51" spans="1:1" ht="13.9" customHeight="1"/>
    <row r="52" spans="1:1" ht="13.9" customHeight="1"/>
    <row r="59" spans="1:1" ht="15">
      <c r="A59" s="35"/>
    </row>
    <row r="64" spans="1:1" ht="15">
      <c r="A64" s="35"/>
    </row>
    <row r="68" spans="1:1" ht="15">
      <c r="A68" s="35"/>
    </row>
    <row r="72" spans="1:1" ht="15">
      <c r="A72" s="35"/>
    </row>
  </sheetData>
  <mergeCells count="12">
    <mergeCell ref="A48:C48"/>
    <mergeCell ref="A46:B46"/>
    <mergeCell ref="A7:C9"/>
    <mergeCell ref="A13:B13"/>
    <mergeCell ref="A14:B14"/>
    <mergeCell ref="A15:B15"/>
    <mergeCell ref="A16:A28"/>
    <mergeCell ref="A29:A41"/>
    <mergeCell ref="A43:B43"/>
    <mergeCell ref="A44:B44"/>
    <mergeCell ref="A45:B45"/>
    <mergeCell ref="A12:B12"/>
  </mergeCells>
  <pageMargins left="0.7" right="0.7" top="0.75" bottom="0.75" header="0.3" footer="0.3"/>
  <pageSetup paperSize="9" orientation="portrait" r:id="rId1"/>
  <customProperties>
    <customPr name="OrphanNamesChecked" r:id="rId2"/>
  </customPropertie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B4F3-7416-4B78-8427-CE903665DB58}">
  <sheetPr>
    <tabColor theme="1"/>
  </sheetPr>
  <dimension ref="A1"/>
  <sheetViews>
    <sheetView workbookViewId="0">
      <selection activeCell="E27" sqref="E27"/>
    </sheetView>
  </sheetViews>
  <sheetFormatPr defaultColWidth="11.42578125" defaultRowHeight="15"/>
  <sheetData/>
  <pageMargins left="0.7" right="0.7" top="0.75" bottom="0.75" header="0.3" footer="0.3"/>
  <customProperties>
    <customPr name="OrphanNamesChecked" r:id="rId1"/>
  </customPropertie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88B9-CA5C-410D-B10C-4390209ACDCA}">
  <dimension ref="A1:V71"/>
  <sheetViews>
    <sheetView topLeftCell="A12" zoomScale="115" zoomScaleNormal="115" workbookViewId="0">
      <selection activeCell="H27" sqref="H27"/>
    </sheetView>
  </sheetViews>
  <sheetFormatPr defaultColWidth="9" defaultRowHeight="15"/>
  <cols>
    <col min="1" max="1" width="9" style="25"/>
    <col min="2" max="2" width="41.28515625" style="25" customWidth="1"/>
    <col min="3" max="3" width="20.42578125" style="25" customWidth="1"/>
    <col min="4" max="4" width="20.42578125" style="268" customWidth="1"/>
    <col min="5" max="7" width="20.42578125" style="25" customWidth="1"/>
    <col min="8" max="8" width="16.7109375" style="204" bestFit="1" customWidth="1"/>
    <col min="9" max="16384" width="9" style="13"/>
  </cols>
  <sheetData>
    <row r="1" spans="1:22">
      <c r="B1" s="24"/>
      <c r="C1" s="24"/>
      <c r="D1" s="151"/>
      <c r="E1" s="24"/>
      <c r="F1" s="24"/>
      <c r="G1" s="24"/>
    </row>
    <row r="2" spans="1:22">
      <c r="B2" s="24"/>
      <c r="C2" s="24"/>
      <c r="D2" s="151"/>
      <c r="E2" s="24"/>
      <c r="F2" s="24"/>
      <c r="G2" s="24"/>
    </row>
    <row r="3" spans="1:22">
      <c r="B3" s="26"/>
      <c r="C3" s="24"/>
      <c r="D3" s="263" t="s">
        <v>93</v>
      </c>
      <c r="E3" s="428" t="s">
        <v>249</v>
      </c>
      <c r="F3" s="428"/>
      <c r="G3" s="28"/>
    </row>
    <row r="4" spans="1:22">
      <c r="B4" s="24"/>
      <c r="C4" s="30"/>
      <c r="D4" s="264" t="s">
        <v>95</v>
      </c>
      <c r="E4" s="428" t="s">
        <v>250</v>
      </c>
      <c r="F4" s="428"/>
      <c r="G4" s="28"/>
    </row>
    <row r="5" spans="1:22">
      <c r="B5" s="24"/>
      <c r="C5" s="24"/>
      <c r="D5" s="265"/>
      <c r="G5" s="24"/>
      <c r="H5" s="187"/>
    </row>
    <row r="6" spans="1:22" s="1" customFormat="1" ht="14.65" customHeight="1">
      <c r="A6" s="36"/>
      <c r="B6" s="429" t="s">
        <v>97</v>
      </c>
      <c r="C6" s="429"/>
      <c r="D6" s="429"/>
      <c r="E6" s="429"/>
      <c r="F6" s="429"/>
      <c r="G6" s="429"/>
      <c r="H6" s="429"/>
      <c r="I6" s="190"/>
      <c r="J6" s="190"/>
      <c r="K6" s="190"/>
      <c r="L6" s="190"/>
      <c r="M6" s="190"/>
      <c r="N6" s="190"/>
      <c r="O6" s="190"/>
      <c r="P6" s="190"/>
      <c r="Q6" s="190"/>
      <c r="R6" s="190"/>
      <c r="S6" s="190"/>
      <c r="T6" s="190"/>
      <c r="U6" s="190"/>
    </row>
    <row r="7" spans="1:22" s="1" customFormat="1" ht="14.65" customHeight="1">
      <c r="A7" s="36"/>
      <c r="B7" s="416"/>
      <c r="C7" s="416"/>
      <c r="D7" s="416"/>
      <c r="E7" s="416"/>
      <c r="F7" s="416"/>
      <c r="G7" s="416"/>
      <c r="H7" s="416"/>
      <c r="I7" s="190"/>
      <c r="J7" s="190"/>
      <c r="K7" s="190"/>
      <c r="L7" s="190"/>
      <c r="M7" s="190"/>
      <c r="N7" s="190"/>
      <c r="O7" s="190"/>
      <c r="P7" s="190"/>
      <c r="Q7" s="190"/>
      <c r="R7" s="190"/>
      <c r="S7" s="190"/>
      <c r="T7" s="190"/>
      <c r="U7" s="190"/>
    </row>
    <row r="8" spans="1:22" s="1" customFormat="1" ht="14.65" customHeight="1">
      <c r="A8" s="36"/>
      <c r="B8" s="416"/>
      <c r="C8" s="416"/>
      <c r="D8" s="416"/>
      <c r="E8" s="416"/>
      <c r="F8" s="416"/>
      <c r="G8" s="416"/>
      <c r="H8" s="416"/>
      <c r="I8" s="190"/>
      <c r="J8" s="190"/>
      <c r="K8" s="190"/>
      <c r="L8" s="190"/>
      <c r="M8" s="190"/>
      <c r="N8" s="190"/>
      <c r="O8" s="190"/>
      <c r="P8" s="190"/>
      <c r="Q8" s="190"/>
      <c r="R8" s="190"/>
      <c r="S8" s="190"/>
      <c r="T8" s="190"/>
      <c r="U8" s="190"/>
    </row>
    <row r="9" spans="1:22" s="5" customFormat="1" ht="12.75">
      <c r="A9" s="3"/>
      <c r="B9" s="430" t="s">
        <v>98</v>
      </c>
      <c r="C9" s="430"/>
      <c r="D9" s="266"/>
      <c r="E9" s="4"/>
      <c r="F9" s="4"/>
      <c r="G9" s="155"/>
      <c r="H9" s="207"/>
      <c r="I9" s="208"/>
      <c r="K9" s="157"/>
      <c r="L9" s="158"/>
      <c r="M9" s="3"/>
      <c r="N9" s="3"/>
      <c r="O9" s="3"/>
      <c r="P9" s="3"/>
      <c r="Q9" s="3"/>
      <c r="R9" s="3"/>
      <c r="S9" s="3"/>
      <c r="V9" s="3"/>
    </row>
    <row r="10" spans="1:22">
      <c r="B10" s="24"/>
      <c r="C10" s="24"/>
      <c r="D10" s="151"/>
      <c r="E10" s="431" t="s">
        <v>99</v>
      </c>
      <c r="F10" s="431"/>
      <c r="G10" s="431"/>
      <c r="H10" s="187"/>
    </row>
    <row r="11" spans="1:22" s="210" customFormat="1" ht="41.65" customHeight="1">
      <c r="A11" s="150"/>
      <c r="B11" s="206" t="s">
        <v>100</v>
      </c>
      <c r="C11" s="206" t="s">
        <v>101</v>
      </c>
      <c r="D11" s="214" t="s">
        <v>102</v>
      </c>
      <c r="E11" s="206" t="s">
        <v>103</v>
      </c>
      <c r="F11" s="206" t="s">
        <v>104</v>
      </c>
      <c r="G11" s="206" t="s">
        <v>105</v>
      </c>
      <c r="H11" s="209" t="s">
        <v>106</v>
      </c>
    </row>
    <row r="12" spans="1:22" s="211" customFormat="1" ht="32.65" customHeight="1">
      <c r="A12" s="329"/>
      <c r="B12" s="330" t="s">
        <v>107</v>
      </c>
      <c r="C12" s="330" t="s">
        <v>108</v>
      </c>
      <c r="D12" s="331" t="s">
        <v>109</v>
      </c>
      <c r="E12" s="330" t="s">
        <v>110</v>
      </c>
      <c r="F12" s="332" t="s">
        <v>111</v>
      </c>
      <c r="G12" s="330" t="s">
        <v>112</v>
      </c>
      <c r="H12" s="333"/>
      <c r="N12" s="210"/>
      <c r="O12" s="210"/>
      <c r="P12" s="210"/>
      <c r="Q12" s="210"/>
      <c r="R12" s="210"/>
      <c r="S12" s="210"/>
    </row>
    <row r="13" spans="1:22" s="211" customFormat="1" ht="13.9" customHeight="1">
      <c r="A13" s="329"/>
      <c r="B13" s="212" t="s">
        <v>251</v>
      </c>
      <c r="C13" s="270">
        <v>2</v>
      </c>
      <c r="D13" s="271">
        <v>2928</v>
      </c>
      <c r="E13" s="334">
        <f>C13*D13</f>
        <v>5856</v>
      </c>
      <c r="F13" s="335"/>
      <c r="G13" s="336">
        <f>E13*(1-F13)</f>
        <v>5856</v>
      </c>
      <c r="H13" s="337"/>
      <c r="N13" s="210"/>
      <c r="O13" s="210"/>
      <c r="P13" s="210"/>
      <c r="Q13" s="210"/>
      <c r="R13" s="210"/>
      <c r="S13" s="210"/>
    </row>
    <row r="14" spans="1:22" s="211" customFormat="1" ht="13.9" customHeight="1">
      <c r="A14" s="329"/>
      <c r="B14" s="212" t="s">
        <v>252</v>
      </c>
      <c r="C14" s="270">
        <v>15</v>
      </c>
      <c r="D14" s="271">
        <v>3045.1333333333332</v>
      </c>
      <c r="E14" s="334">
        <f t="shared" ref="E14:E19" si="0">C14*D14</f>
        <v>45677</v>
      </c>
      <c r="F14" s="335"/>
      <c r="G14" s="336">
        <f t="shared" ref="G14:G18" si="1">E14*(1-F14)</f>
        <v>45677</v>
      </c>
      <c r="H14" s="337"/>
      <c r="N14" s="210"/>
      <c r="O14" s="210"/>
      <c r="P14" s="210"/>
      <c r="Q14" s="210"/>
      <c r="R14" s="210"/>
      <c r="S14" s="210"/>
    </row>
    <row r="15" spans="1:22" s="211" customFormat="1">
      <c r="A15" s="329"/>
      <c r="B15" s="212" t="s">
        <v>253</v>
      </c>
      <c r="C15" s="270">
        <v>35</v>
      </c>
      <c r="D15" s="271">
        <v>688.08571428571429</v>
      </c>
      <c r="E15" s="334">
        <f t="shared" si="0"/>
        <v>24083</v>
      </c>
      <c r="F15" s="335"/>
      <c r="G15" s="336">
        <f t="shared" si="1"/>
        <v>24083</v>
      </c>
      <c r="H15" s="337"/>
      <c r="N15" s="210"/>
      <c r="O15" s="210"/>
      <c r="P15" s="210"/>
      <c r="Q15" s="210"/>
      <c r="R15" s="210"/>
      <c r="S15" s="210"/>
    </row>
    <row r="16" spans="1:22" s="211" customFormat="1">
      <c r="A16" s="329"/>
      <c r="B16" s="212" t="s">
        <v>254</v>
      </c>
      <c r="C16" s="270">
        <v>90</v>
      </c>
      <c r="D16" s="271">
        <v>146.4</v>
      </c>
      <c r="E16" s="334">
        <f>C16*D16</f>
        <v>13176</v>
      </c>
      <c r="F16" s="335"/>
      <c r="G16" s="336">
        <f t="shared" si="1"/>
        <v>13176</v>
      </c>
      <c r="H16" s="337"/>
      <c r="N16" s="210"/>
      <c r="O16" s="210"/>
      <c r="P16" s="210"/>
      <c r="Q16" s="210"/>
      <c r="R16" s="210"/>
      <c r="S16" s="210"/>
    </row>
    <row r="17" spans="1:22" s="211" customFormat="1">
      <c r="A17" s="329"/>
      <c r="B17" s="212" t="s">
        <v>255</v>
      </c>
      <c r="C17" s="296">
        <v>20.008090614886733</v>
      </c>
      <c r="D17" s="271">
        <v>618</v>
      </c>
      <c r="E17" s="334">
        <f>C17*D17</f>
        <v>12365</v>
      </c>
      <c r="F17" s="335"/>
      <c r="G17" s="336">
        <f t="shared" si="1"/>
        <v>12365</v>
      </c>
      <c r="H17" s="337"/>
      <c r="N17" s="210"/>
      <c r="O17" s="210"/>
      <c r="P17" s="210"/>
      <c r="Q17" s="210"/>
      <c r="R17" s="210"/>
      <c r="S17" s="210"/>
    </row>
    <row r="18" spans="1:22" s="211" customFormat="1" ht="12.75">
      <c r="A18" s="329"/>
      <c r="B18" s="212" t="s">
        <v>256</v>
      </c>
      <c r="C18" s="296">
        <v>9.9875000000000007</v>
      </c>
      <c r="D18" s="271">
        <v>320</v>
      </c>
      <c r="E18" s="334">
        <f t="shared" si="0"/>
        <v>3196</v>
      </c>
      <c r="F18" s="335"/>
      <c r="G18" s="336">
        <f t="shared" si="1"/>
        <v>3196</v>
      </c>
      <c r="H18" s="337"/>
    </row>
    <row r="19" spans="1:22" s="211" customFormat="1" ht="12.75">
      <c r="A19" s="329"/>
      <c r="B19" s="212" t="s">
        <v>257</v>
      </c>
      <c r="C19" s="296">
        <v>1</v>
      </c>
      <c r="D19" s="271">
        <v>10980</v>
      </c>
      <c r="E19" s="334">
        <f t="shared" si="0"/>
        <v>10980</v>
      </c>
      <c r="F19" s="335"/>
      <c r="G19" s="336">
        <f>E19*(1-F19)</f>
        <v>10980</v>
      </c>
      <c r="H19" s="337"/>
    </row>
    <row r="20" spans="1:22" s="211" customFormat="1" ht="35.25" customHeight="1">
      <c r="A20" s="329"/>
      <c r="B20" s="338" t="s">
        <v>125</v>
      </c>
      <c r="C20" s="213">
        <f>SUM(C13:C16)</f>
        <v>142</v>
      </c>
      <c r="D20" s="342">
        <f>SUM(D13:D19)</f>
        <v>18725.619047619046</v>
      </c>
      <c r="E20" s="339">
        <f>SUM(E13:E19)</f>
        <v>115333</v>
      </c>
      <c r="F20" s="340"/>
      <c r="G20" s="339">
        <f>SUM(G13:G19)</f>
        <v>115333</v>
      </c>
      <c r="H20" s="338"/>
    </row>
    <row r="21" spans="1:22" s="211" customFormat="1" ht="24">
      <c r="A21" s="329"/>
      <c r="B21" s="330" t="s">
        <v>126</v>
      </c>
      <c r="C21" s="330">
        <v>1</v>
      </c>
      <c r="D21" s="331" t="s">
        <v>109</v>
      </c>
      <c r="E21" s="330" t="s">
        <v>110</v>
      </c>
      <c r="F21" s="330" t="s">
        <v>111</v>
      </c>
      <c r="G21" s="330" t="s">
        <v>112</v>
      </c>
      <c r="H21" s="330"/>
    </row>
    <row r="22" spans="1:22" s="211" customFormat="1" ht="36">
      <c r="A22" s="329"/>
      <c r="B22" s="212" t="s">
        <v>258</v>
      </c>
      <c r="C22" s="270">
        <v>1</v>
      </c>
      <c r="D22" s="271">
        <v>4488</v>
      </c>
      <c r="E22" s="334">
        <f t="shared" ref="E22" si="2">C22*D22</f>
        <v>4488</v>
      </c>
      <c r="F22" s="335"/>
      <c r="G22" s="336">
        <f t="shared" ref="G22" si="3">E22*(1-F22)</f>
        <v>4488</v>
      </c>
      <c r="H22" s="337" t="s">
        <v>259</v>
      </c>
    </row>
    <row r="23" spans="1:22" s="211" customFormat="1" ht="36">
      <c r="A23" s="329"/>
      <c r="B23" s="212" t="s">
        <v>260</v>
      </c>
      <c r="C23" s="270">
        <v>1</v>
      </c>
      <c r="D23" s="271">
        <v>4411</v>
      </c>
      <c r="E23" s="334">
        <f t="shared" ref="E23:E29" si="4">C23*D23</f>
        <v>4411</v>
      </c>
      <c r="F23" s="335"/>
      <c r="G23" s="336">
        <f t="shared" ref="G23:G29" si="5">E23*(1-F23)</f>
        <v>4411</v>
      </c>
      <c r="H23" s="337" t="s">
        <v>259</v>
      </c>
    </row>
    <row r="24" spans="1:22" s="211" customFormat="1" ht="36">
      <c r="A24" s="329"/>
      <c r="B24" s="212" t="s">
        <v>261</v>
      </c>
      <c r="C24" s="270">
        <v>1</v>
      </c>
      <c r="D24" s="271">
        <v>17185</v>
      </c>
      <c r="E24" s="334">
        <f t="shared" si="4"/>
        <v>17185</v>
      </c>
      <c r="F24" s="335"/>
      <c r="G24" s="336">
        <f t="shared" si="5"/>
        <v>17185</v>
      </c>
      <c r="H24" s="337" t="s">
        <v>259</v>
      </c>
    </row>
    <row r="25" spans="1:22" s="211" customFormat="1" ht="36">
      <c r="A25" s="329"/>
      <c r="B25" s="212" t="s">
        <v>262</v>
      </c>
      <c r="C25" s="270">
        <v>1</v>
      </c>
      <c r="D25" s="271">
        <v>11814</v>
      </c>
      <c r="E25" s="334">
        <f t="shared" si="4"/>
        <v>11814</v>
      </c>
      <c r="F25" s="335"/>
      <c r="G25" s="336">
        <f t="shared" si="5"/>
        <v>11814</v>
      </c>
      <c r="H25" s="337" t="s">
        <v>259</v>
      </c>
    </row>
    <row r="26" spans="1:22" s="211" customFormat="1" ht="36">
      <c r="A26" s="329"/>
      <c r="B26" s="212" t="s">
        <v>263</v>
      </c>
      <c r="C26" s="270">
        <v>1</v>
      </c>
      <c r="D26" s="271">
        <v>5060</v>
      </c>
      <c r="E26" s="334">
        <f t="shared" si="4"/>
        <v>5060</v>
      </c>
      <c r="F26" s="335"/>
      <c r="G26" s="336">
        <f t="shared" si="5"/>
        <v>5060</v>
      </c>
      <c r="H26" s="337" t="s">
        <v>259</v>
      </c>
    </row>
    <row r="27" spans="1:22" s="211" customFormat="1" ht="36">
      <c r="A27" s="329"/>
      <c r="B27" s="212" t="s">
        <v>264</v>
      </c>
      <c r="C27" s="270">
        <v>140</v>
      </c>
      <c r="D27" s="271">
        <v>19.992857142857144</v>
      </c>
      <c r="E27" s="334">
        <f t="shared" si="4"/>
        <v>2799</v>
      </c>
      <c r="F27" s="335"/>
      <c r="G27" s="336">
        <f>E27*(1-F27)</f>
        <v>2799</v>
      </c>
      <c r="H27" s="337" t="s">
        <v>259</v>
      </c>
    </row>
    <row r="28" spans="1:22" s="211" customFormat="1" ht="12.75">
      <c r="A28" s="329"/>
      <c r="B28" s="212"/>
      <c r="C28" s="212"/>
      <c r="D28" s="394"/>
      <c r="E28" s="334">
        <f t="shared" si="4"/>
        <v>0</v>
      </c>
      <c r="F28" s="335"/>
      <c r="G28" s="336">
        <f t="shared" si="5"/>
        <v>0</v>
      </c>
      <c r="H28" s="337"/>
    </row>
    <row r="29" spans="1:22" s="211" customFormat="1" ht="12.75">
      <c r="A29" s="329"/>
      <c r="B29" s="212"/>
      <c r="C29" s="212"/>
      <c r="D29" s="394"/>
      <c r="E29" s="334">
        <f t="shared" si="4"/>
        <v>0</v>
      </c>
      <c r="F29" s="335"/>
      <c r="G29" s="336">
        <f t="shared" si="5"/>
        <v>0</v>
      </c>
      <c r="H29" s="337"/>
    </row>
    <row r="30" spans="1:22" s="211" customFormat="1" ht="34.15" customHeight="1">
      <c r="A30" s="329"/>
      <c r="B30" s="338" t="s">
        <v>140</v>
      </c>
      <c r="C30" s="213">
        <f>SUM(C27)</f>
        <v>140</v>
      </c>
      <c r="D30" s="342">
        <f>SUM(D22:D29)</f>
        <v>42977.992857142854</v>
      </c>
      <c r="E30" s="339">
        <f>SUM(E22:E29)</f>
        <v>45757</v>
      </c>
      <c r="F30" s="340"/>
      <c r="G30" s="339">
        <f>SUM(G22:G29)</f>
        <v>45757</v>
      </c>
      <c r="H30" s="338"/>
    </row>
    <row r="31" spans="1:22" s="253" customFormat="1" ht="24">
      <c r="A31" s="329"/>
      <c r="B31" s="330" t="s">
        <v>141</v>
      </c>
      <c r="C31" s="330" t="s">
        <v>265</v>
      </c>
      <c r="D31" s="331" t="s">
        <v>109</v>
      </c>
      <c r="E31" s="330" t="s">
        <v>110</v>
      </c>
      <c r="F31" s="330" t="s">
        <v>111</v>
      </c>
      <c r="G31" s="330" t="s">
        <v>112</v>
      </c>
      <c r="H31" s="330"/>
      <c r="I31" s="211"/>
      <c r="J31" s="211"/>
      <c r="K31" s="211"/>
      <c r="L31" s="211"/>
      <c r="M31" s="211"/>
      <c r="N31" s="211"/>
      <c r="O31" s="211"/>
      <c r="P31" s="211"/>
      <c r="Q31" s="211"/>
      <c r="R31" s="211"/>
      <c r="S31" s="211"/>
      <c r="T31" s="211"/>
      <c r="U31" s="211"/>
      <c r="V31" s="211"/>
    </row>
    <row r="32" spans="1:22">
      <c r="B32" s="212" t="s">
        <v>266</v>
      </c>
      <c r="C32" s="212">
        <v>20</v>
      </c>
      <c r="D32" s="347">
        <v>720</v>
      </c>
      <c r="E32" s="334">
        <f t="shared" ref="E32" si="6">C32*D32</f>
        <v>14400</v>
      </c>
      <c r="F32" s="335"/>
      <c r="G32" s="336">
        <f t="shared" ref="G32:G33" si="7">E32*(1-F32)</f>
        <v>14400</v>
      </c>
      <c r="H32" s="337"/>
    </row>
    <row r="33" spans="1:8" ht="72">
      <c r="B33" s="212" t="s">
        <v>143</v>
      </c>
      <c r="C33" s="212">
        <v>55</v>
      </c>
      <c r="D33" s="347">
        <v>779.09090909090912</v>
      </c>
      <c r="E33" s="334">
        <f t="shared" ref="E33:E35" si="8">C33*D33</f>
        <v>42850</v>
      </c>
      <c r="F33" s="335"/>
      <c r="G33" s="336">
        <f t="shared" si="7"/>
        <v>42850</v>
      </c>
      <c r="H33" s="337"/>
    </row>
    <row r="34" spans="1:8">
      <c r="B34" s="212" t="s">
        <v>267</v>
      </c>
      <c r="C34" s="212"/>
      <c r="D34" s="347"/>
      <c r="E34" s="334">
        <f t="shared" si="8"/>
        <v>0</v>
      </c>
      <c r="F34" s="335"/>
      <c r="G34" s="336">
        <f t="shared" ref="G34:G35" si="9">E34*(1-F34)</f>
        <v>0</v>
      </c>
      <c r="H34" s="337"/>
    </row>
    <row r="35" spans="1:8">
      <c r="B35" s="212" t="s">
        <v>267</v>
      </c>
      <c r="C35" s="212"/>
      <c r="D35" s="347"/>
      <c r="E35" s="334">
        <f t="shared" si="8"/>
        <v>0</v>
      </c>
      <c r="F35" s="335"/>
      <c r="G35" s="336">
        <f t="shared" si="9"/>
        <v>0</v>
      </c>
      <c r="H35" s="337"/>
    </row>
    <row r="36" spans="1:8" s="253" customFormat="1" ht="31.15" customHeight="1">
      <c r="A36" s="329"/>
      <c r="B36" s="338" t="s">
        <v>146</v>
      </c>
      <c r="C36" s="213">
        <f>SUM(C32:C35)</f>
        <v>75</v>
      </c>
      <c r="D36" s="342">
        <f>SUM(D32:D35)</f>
        <v>1499.090909090909</v>
      </c>
      <c r="E36" s="339">
        <f>SUM(E32:E35)</f>
        <v>57250</v>
      </c>
      <c r="F36" s="340"/>
      <c r="G36" s="339">
        <f>SUM(G32:G35)</f>
        <v>57250</v>
      </c>
      <c r="H36" s="338"/>
    </row>
    <row r="37" spans="1:8" ht="24">
      <c r="B37" s="330" t="s">
        <v>147</v>
      </c>
      <c r="C37" s="330" t="s">
        <v>101</v>
      </c>
      <c r="D37" s="331" t="s">
        <v>109</v>
      </c>
      <c r="E37" s="330" t="s">
        <v>112</v>
      </c>
      <c r="F37" s="330" t="s">
        <v>111</v>
      </c>
      <c r="G37" s="330" t="s">
        <v>112</v>
      </c>
      <c r="H37" s="330"/>
    </row>
    <row r="38" spans="1:8">
      <c r="B38" s="212" t="s">
        <v>65</v>
      </c>
      <c r="C38" s="395"/>
      <c r="D38" s="396"/>
      <c r="E38" s="334">
        <f t="shared" ref="E38" si="10">C38*D38</f>
        <v>0</v>
      </c>
      <c r="F38" s="335"/>
      <c r="G38" s="336">
        <f>E38*(1-F38)</f>
        <v>0</v>
      </c>
      <c r="H38" s="337"/>
    </row>
    <row r="39" spans="1:8" ht="24">
      <c r="B39" s="212" t="s">
        <v>268</v>
      </c>
      <c r="C39" s="395"/>
      <c r="D39" s="396"/>
      <c r="E39" s="334">
        <f t="shared" ref="E39:E41" si="11">C39*D39</f>
        <v>0</v>
      </c>
      <c r="F39" s="335"/>
      <c r="G39" s="336">
        <f t="shared" ref="G39:G41" si="12">E39*(1-F39)</f>
        <v>0</v>
      </c>
      <c r="H39" s="337"/>
    </row>
    <row r="40" spans="1:8" ht="24">
      <c r="B40" s="212" t="s">
        <v>268</v>
      </c>
      <c r="C40" s="395"/>
      <c r="D40" s="396"/>
      <c r="E40" s="334">
        <f t="shared" si="11"/>
        <v>0</v>
      </c>
      <c r="F40" s="335"/>
      <c r="G40" s="336">
        <f t="shared" si="12"/>
        <v>0</v>
      </c>
      <c r="H40" s="337"/>
    </row>
    <row r="41" spans="1:8" ht="24">
      <c r="B41" s="212" t="s">
        <v>268</v>
      </c>
      <c r="C41" s="395"/>
      <c r="D41" s="396"/>
      <c r="E41" s="334">
        <f t="shared" si="11"/>
        <v>0</v>
      </c>
      <c r="F41" s="335"/>
      <c r="G41" s="336">
        <f t="shared" si="12"/>
        <v>0</v>
      </c>
      <c r="H41" s="337"/>
    </row>
    <row r="42" spans="1:8">
      <c r="B42" s="338" t="s">
        <v>151</v>
      </c>
      <c r="C42" s="213">
        <f>SUM(C38:C41)</f>
        <v>0</v>
      </c>
      <c r="D42" s="342">
        <f>SUM(D38:D41)</f>
        <v>0</v>
      </c>
      <c r="E42" s="339">
        <f>SUM(E38:E41)</f>
        <v>0</v>
      </c>
      <c r="F42" s="340"/>
      <c r="G42" s="339">
        <f>SUM(G38:G41)</f>
        <v>0</v>
      </c>
      <c r="H42" s="338"/>
    </row>
    <row r="43" spans="1:8">
      <c r="A43" s="24"/>
      <c r="B43" s="40"/>
      <c r="C43" s="140"/>
      <c r="D43" s="151"/>
      <c r="E43" s="24"/>
      <c r="F43" s="24"/>
      <c r="G43" s="24"/>
      <c r="H43" s="343"/>
    </row>
    <row r="44" spans="1:8" ht="27.75">
      <c r="B44" s="24"/>
      <c r="C44" s="206" t="s">
        <v>35</v>
      </c>
      <c r="D44" s="275"/>
      <c r="E44" s="254"/>
      <c r="F44" s="254"/>
      <c r="G44" s="214">
        <f>G20+G30+G36+G42</f>
        <v>218340</v>
      </c>
      <c r="H44" s="344"/>
    </row>
    <row r="45" spans="1:8">
      <c r="A45" s="24"/>
      <c r="B45" s="24"/>
      <c r="C45" s="24"/>
      <c r="D45" s="151"/>
      <c r="E45" s="151"/>
      <c r="F45" s="24"/>
      <c r="G45" s="33"/>
      <c r="H45" s="187"/>
    </row>
    <row r="46" spans="1:8">
      <c r="A46" s="24"/>
      <c r="B46" s="24"/>
      <c r="C46" s="24"/>
      <c r="D46" s="151"/>
      <c r="E46" s="151"/>
      <c r="F46" s="24"/>
      <c r="G46" s="33"/>
      <c r="H46" s="187"/>
    </row>
    <row r="47" spans="1:8">
      <c r="A47" s="24"/>
      <c r="B47" s="24"/>
      <c r="C47" s="24"/>
      <c r="D47" s="151"/>
      <c r="E47" s="151"/>
      <c r="F47" s="24"/>
      <c r="G47" s="33"/>
      <c r="H47" s="187"/>
    </row>
    <row r="48" spans="1:8">
      <c r="A48" s="24"/>
      <c r="B48" s="24"/>
      <c r="C48" s="24"/>
      <c r="D48" s="151"/>
      <c r="E48" s="152"/>
      <c r="F48" s="24"/>
      <c r="G48" s="33"/>
      <c r="H48" s="187"/>
    </row>
    <row r="49" spans="1:8">
      <c r="A49" s="24"/>
      <c r="B49" s="24"/>
      <c r="C49" s="24"/>
      <c r="D49" s="151"/>
      <c r="E49" s="152"/>
      <c r="F49" s="24"/>
      <c r="G49" s="33"/>
      <c r="H49" s="187"/>
    </row>
    <row r="50" spans="1:8">
      <c r="A50" s="24"/>
      <c r="B50" s="24"/>
      <c r="C50" s="24"/>
      <c r="D50" s="151"/>
      <c r="E50" s="152"/>
      <c r="F50" s="24"/>
      <c r="G50" s="33"/>
      <c r="H50" s="187"/>
    </row>
    <row r="51" spans="1:8">
      <c r="A51" s="24"/>
      <c r="B51" s="24"/>
      <c r="C51" s="24"/>
      <c r="D51" s="151"/>
      <c r="E51" s="151"/>
      <c r="F51" s="24"/>
      <c r="G51" s="33"/>
      <c r="H51" s="187"/>
    </row>
    <row r="52" spans="1:8">
      <c r="A52" s="24"/>
      <c r="B52" s="24"/>
      <c r="C52" s="24"/>
      <c r="D52" s="151"/>
      <c r="E52" s="24"/>
      <c r="F52" s="24"/>
      <c r="G52" s="24"/>
      <c r="H52" s="187"/>
    </row>
    <row r="53" spans="1:8">
      <c r="A53" s="24"/>
      <c r="B53" s="24"/>
      <c r="C53" s="24"/>
      <c r="D53" s="151"/>
      <c r="E53" s="24"/>
      <c r="F53" s="24"/>
      <c r="G53" s="24"/>
      <c r="H53" s="187"/>
    </row>
    <row r="54" spans="1:8">
      <c r="A54" s="24"/>
      <c r="B54" s="24"/>
      <c r="C54" s="24"/>
      <c r="D54" s="151"/>
      <c r="E54" s="24"/>
      <c r="F54" s="24"/>
      <c r="G54" s="24"/>
      <c r="H54" s="187"/>
    </row>
    <row r="55" spans="1:8">
      <c r="A55" s="24"/>
      <c r="B55" s="24"/>
      <c r="C55" s="24"/>
      <c r="D55" s="151"/>
      <c r="E55" s="24"/>
      <c r="F55" s="24"/>
      <c r="G55" s="24"/>
      <c r="H55" s="187"/>
    </row>
    <row r="56" spans="1:8">
      <c r="A56" s="24"/>
      <c r="B56" s="24"/>
      <c r="C56" s="24"/>
      <c r="D56" s="151"/>
      <c r="E56" s="24"/>
      <c r="F56" s="24"/>
      <c r="G56" s="24"/>
      <c r="H56" s="187"/>
    </row>
    <row r="57" spans="1:8">
      <c r="A57" s="24"/>
      <c r="B57" s="24"/>
      <c r="C57" s="24"/>
      <c r="D57" s="151"/>
      <c r="E57" s="24"/>
      <c r="F57" s="24"/>
      <c r="G57" s="24"/>
      <c r="H57" s="187"/>
    </row>
    <row r="58" spans="1:8">
      <c r="A58" s="24"/>
      <c r="B58" s="24"/>
      <c r="C58" s="24"/>
      <c r="D58" s="151"/>
      <c r="E58" s="24"/>
      <c r="F58" s="24"/>
      <c r="G58" s="24"/>
      <c r="H58" s="187"/>
    </row>
    <row r="59" spans="1:8">
      <c r="A59" s="24"/>
      <c r="B59" s="24"/>
      <c r="C59" s="24"/>
      <c r="D59" s="151"/>
      <c r="E59" s="24"/>
      <c r="F59" s="24"/>
      <c r="G59" s="24"/>
      <c r="H59" s="187"/>
    </row>
    <row r="60" spans="1:8">
      <c r="A60" s="24"/>
      <c r="B60" s="24"/>
      <c r="C60" s="24"/>
      <c r="D60" s="151"/>
      <c r="E60" s="24"/>
      <c r="F60" s="24"/>
      <c r="G60" s="24"/>
      <c r="H60" s="187"/>
    </row>
    <row r="61" spans="1:8">
      <c r="A61" s="24"/>
      <c r="B61" s="24"/>
      <c r="C61" s="24"/>
      <c r="D61" s="151"/>
      <c r="E61" s="24"/>
      <c r="F61" s="24"/>
      <c r="G61" s="24"/>
      <c r="H61" s="187"/>
    </row>
    <row r="62" spans="1:8">
      <c r="A62" s="24"/>
      <c r="B62" s="24"/>
      <c r="C62" s="24"/>
      <c r="D62" s="151"/>
      <c r="E62" s="24"/>
      <c r="F62" s="24"/>
      <c r="G62" s="24"/>
      <c r="H62" s="187"/>
    </row>
    <row r="63" spans="1:8">
      <c r="A63" s="24"/>
      <c r="B63" s="24"/>
      <c r="C63" s="24"/>
      <c r="D63" s="151"/>
      <c r="E63" s="24"/>
      <c r="F63" s="24"/>
      <c r="G63" s="24"/>
      <c r="H63" s="187"/>
    </row>
    <row r="64" spans="1:8">
      <c r="A64" s="24"/>
      <c r="B64" s="24"/>
      <c r="C64" s="24"/>
      <c r="D64" s="151"/>
      <c r="E64" s="24"/>
      <c r="F64" s="24"/>
      <c r="G64" s="24"/>
      <c r="H64" s="187"/>
    </row>
    <row r="68" spans="2:4">
      <c r="B68" s="24"/>
      <c r="C68" s="24"/>
      <c r="D68" s="267"/>
    </row>
    <row r="69" spans="2:4">
      <c r="D69" s="267"/>
    </row>
    <row r="70" spans="2:4">
      <c r="D70" s="267"/>
    </row>
    <row r="71" spans="2:4">
      <c r="D71" s="267"/>
    </row>
  </sheetData>
  <mergeCells count="5">
    <mergeCell ref="E3:F3"/>
    <mergeCell ref="E4:F4"/>
    <mergeCell ref="B6:H8"/>
    <mergeCell ref="B9:C9"/>
    <mergeCell ref="E10:G10"/>
  </mergeCells>
  <pageMargins left="0.7" right="0.7" top="0.75" bottom="0.75" header="0.3" footer="0.3"/>
  <pageSetup paperSize="9" orientation="portrait" r:id="rId1"/>
  <customProperties>
    <customPr name="OrphanNamesChecked" r:id="rId2"/>
  </customProperties>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D620-CB59-4E4D-8673-349AC709B8D2}">
  <dimension ref="A1:V206"/>
  <sheetViews>
    <sheetView topLeftCell="A40" zoomScaleNormal="100" workbookViewId="0">
      <selection activeCell="C56" sqref="C56"/>
    </sheetView>
  </sheetViews>
  <sheetFormatPr defaultColWidth="11.28515625" defaultRowHeight="12.75"/>
  <cols>
    <col min="1" max="1" width="3.28515625" style="5" customWidth="1"/>
    <col min="2" max="2" width="66.42578125" style="5" customWidth="1"/>
    <col min="3" max="3" width="15.7109375" style="5" customWidth="1"/>
    <col min="4" max="4" width="15.28515625" style="5" bestFit="1" customWidth="1"/>
    <col min="5" max="6" width="15.7109375" style="5" customWidth="1"/>
    <col min="7" max="7" width="15.7109375" style="11" customWidth="1"/>
    <col min="8" max="8" width="15.7109375" style="12" customWidth="1"/>
    <col min="9" max="10" width="15.7109375" style="5" customWidth="1"/>
    <col min="11" max="11" width="25.28515625" style="157" customWidth="1"/>
    <col min="12" max="12" width="25.28515625" style="219" customWidth="1"/>
    <col min="13" max="13" width="19.28515625" style="5" customWidth="1"/>
    <col min="14" max="14" width="16.28515625" style="5" customWidth="1"/>
    <col min="15" max="15" width="20.28515625" style="5" customWidth="1"/>
    <col min="16" max="17" width="19.7109375" style="5" customWidth="1"/>
    <col min="18" max="18" width="10.28515625" style="5" bestFit="1" customWidth="1"/>
    <col min="19" max="20" width="11.28515625" style="5"/>
    <col min="21" max="21" width="32.28515625" style="12" customWidth="1"/>
    <col min="22" max="22" width="4.28515625" style="5" customWidth="1"/>
    <col min="23" max="77" width="11.28515625" style="5"/>
    <col min="78" max="78" width="0" style="5" hidden="1" customWidth="1"/>
    <col min="79" max="79" width="68.28515625" style="5" customWidth="1"/>
    <col min="80" max="82" width="16.28515625" style="5" customWidth="1"/>
    <col min="83" max="83" width="42.7109375" style="5" customWidth="1"/>
    <col min="84" max="333" width="11.28515625" style="5"/>
    <col min="334" max="334" width="0" style="5" hidden="1" customWidth="1"/>
    <col min="335" max="335" width="68.28515625" style="5" customWidth="1"/>
    <col min="336" max="338" width="16.28515625" style="5" customWidth="1"/>
    <col min="339" max="339" width="42.7109375" style="5" customWidth="1"/>
    <col min="340" max="589" width="11.28515625" style="5"/>
    <col min="590" max="590" width="0" style="5" hidden="1" customWidth="1"/>
    <col min="591" max="591" width="68.28515625" style="5" customWidth="1"/>
    <col min="592" max="594" width="16.28515625" style="5" customWidth="1"/>
    <col min="595" max="595" width="42.7109375" style="5" customWidth="1"/>
    <col min="596" max="845" width="11.28515625" style="5"/>
    <col min="846" max="846" width="0" style="5" hidden="1" customWidth="1"/>
    <col min="847" max="847" width="68.28515625" style="5" customWidth="1"/>
    <col min="848" max="850" width="16.28515625" style="5" customWidth="1"/>
    <col min="851" max="851" width="42.7109375" style="5" customWidth="1"/>
    <col min="852" max="1101" width="11.28515625" style="5"/>
    <col min="1102" max="1102" width="0" style="5" hidden="1" customWidth="1"/>
    <col min="1103" max="1103" width="68.28515625" style="5" customWidth="1"/>
    <col min="1104" max="1106" width="16.28515625" style="5" customWidth="1"/>
    <col min="1107" max="1107" width="42.7109375" style="5" customWidth="1"/>
    <col min="1108" max="1357" width="11.28515625" style="5"/>
    <col min="1358" max="1358" width="0" style="5" hidden="1" customWidth="1"/>
    <col min="1359" max="1359" width="68.28515625" style="5" customWidth="1"/>
    <col min="1360" max="1362" width="16.28515625" style="5" customWidth="1"/>
    <col min="1363" max="1363" width="42.7109375" style="5" customWidth="1"/>
    <col min="1364" max="1613" width="11.28515625" style="5"/>
    <col min="1614" max="1614" width="0" style="5" hidden="1" customWidth="1"/>
    <col min="1615" max="1615" width="68.28515625" style="5" customWidth="1"/>
    <col min="1616" max="1618" width="16.28515625" style="5" customWidth="1"/>
    <col min="1619" max="1619" width="42.7109375" style="5" customWidth="1"/>
    <col min="1620" max="1869" width="11.28515625" style="5"/>
    <col min="1870" max="1870" width="0" style="5" hidden="1" customWidth="1"/>
    <col min="1871" max="1871" width="68.28515625" style="5" customWidth="1"/>
    <col min="1872" max="1874" width="16.28515625" style="5" customWidth="1"/>
    <col min="1875" max="1875" width="42.7109375" style="5" customWidth="1"/>
    <col min="1876" max="2125" width="11.28515625" style="5"/>
    <col min="2126" max="2126" width="0" style="5" hidden="1" customWidth="1"/>
    <col min="2127" max="2127" width="68.28515625" style="5" customWidth="1"/>
    <col min="2128" max="2130" width="16.28515625" style="5" customWidth="1"/>
    <col min="2131" max="2131" width="42.7109375" style="5" customWidth="1"/>
    <col min="2132" max="2381" width="11.28515625" style="5"/>
    <col min="2382" max="2382" width="0" style="5" hidden="1" customWidth="1"/>
    <col min="2383" max="2383" width="68.28515625" style="5" customWidth="1"/>
    <col min="2384" max="2386" width="16.28515625" style="5" customWidth="1"/>
    <col min="2387" max="2387" width="42.7109375" style="5" customWidth="1"/>
    <col min="2388" max="2637" width="11.28515625" style="5"/>
    <col min="2638" max="2638" width="0" style="5" hidden="1" customWidth="1"/>
    <col min="2639" max="2639" width="68.28515625" style="5" customWidth="1"/>
    <col min="2640" max="2642" width="16.28515625" style="5" customWidth="1"/>
    <col min="2643" max="2643" width="42.7109375" style="5" customWidth="1"/>
    <col min="2644" max="2893" width="11.28515625" style="5"/>
    <col min="2894" max="2894" width="0" style="5" hidden="1" customWidth="1"/>
    <col min="2895" max="2895" width="68.28515625" style="5" customWidth="1"/>
    <col min="2896" max="2898" width="16.28515625" style="5" customWidth="1"/>
    <col min="2899" max="2899" width="42.7109375" style="5" customWidth="1"/>
    <col min="2900" max="3149" width="11.28515625" style="5"/>
    <col min="3150" max="3150" width="0" style="5" hidden="1" customWidth="1"/>
    <col min="3151" max="3151" width="68.28515625" style="5" customWidth="1"/>
    <col min="3152" max="3154" width="16.28515625" style="5" customWidth="1"/>
    <col min="3155" max="3155" width="42.7109375" style="5" customWidth="1"/>
    <col min="3156" max="3405" width="11.28515625" style="5"/>
    <col min="3406" max="3406" width="0" style="5" hidden="1" customWidth="1"/>
    <col min="3407" max="3407" width="68.28515625" style="5" customWidth="1"/>
    <col min="3408" max="3410" width="16.28515625" style="5" customWidth="1"/>
    <col min="3411" max="3411" width="42.7109375" style="5" customWidth="1"/>
    <col min="3412" max="3661" width="11.28515625" style="5"/>
    <col min="3662" max="3662" width="0" style="5" hidden="1" customWidth="1"/>
    <col min="3663" max="3663" width="68.28515625" style="5" customWidth="1"/>
    <col min="3664" max="3666" width="16.28515625" style="5" customWidth="1"/>
    <col min="3667" max="3667" width="42.7109375" style="5" customWidth="1"/>
    <col min="3668" max="3917" width="11.28515625" style="5"/>
    <col min="3918" max="3918" width="0" style="5" hidden="1" customWidth="1"/>
    <col min="3919" max="3919" width="68.28515625" style="5" customWidth="1"/>
    <col min="3920" max="3922" width="16.28515625" style="5" customWidth="1"/>
    <col min="3923" max="3923" width="42.7109375" style="5" customWidth="1"/>
    <col min="3924" max="4173" width="11.28515625" style="5"/>
    <col min="4174" max="4174" width="0" style="5" hidden="1" customWidth="1"/>
    <col min="4175" max="4175" width="68.28515625" style="5" customWidth="1"/>
    <col min="4176" max="4178" width="16.28515625" style="5" customWidth="1"/>
    <col min="4179" max="4179" width="42.7109375" style="5" customWidth="1"/>
    <col min="4180" max="4429" width="11.28515625" style="5"/>
    <col min="4430" max="4430" width="0" style="5" hidden="1" customWidth="1"/>
    <col min="4431" max="4431" width="68.28515625" style="5" customWidth="1"/>
    <col min="4432" max="4434" width="16.28515625" style="5" customWidth="1"/>
    <col min="4435" max="4435" width="42.7109375" style="5" customWidth="1"/>
    <col min="4436" max="4685" width="11.28515625" style="5"/>
    <col min="4686" max="4686" width="0" style="5" hidden="1" customWidth="1"/>
    <col min="4687" max="4687" width="68.28515625" style="5" customWidth="1"/>
    <col min="4688" max="4690" width="16.28515625" style="5" customWidth="1"/>
    <col min="4691" max="4691" width="42.7109375" style="5" customWidth="1"/>
    <col min="4692" max="4941" width="11.28515625" style="5"/>
    <col min="4942" max="4942" width="0" style="5" hidden="1" customWidth="1"/>
    <col min="4943" max="4943" width="68.28515625" style="5" customWidth="1"/>
    <col min="4944" max="4946" width="16.28515625" style="5" customWidth="1"/>
    <col min="4947" max="4947" width="42.7109375" style="5" customWidth="1"/>
    <col min="4948" max="5197" width="11.28515625" style="5"/>
    <col min="5198" max="5198" width="0" style="5" hidden="1" customWidth="1"/>
    <col min="5199" max="5199" width="68.28515625" style="5" customWidth="1"/>
    <col min="5200" max="5202" width="16.28515625" style="5" customWidth="1"/>
    <col min="5203" max="5203" width="42.7109375" style="5" customWidth="1"/>
    <col min="5204" max="5453" width="11.28515625" style="5"/>
    <col min="5454" max="5454" width="0" style="5" hidden="1" customWidth="1"/>
    <col min="5455" max="5455" width="68.28515625" style="5" customWidth="1"/>
    <col min="5456" max="5458" width="16.28515625" style="5" customWidth="1"/>
    <col min="5459" max="5459" width="42.7109375" style="5" customWidth="1"/>
    <col min="5460" max="5709" width="11.28515625" style="5"/>
    <col min="5710" max="5710" width="0" style="5" hidden="1" customWidth="1"/>
    <col min="5711" max="5711" width="68.28515625" style="5" customWidth="1"/>
    <col min="5712" max="5714" width="16.28515625" style="5" customWidth="1"/>
    <col min="5715" max="5715" width="42.7109375" style="5" customWidth="1"/>
    <col min="5716" max="5965" width="11.28515625" style="5"/>
    <col min="5966" max="5966" width="0" style="5" hidden="1" customWidth="1"/>
    <col min="5967" max="5967" width="68.28515625" style="5" customWidth="1"/>
    <col min="5968" max="5970" width="16.28515625" style="5" customWidth="1"/>
    <col min="5971" max="5971" width="42.7109375" style="5" customWidth="1"/>
    <col min="5972" max="6221" width="11.28515625" style="5"/>
    <col min="6222" max="6222" width="0" style="5" hidden="1" customWidth="1"/>
    <col min="6223" max="6223" width="68.28515625" style="5" customWidth="1"/>
    <col min="6224" max="6226" width="16.28515625" style="5" customWidth="1"/>
    <col min="6227" max="6227" width="42.7109375" style="5" customWidth="1"/>
    <col min="6228" max="6477" width="11.28515625" style="5"/>
    <col min="6478" max="6478" width="0" style="5" hidden="1" customWidth="1"/>
    <col min="6479" max="6479" width="68.28515625" style="5" customWidth="1"/>
    <col min="6480" max="6482" width="16.28515625" style="5" customWidth="1"/>
    <col min="6483" max="6483" width="42.7109375" style="5" customWidth="1"/>
    <col min="6484" max="6733" width="11.28515625" style="5"/>
    <col min="6734" max="6734" width="0" style="5" hidden="1" customWidth="1"/>
    <col min="6735" max="6735" width="68.28515625" style="5" customWidth="1"/>
    <col min="6736" max="6738" width="16.28515625" style="5" customWidth="1"/>
    <col min="6739" max="6739" width="42.7109375" style="5" customWidth="1"/>
    <col min="6740" max="6989" width="11.28515625" style="5"/>
    <col min="6990" max="6990" width="0" style="5" hidden="1" customWidth="1"/>
    <col min="6991" max="6991" width="68.28515625" style="5" customWidth="1"/>
    <col min="6992" max="6994" width="16.28515625" style="5" customWidth="1"/>
    <col min="6995" max="6995" width="42.7109375" style="5" customWidth="1"/>
    <col min="6996" max="7245" width="11.28515625" style="5"/>
    <col min="7246" max="7246" width="0" style="5" hidden="1" customWidth="1"/>
    <col min="7247" max="7247" width="68.28515625" style="5" customWidth="1"/>
    <col min="7248" max="7250" width="16.28515625" style="5" customWidth="1"/>
    <col min="7251" max="7251" width="42.7109375" style="5" customWidth="1"/>
    <col min="7252" max="7501" width="11.28515625" style="5"/>
    <col min="7502" max="7502" width="0" style="5" hidden="1" customWidth="1"/>
    <col min="7503" max="7503" width="68.28515625" style="5" customWidth="1"/>
    <col min="7504" max="7506" width="16.28515625" style="5" customWidth="1"/>
    <col min="7507" max="7507" width="42.7109375" style="5" customWidth="1"/>
    <col min="7508" max="7757" width="11.28515625" style="5"/>
    <col min="7758" max="7758" width="0" style="5" hidden="1" customWidth="1"/>
    <col min="7759" max="7759" width="68.28515625" style="5" customWidth="1"/>
    <col min="7760" max="7762" width="16.28515625" style="5" customWidth="1"/>
    <col min="7763" max="7763" width="42.7109375" style="5" customWidth="1"/>
    <col min="7764" max="8013" width="11.28515625" style="5"/>
    <col min="8014" max="8014" width="0" style="5" hidden="1" customWidth="1"/>
    <col min="8015" max="8015" width="68.28515625" style="5" customWidth="1"/>
    <col min="8016" max="8018" width="16.28515625" style="5" customWidth="1"/>
    <col min="8019" max="8019" width="42.7109375" style="5" customWidth="1"/>
    <col min="8020" max="8269" width="11.28515625" style="5"/>
    <col min="8270" max="8270" width="0" style="5" hidden="1" customWidth="1"/>
    <col min="8271" max="8271" width="68.28515625" style="5" customWidth="1"/>
    <col min="8272" max="8274" width="16.28515625" style="5" customWidth="1"/>
    <col min="8275" max="8275" width="42.7109375" style="5" customWidth="1"/>
    <col min="8276" max="8525" width="11.28515625" style="5"/>
    <col min="8526" max="8526" width="0" style="5" hidden="1" customWidth="1"/>
    <col min="8527" max="8527" width="68.28515625" style="5" customWidth="1"/>
    <col min="8528" max="8530" width="16.28515625" style="5" customWidth="1"/>
    <col min="8531" max="8531" width="42.7109375" style="5" customWidth="1"/>
    <col min="8532" max="8781" width="11.28515625" style="5"/>
    <col min="8782" max="8782" width="0" style="5" hidden="1" customWidth="1"/>
    <col min="8783" max="8783" width="68.28515625" style="5" customWidth="1"/>
    <col min="8784" max="8786" width="16.28515625" style="5" customWidth="1"/>
    <col min="8787" max="8787" width="42.7109375" style="5" customWidth="1"/>
    <col min="8788" max="9037" width="11.28515625" style="5"/>
    <col min="9038" max="9038" width="0" style="5" hidden="1" customWidth="1"/>
    <col min="9039" max="9039" width="68.28515625" style="5" customWidth="1"/>
    <col min="9040" max="9042" width="16.28515625" style="5" customWidth="1"/>
    <col min="9043" max="9043" width="42.7109375" style="5" customWidth="1"/>
    <col min="9044" max="9293" width="11.28515625" style="5"/>
    <col min="9294" max="9294" width="0" style="5" hidden="1" customWidth="1"/>
    <col min="9295" max="9295" width="68.28515625" style="5" customWidth="1"/>
    <col min="9296" max="9298" width="16.28515625" style="5" customWidth="1"/>
    <col min="9299" max="9299" width="42.7109375" style="5" customWidth="1"/>
    <col min="9300" max="9549" width="11.28515625" style="5"/>
    <col min="9550" max="9550" width="0" style="5" hidden="1" customWidth="1"/>
    <col min="9551" max="9551" width="68.28515625" style="5" customWidth="1"/>
    <col min="9552" max="9554" width="16.28515625" style="5" customWidth="1"/>
    <col min="9555" max="9555" width="42.7109375" style="5" customWidth="1"/>
    <col min="9556" max="9805" width="11.28515625" style="5"/>
    <col min="9806" max="9806" width="0" style="5" hidden="1" customWidth="1"/>
    <col min="9807" max="9807" width="68.28515625" style="5" customWidth="1"/>
    <col min="9808" max="9810" width="16.28515625" style="5" customWidth="1"/>
    <col min="9811" max="9811" width="42.7109375" style="5" customWidth="1"/>
    <col min="9812" max="10061" width="11.28515625" style="5"/>
    <col min="10062" max="10062" width="0" style="5" hidden="1" customWidth="1"/>
    <col min="10063" max="10063" width="68.28515625" style="5" customWidth="1"/>
    <col min="10064" max="10066" width="16.28515625" style="5" customWidth="1"/>
    <col min="10067" max="10067" width="42.7109375" style="5" customWidth="1"/>
    <col min="10068" max="10317" width="11.28515625" style="5"/>
    <col min="10318" max="10318" width="0" style="5" hidden="1" customWidth="1"/>
    <col min="10319" max="10319" width="68.28515625" style="5" customWidth="1"/>
    <col min="10320" max="10322" width="16.28515625" style="5" customWidth="1"/>
    <col min="10323" max="10323" width="42.7109375" style="5" customWidth="1"/>
    <col min="10324" max="10573" width="11.28515625" style="5"/>
    <col min="10574" max="10574" width="0" style="5" hidden="1" customWidth="1"/>
    <col min="10575" max="10575" width="68.28515625" style="5" customWidth="1"/>
    <col min="10576" max="10578" width="16.28515625" style="5" customWidth="1"/>
    <col min="10579" max="10579" width="42.7109375" style="5" customWidth="1"/>
    <col min="10580" max="10829" width="11.28515625" style="5"/>
    <col min="10830" max="10830" width="0" style="5" hidden="1" customWidth="1"/>
    <col min="10831" max="10831" width="68.28515625" style="5" customWidth="1"/>
    <col min="10832" max="10834" width="16.28515625" style="5" customWidth="1"/>
    <col min="10835" max="10835" width="42.7109375" style="5" customWidth="1"/>
    <col min="10836" max="11085" width="11.28515625" style="5"/>
    <col min="11086" max="11086" width="0" style="5" hidden="1" customWidth="1"/>
    <col min="11087" max="11087" width="68.28515625" style="5" customWidth="1"/>
    <col min="11088" max="11090" width="16.28515625" style="5" customWidth="1"/>
    <col min="11091" max="11091" width="42.7109375" style="5" customWidth="1"/>
    <col min="11092" max="11341" width="11.28515625" style="5"/>
    <col min="11342" max="11342" width="0" style="5" hidden="1" customWidth="1"/>
    <col min="11343" max="11343" width="68.28515625" style="5" customWidth="1"/>
    <col min="11344" max="11346" width="16.28515625" style="5" customWidth="1"/>
    <col min="11347" max="11347" width="42.7109375" style="5" customWidth="1"/>
    <col min="11348" max="11597" width="11.28515625" style="5"/>
    <col min="11598" max="11598" width="0" style="5" hidden="1" customWidth="1"/>
    <col min="11599" max="11599" width="68.28515625" style="5" customWidth="1"/>
    <col min="11600" max="11602" width="16.28515625" style="5" customWidth="1"/>
    <col min="11603" max="11603" width="42.7109375" style="5" customWidth="1"/>
    <col min="11604" max="11853" width="11.28515625" style="5"/>
    <col min="11854" max="11854" width="0" style="5" hidden="1" customWidth="1"/>
    <col min="11855" max="11855" width="68.28515625" style="5" customWidth="1"/>
    <col min="11856" max="11858" width="16.28515625" style="5" customWidth="1"/>
    <col min="11859" max="11859" width="42.7109375" style="5" customWidth="1"/>
    <col min="11860" max="12109" width="11.28515625" style="5"/>
    <col min="12110" max="12110" width="0" style="5" hidden="1" customWidth="1"/>
    <col min="12111" max="12111" width="68.28515625" style="5" customWidth="1"/>
    <col min="12112" max="12114" width="16.28515625" style="5" customWidth="1"/>
    <col min="12115" max="12115" width="42.7109375" style="5" customWidth="1"/>
    <col min="12116" max="12365" width="11.28515625" style="5"/>
    <col min="12366" max="12366" width="0" style="5" hidden="1" customWidth="1"/>
    <col min="12367" max="12367" width="68.28515625" style="5" customWidth="1"/>
    <col min="12368" max="12370" width="16.28515625" style="5" customWidth="1"/>
    <col min="12371" max="12371" width="42.7109375" style="5" customWidth="1"/>
    <col min="12372" max="12621" width="11.28515625" style="5"/>
    <col min="12622" max="12622" width="0" style="5" hidden="1" customWidth="1"/>
    <col min="12623" max="12623" width="68.28515625" style="5" customWidth="1"/>
    <col min="12624" max="12626" width="16.28515625" style="5" customWidth="1"/>
    <col min="12627" max="12627" width="42.7109375" style="5" customWidth="1"/>
    <col min="12628" max="12877" width="11.28515625" style="5"/>
    <col min="12878" max="12878" width="0" style="5" hidden="1" customWidth="1"/>
    <col min="12879" max="12879" width="68.28515625" style="5" customWidth="1"/>
    <col min="12880" max="12882" width="16.28515625" style="5" customWidth="1"/>
    <col min="12883" max="12883" width="42.7109375" style="5" customWidth="1"/>
    <col min="12884" max="13133" width="11.28515625" style="5"/>
    <col min="13134" max="13134" width="0" style="5" hidden="1" customWidth="1"/>
    <col min="13135" max="13135" width="68.28515625" style="5" customWidth="1"/>
    <col min="13136" max="13138" width="16.28515625" style="5" customWidth="1"/>
    <col min="13139" max="13139" width="42.7109375" style="5" customWidth="1"/>
    <col min="13140" max="13389" width="11.28515625" style="5"/>
    <col min="13390" max="13390" width="0" style="5" hidden="1" customWidth="1"/>
    <col min="13391" max="13391" width="68.28515625" style="5" customWidth="1"/>
    <col min="13392" max="13394" width="16.28515625" style="5" customWidth="1"/>
    <col min="13395" max="13395" width="42.7109375" style="5" customWidth="1"/>
    <col min="13396" max="13645" width="11.28515625" style="5"/>
    <col min="13646" max="13646" width="0" style="5" hidden="1" customWidth="1"/>
    <col min="13647" max="13647" width="68.28515625" style="5" customWidth="1"/>
    <col min="13648" max="13650" width="16.28515625" style="5" customWidth="1"/>
    <col min="13651" max="13651" width="42.7109375" style="5" customWidth="1"/>
    <col min="13652" max="13901" width="11.28515625" style="5"/>
    <col min="13902" max="13902" width="0" style="5" hidden="1" customWidth="1"/>
    <col min="13903" max="13903" width="68.28515625" style="5" customWidth="1"/>
    <col min="13904" max="13906" width="16.28515625" style="5" customWidth="1"/>
    <col min="13907" max="13907" width="42.7109375" style="5" customWidth="1"/>
    <col min="13908" max="14157" width="11.28515625" style="5"/>
    <col min="14158" max="14158" width="0" style="5" hidden="1" customWidth="1"/>
    <col min="14159" max="14159" width="68.28515625" style="5" customWidth="1"/>
    <col min="14160" max="14162" width="16.28515625" style="5" customWidth="1"/>
    <col min="14163" max="14163" width="42.7109375" style="5" customWidth="1"/>
    <col min="14164" max="14413" width="11.28515625" style="5"/>
    <col min="14414" max="14414" width="0" style="5" hidden="1" customWidth="1"/>
    <col min="14415" max="14415" width="68.28515625" style="5" customWidth="1"/>
    <col min="14416" max="14418" width="16.28515625" style="5" customWidth="1"/>
    <col min="14419" max="14419" width="42.7109375" style="5" customWidth="1"/>
    <col min="14420" max="14669" width="11.28515625" style="5"/>
    <col min="14670" max="14670" width="0" style="5" hidden="1" customWidth="1"/>
    <col min="14671" max="14671" width="68.28515625" style="5" customWidth="1"/>
    <col min="14672" max="14674" width="16.28515625" style="5" customWidth="1"/>
    <col min="14675" max="14675" width="42.7109375" style="5" customWidth="1"/>
    <col min="14676" max="14925" width="11.28515625" style="5"/>
    <col min="14926" max="14926" width="0" style="5" hidden="1" customWidth="1"/>
    <col min="14927" max="14927" width="68.28515625" style="5" customWidth="1"/>
    <col min="14928" max="14930" width="16.28515625" style="5" customWidth="1"/>
    <col min="14931" max="14931" width="42.7109375" style="5" customWidth="1"/>
    <col min="14932" max="15181" width="11.28515625" style="5"/>
    <col min="15182" max="15182" width="0" style="5" hidden="1" customWidth="1"/>
    <col min="15183" max="15183" width="68.28515625" style="5" customWidth="1"/>
    <col min="15184" max="15186" width="16.28515625" style="5" customWidth="1"/>
    <col min="15187" max="15187" width="42.7109375" style="5" customWidth="1"/>
    <col min="15188" max="15437" width="11.28515625" style="5"/>
    <col min="15438" max="15438" width="0" style="5" hidden="1" customWidth="1"/>
    <col min="15439" max="15439" width="68.28515625" style="5" customWidth="1"/>
    <col min="15440" max="15442" width="16.28515625" style="5" customWidth="1"/>
    <col min="15443" max="15443" width="42.7109375" style="5" customWidth="1"/>
    <col min="15444" max="15693" width="11.28515625" style="5"/>
    <col min="15694" max="15694" width="0" style="5" hidden="1" customWidth="1"/>
    <col min="15695" max="15695" width="68.28515625" style="5" customWidth="1"/>
    <col min="15696" max="15698" width="16.28515625" style="5" customWidth="1"/>
    <col min="15699" max="15699" width="42.7109375" style="5" customWidth="1"/>
    <col min="15700" max="15949" width="11.28515625" style="5"/>
    <col min="15950" max="15950" width="0" style="5" hidden="1" customWidth="1"/>
    <col min="15951" max="15951" width="68.28515625" style="5" customWidth="1"/>
    <col min="15952" max="15954" width="16.28515625" style="5" customWidth="1"/>
    <col min="15955" max="15955" width="42.7109375" style="5" customWidth="1"/>
    <col min="15956" max="16384" width="11.28515625" style="5"/>
  </cols>
  <sheetData>
    <row r="1" spans="1:22" customFormat="1" ht="15">
      <c r="A1" s="25"/>
      <c r="B1" s="24"/>
      <c r="C1" s="24"/>
      <c r="D1" s="24"/>
      <c r="E1" s="24"/>
      <c r="F1" s="24"/>
      <c r="G1" s="24"/>
      <c r="H1" s="25"/>
      <c r="L1" s="215"/>
      <c r="U1" s="171"/>
    </row>
    <row r="2" spans="1:22" customFormat="1" ht="15">
      <c r="A2" s="25"/>
      <c r="B2" s="24"/>
      <c r="C2" s="24"/>
      <c r="D2" s="24"/>
      <c r="E2" s="24"/>
      <c r="F2" s="24"/>
      <c r="G2" s="24"/>
      <c r="H2" s="25"/>
      <c r="L2" s="215"/>
      <c r="U2" s="171"/>
    </row>
    <row r="3" spans="1:22" customFormat="1" ht="30">
      <c r="A3" s="25"/>
      <c r="B3" s="26"/>
      <c r="C3" s="24"/>
      <c r="D3" s="148" t="s">
        <v>93</v>
      </c>
      <c r="E3" s="428" t="s">
        <v>249</v>
      </c>
      <c r="F3" s="428"/>
      <c r="G3" s="28"/>
      <c r="H3" s="25"/>
      <c r="L3" s="215"/>
      <c r="U3" s="171"/>
    </row>
    <row r="4" spans="1:22" customFormat="1" ht="14.65" customHeight="1">
      <c r="A4" s="25"/>
      <c r="B4" s="24"/>
      <c r="C4" s="30"/>
      <c r="D4" s="149" t="s">
        <v>95</v>
      </c>
      <c r="E4" s="428" t="s">
        <v>250</v>
      </c>
      <c r="F4" s="428"/>
      <c r="G4" s="28"/>
      <c r="H4" s="25"/>
      <c r="L4" s="215"/>
      <c r="U4" s="171"/>
    </row>
    <row r="5" spans="1:22" customFormat="1" ht="15">
      <c r="A5" s="25"/>
      <c r="B5" s="24"/>
      <c r="C5" s="24"/>
      <c r="D5" s="32"/>
      <c r="E5" s="25"/>
      <c r="F5" s="25"/>
      <c r="G5" s="24"/>
      <c r="H5" s="24"/>
      <c r="L5" s="215"/>
      <c r="U5" s="171"/>
    </row>
    <row r="6" spans="1:22" s="2" customFormat="1" ht="14.65" customHeight="1">
      <c r="A6" s="36"/>
      <c r="B6" s="429" t="s">
        <v>153</v>
      </c>
      <c r="C6" s="429"/>
      <c r="D6" s="429"/>
      <c r="E6" s="429"/>
      <c r="F6" s="429"/>
      <c r="G6" s="429"/>
      <c r="H6" s="429"/>
      <c r="I6" s="429"/>
      <c r="J6" s="429"/>
      <c r="K6" s="429"/>
      <c r="L6" s="429"/>
      <c r="M6" s="429"/>
      <c r="N6" s="429"/>
      <c r="O6" s="429"/>
      <c r="P6" s="429"/>
      <c r="Q6" s="429"/>
      <c r="R6" s="429"/>
      <c r="S6" s="429"/>
      <c r="T6" s="429"/>
      <c r="U6" s="429"/>
      <c r="V6" s="1"/>
    </row>
    <row r="7" spans="1:22" s="2" customFormat="1" ht="14.65" customHeight="1">
      <c r="A7" s="36"/>
      <c r="B7" s="416"/>
      <c r="C7" s="416"/>
      <c r="D7" s="416"/>
      <c r="E7" s="416"/>
      <c r="F7" s="416"/>
      <c r="G7" s="416"/>
      <c r="H7" s="416"/>
      <c r="I7" s="416"/>
      <c r="J7" s="416"/>
      <c r="K7" s="416"/>
      <c r="L7" s="416"/>
      <c r="M7" s="416"/>
      <c r="N7" s="416"/>
      <c r="O7" s="416"/>
      <c r="P7" s="416"/>
      <c r="Q7" s="416"/>
      <c r="R7" s="416"/>
      <c r="S7" s="416"/>
      <c r="T7" s="416"/>
      <c r="U7" s="416"/>
      <c r="V7" s="1"/>
    </row>
    <row r="8" spans="1:22" s="2" customFormat="1" ht="14.65" customHeight="1">
      <c r="A8" s="36"/>
      <c r="B8" s="416"/>
      <c r="C8" s="416"/>
      <c r="D8" s="416"/>
      <c r="E8" s="416"/>
      <c r="F8" s="416"/>
      <c r="G8" s="416"/>
      <c r="H8" s="416"/>
      <c r="I8" s="416"/>
      <c r="J8" s="416"/>
      <c r="K8" s="416"/>
      <c r="L8" s="416"/>
      <c r="M8" s="416"/>
      <c r="N8" s="416"/>
      <c r="O8" s="416"/>
      <c r="P8" s="416"/>
      <c r="Q8" s="416"/>
      <c r="R8" s="416"/>
      <c r="S8" s="416"/>
      <c r="T8" s="416"/>
      <c r="U8" s="416"/>
      <c r="V8" s="1"/>
    </row>
    <row r="9" spans="1:22" s="1" customFormat="1" ht="20.25">
      <c r="A9" s="36"/>
      <c r="B9" s="216" t="s">
        <v>154</v>
      </c>
      <c r="C9" s="45"/>
      <c r="D9" s="153"/>
      <c r="E9" s="153"/>
      <c r="F9" s="153"/>
      <c r="G9" s="153"/>
      <c r="H9" s="36"/>
      <c r="I9" s="36"/>
      <c r="J9" s="36"/>
      <c r="K9" s="38"/>
      <c r="L9" s="217"/>
      <c r="M9" s="36"/>
      <c r="N9" s="36"/>
      <c r="O9" s="36"/>
      <c r="P9" s="36"/>
      <c r="Q9" s="36"/>
      <c r="R9" s="36"/>
      <c r="S9" s="36"/>
      <c r="T9" s="36"/>
      <c r="U9" s="218"/>
    </row>
    <row r="10" spans="1:22" ht="24" customHeight="1">
      <c r="A10" s="3"/>
      <c r="B10" s="430" t="s">
        <v>98</v>
      </c>
      <c r="C10" s="430"/>
      <c r="D10" s="154"/>
      <c r="E10" s="4"/>
      <c r="F10" s="4"/>
      <c r="G10" s="155"/>
      <c r="H10" s="156"/>
      <c r="I10" s="163"/>
      <c r="M10" s="3"/>
      <c r="N10" s="3"/>
      <c r="O10" s="3"/>
      <c r="P10" s="3"/>
      <c r="Q10" s="3"/>
      <c r="R10" s="3"/>
      <c r="S10" s="3"/>
      <c r="V10" s="3"/>
    </row>
    <row r="11" spans="1:22" s="2" customFormat="1" ht="31.9" customHeight="1">
      <c r="A11" s="3"/>
      <c r="B11" s="432" t="s">
        <v>155</v>
      </c>
      <c r="C11" s="437" t="s">
        <v>156</v>
      </c>
      <c r="D11" s="431"/>
      <c r="E11" s="431"/>
      <c r="F11" s="431"/>
      <c r="G11" s="431"/>
      <c r="H11" s="431"/>
      <c r="I11" s="431"/>
      <c r="J11" s="438"/>
      <c r="K11" s="206"/>
      <c r="L11" s="220"/>
      <c r="M11" s="437" t="s">
        <v>157</v>
      </c>
      <c r="N11" s="431"/>
      <c r="O11" s="431"/>
      <c r="P11" s="431"/>
      <c r="Q11" s="431"/>
      <c r="R11" s="431"/>
      <c r="S11" s="431"/>
      <c r="T11" s="206"/>
      <c r="U11" s="209" t="s">
        <v>158</v>
      </c>
      <c r="V11" s="1"/>
    </row>
    <row r="12" spans="1:22" s="7" customFormat="1" ht="51" customHeight="1">
      <c r="A12" s="3"/>
      <c r="B12" s="434"/>
      <c r="C12" s="206" t="s">
        <v>159</v>
      </c>
      <c r="D12" s="206" t="s">
        <v>160</v>
      </c>
      <c r="E12" s="206" t="s">
        <v>161</v>
      </c>
      <c r="F12" s="206" t="s">
        <v>162</v>
      </c>
      <c r="G12" s="206" t="s">
        <v>163</v>
      </c>
      <c r="H12" s="206" t="s">
        <v>164</v>
      </c>
      <c r="I12" s="206" t="s">
        <v>165</v>
      </c>
      <c r="J12" s="206" t="s">
        <v>166</v>
      </c>
      <c r="K12" s="429" t="s">
        <v>167</v>
      </c>
      <c r="L12" s="440" t="s">
        <v>168</v>
      </c>
      <c r="M12" s="206" t="s">
        <v>169</v>
      </c>
      <c r="N12" s="206" t="s">
        <v>170</v>
      </c>
      <c r="O12" s="206" t="s">
        <v>171</v>
      </c>
      <c r="P12" s="206" t="s">
        <v>172</v>
      </c>
      <c r="Q12" s="206" t="s">
        <v>173</v>
      </c>
      <c r="R12" s="206" t="s">
        <v>165</v>
      </c>
      <c r="S12" s="206" t="s">
        <v>165</v>
      </c>
      <c r="T12" s="429" t="s">
        <v>174</v>
      </c>
      <c r="U12" s="432" t="s">
        <v>168</v>
      </c>
      <c r="V12" s="6"/>
    </row>
    <row r="13" spans="1:22" s="277" customFormat="1" ht="42" customHeight="1">
      <c r="A13" s="345"/>
      <c r="B13" s="346" t="s">
        <v>175</v>
      </c>
      <c r="C13" s="347">
        <v>1800</v>
      </c>
      <c r="D13" s="347">
        <v>1100</v>
      </c>
      <c r="E13" s="347">
        <v>850</v>
      </c>
      <c r="F13" s="347">
        <v>1500</v>
      </c>
      <c r="G13" s="347">
        <v>780</v>
      </c>
      <c r="H13" s="347">
        <v>1300</v>
      </c>
      <c r="I13" s="347">
        <v>520</v>
      </c>
      <c r="J13" s="347">
        <v>520</v>
      </c>
      <c r="K13" s="416"/>
      <c r="L13" s="441"/>
      <c r="M13" s="347"/>
      <c r="N13" s="347"/>
      <c r="O13" s="347"/>
      <c r="P13" s="347"/>
      <c r="Q13" s="347"/>
      <c r="R13" s="347"/>
      <c r="S13" s="347"/>
      <c r="T13" s="416"/>
      <c r="U13" s="433"/>
      <c r="V13" s="276"/>
    </row>
    <row r="14" spans="1:22" s="2" customFormat="1" ht="15">
      <c r="A14" s="42"/>
      <c r="B14" s="221"/>
      <c r="C14" s="435" t="s">
        <v>176</v>
      </c>
      <c r="D14" s="424"/>
      <c r="E14" s="424"/>
      <c r="F14" s="424"/>
      <c r="G14" s="424"/>
      <c r="H14" s="424"/>
      <c r="I14" s="424"/>
      <c r="J14" s="436"/>
      <c r="K14" s="439"/>
      <c r="L14" s="442"/>
      <c r="M14" s="435" t="s">
        <v>176</v>
      </c>
      <c r="N14" s="424"/>
      <c r="O14" s="424"/>
      <c r="P14" s="424"/>
      <c r="Q14" s="424"/>
      <c r="R14" s="424"/>
      <c r="S14" s="424"/>
      <c r="T14" s="439"/>
      <c r="U14" s="434"/>
      <c r="V14" s="1"/>
    </row>
    <row r="15" spans="1:22" ht="24" customHeight="1">
      <c r="A15" s="348"/>
      <c r="B15" s="330" t="s">
        <v>46</v>
      </c>
      <c r="C15" s="349">
        <f t="shared" ref="C15:J15" si="0">SUM(C16)</f>
        <v>9</v>
      </c>
      <c r="D15" s="349">
        <f t="shared" si="0"/>
        <v>63</v>
      </c>
      <c r="E15" s="349">
        <f t="shared" si="0"/>
        <v>72</v>
      </c>
      <c r="F15" s="349">
        <f t="shared" si="0"/>
        <v>0</v>
      </c>
      <c r="G15" s="349">
        <f t="shared" si="0"/>
        <v>0</v>
      </c>
      <c r="H15" s="349">
        <f t="shared" si="0"/>
        <v>0</v>
      </c>
      <c r="I15" s="349">
        <f t="shared" si="0"/>
        <v>0</v>
      </c>
      <c r="J15" s="349">
        <f t="shared" si="0"/>
        <v>0</v>
      </c>
      <c r="K15" s="349">
        <f t="shared" ref="K15:K25" si="1">SUM(C15:J15)</f>
        <v>144</v>
      </c>
      <c r="L15" s="350">
        <f t="shared" ref="L15:L53" si="2">SUMPRODUCT(C15:J15,$C$13:$J$13)</f>
        <v>146700</v>
      </c>
      <c r="M15" s="349">
        <f t="shared" ref="M15:S15" si="3">M16</f>
        <v>60</v>
      </c>
      <c r="N15" s="349">
        <f t="shared" si="3"/>
        <v>0</v>
      </c>
      <c r="O15" s="349">
        <f t="shared" si="3"/>
        <v>0</v>
      </c>
      <c r="P15" s="349">
        <f t="shared" si="3"/>
        <v>0</v>
      </c>
      <c r="Q15" s="349">
        <f t="shared" si="3"/>
        <v>0</v>
      </c>
      <c r="R15" s="349">
        <f t="shared" si="3"/>
        <v>0</v>
      </c>
      <c r="S15" s="349">
        <f t="shared" si="3"/>
        <v>0</v>
      </c>
      <c r="T15" s="349">
        <f t="shared" ref="T15:T53" si="4">SUM(M15:S15)</f>
        <v>60</v>
      </c>
      <c r="U15" s="212"/>
      <c r="V15" s="3"/>
    </row>
    <row r="16" spans="1:22" ht="24" customHeight="1">
      <c r="A16" s="348"/>
      <c r="B16" s="222" t="s">
        <v>177</v>
      </c>
      <c r="C16" s="212">
        <v>9</v>
      </c>
      <c r="D16" s="212">
        <v>63</v>
      </c>
      <c r="E16" s="212">
        <v>72</v>
      </c>
      <c r="F16" s="212"/>
      <c r="G16" s="212"/>
      <c r="H16" s="212"/>
      <c r="I16" s="212"/>
      <c r="J16" s="212"/>
      <c r="K16" s="351">
        <f t="shared" si="1"/>
        <v>144</v>
      </c>
      <c r="L16" s="352">
        <f t="shared" si="2"/>
        <v>146700</v>
      </c>
      <c r="M16" s="212">
        <v>60</v>
      </c>
      <c r="N16" s="212"/>
      <c r="O16" s="212"/>
      <c r="P16" s="212"/>
      <c r="Q16" s="212"/>
      <c r="R16" s="212"/>
      <c r="S16" s="212"/>
      <c r="T16" s="353">
        <f t="shared" si="4"/>
        <v>60</v>
      </c>
      <c r="U16" s="212"/>
      <c r="V16" s="3"/>
    </row>
    <row r="17" spans="1:22" ht="24" customHeight="1">
      <c r="A17" s="348"/>
      <c r="B17" s="330" t="s">
        <v>47</v>
      </c>
      <c r="C17" s="349">
        <f t="shared" ref="C17:J17" si="5">SUM(C18:C22)</f>
        <v>0</v>
      </c>
      <c r="D17" s="349">
        <f t="shared" si="5"/>
        <v>0</v>
      </c>
      <c r="E17" s="349">
        <f t="shared" si="5"/>
        <v>0</v>
      </c>
      <c r="F17" s="349">
        <f t="shared" si="5"/>
        <v>3</v>
      </c>
      <c r="G17" s="349">
        <f t="shared" si="5"/>
        <v>0</v>
      </c>
      <c r="H17" s="349">
        <f t="shared" si="5"/>
        <v>1</v>
      </c>
      <c r="I17" s="349">
        <f t="shared" si="5"/>
        <v>0</v>
      </c>
      <c r="J17" s="349">
        <f t="shared" si="5"/>
        <v>0</v>
      </c>
      <c r="K17" s="349">
        <f t="shared" si="1"/>
        <v>4</v>
      </c>
      <c r="L17" s="350">
        <f t="shared" si="2"/>
        <v>5800</v>
      </c>
      <c r="M17" s="349">
        <f t="shared" ref="M17:S17" si="6">SUM(M18:M22)</f>
        <v>0</v>
      </c>
      <c r="N17" s="349">
        <f t="shared" si="6"/>
        <v>0</v>
      </c>
      <c r="O17" s="349">
        <f t="shared" si="6"/>
        <v>0</v>
      </c>
      <c r="P17" s="349">
        <f t="shared" si="6"/>
        <v>0</v>
      </c>
      <c r="Q17" s="349">
        <f t="shared" si="6"/>
        <v>0</v>
      </c>
      <c r="R17" s="349">
        <f t="shared" si="6"/>
        <v>0</v>
      </c>
      <c r="S17" s="349">
        <f t="shared" si="6"/>
        <v>0</v>
      </c>
      <c r="T17" s="349">
        <f t="shared" si="4"/>
        <v>0</v>
      </c>
      <c r="U17" s="212"/>
      <c r="V17" s="3"/>
    </row>
    <row r="18" spans="1:22" ht="24" customHeight="1">
      <c r="A18" s="348"/>
      <c r="B18" s="222" t="s">
        <v>178</v>
      </c>
      <c r="C18" s="212"/>
      <c r="D18" s="212"/>
      <c r="E18" s="212"/>
      <c r="F18" s="212">
        <v>3</v>
      </c>
      <c r="G18" s="212"/>
      <c r="H18" s="212">
        <v>0.5</v>
      </c>
      <c r="I18" s="212"/>
      <c r="J18" s="212"/>
      <c r="K18" s="351">
        <f t="shared" si="1"/>
        <v>3.5</v>
      </c>
      <c r="L18" s="352">
        <f t="shared" si="2"/>
        <v>5150</v>
      </c>
      <c r="M18" s="212"/>
      <c r="N18" s="212"/>
      <c r="O18" s="212"/>
      <c r="P18" s="212"/>
      <c r="Q18" s="212"/>
      <c r="R18" s="212"/>
      <c r="S18" s="212"/>
      <c r="T18" s="353">
        <f t="shared" si="4"/>
        <v>0</v>
      </c>
      <c r="U18" s="212"/>
      <c r="V18" s="3"/>
    </row>
    <row r="19" spans="1:22" ht="24" customHeight="1">
      <c r="A19" s="348"/>
      <c r="B19" s="222" t="s">
        <v>179</v>
      </c>
      <c r="C19" s="212"/>
      <c r="D19" s="212"/>
      <c r="E19" s="212"/>
      <c r="F19" s="212"/>
      <c r="G19" s="212"/>
      <c r="H19" s="212"/>
      <c r="I19" s="212"/>
      <c r="J19" s="212"/>
      <c r="K19" s="351">
        <f t="shared" si="1"/>
        <v>0</v>
      </c>
      <c r="L19" s="352">
        <f t="shared" si="2"/>
        <v>0</v>
      </c>
      <c r="M19" s="212"/>
      <c r="N19" s="212"/>
      <c r="O19" s="212"/>
      <c r="P19" s="212"/>
      <c r="Q19" s="212"/>
      <c r="R19" s="212"/>
      <c r="S19" s="212"/>
      <c r="T19" s="353">
        <f t="shared" si="4"/>
        <v>0</v>
      </c>
      <c r="U19" s="212"/>
      <c r="V19" s="3"/>
    </row>
    <row r="20" spans="1:22" ht="24" customHeight="1">
      <c r="A20" s="348"/>
      <c r="B20" s="222" t="s">
        <v>180</v>
      </c>
      <c r="C20" s="212"/>
      <c r="D20" s="212"/>
      <c r="E20" s="212"/>
      <c r="F20" s="212"/>
      <c r="G20" s="212"/>
      <c r="H20" s="212"/>
      <c r="I20" s="212"/>
      <c r="J20" s="212"/>
      <c r="K20" s="351">
        <f t="shared" si="1"/>
        <v>0</v>
      </c>
      <c r="L20" s="352">
        <f t="shared" si="2"/>
        <v>0</v>
      </c>
      <c r="M20" s="212"/>
      <c r="N20" s="212"/>
      <c r="O20" s="212"/>
      <c r="P20" s="212"/>
      <c r="Q20" s="212"/>
      <c r="R20" s="212"/>
      <c r="S20" s="212"/>
      <c r="T20" s="353">
        <f t="shared" si="4"/>
        <v>0</v>
      </c>
      <c r="U20" s="212"/>
      <c r="V20" s="3"/>
    </row>
    <row r="21" spans="1:22" ht="24" customHeight="1">
      <c r="A21" s="348"/>
      <c r="B21" s="222" t="s">
        <v>181</v>
      </c>
      <c r="C21" s="212"/>
      <c r="D21" s="212"/>
      <c r="E21" s="212"/>
      <c r="F21" s="212"/>
      <c r="G21" s="212"/>
      <c r="H21" s="212"/>
      <c r="I21" s="212"/>
      <c r="J21" s="212"/>
      <c r="K21" s="351">
        <f t="shared" si="1"/>
        <v>0</v>
      </c>
      <c r="L21" s="352">
        <f t="shared" si="2"/>
        <v>0</v>
      </c>
      <c r="M21" s="212"/>
      <c r="N21" s="212"/>
      <c r="O21" s="212"/>
      <c r="P21" s="212"/>
      <c r="Q21" s="212"/>
      <c r="R21" s="212"/>
      <c r="S21" s="212"/>
      <c r="T21" s="353">
        <f t="shared" si="4"/>
        <v>0</v>
      </c>
      <c r="U21" s="212"/>
      <c r="V21" s="3"/>
    </row>
    <row r="22" spans="1:22" ht="24" customHeight="1">
      <c r="A22" s="348"/>
      <c r="B22" s="222" t="s">
        <v>182</v>
      </c>
      <c r="C22" s="212"/>
      <c r="D22" s="212"/>
      <c r="E22" s="212"/>
      <c r="F22" s="212"/>
      <c r="G22" s="212"/>
      <c r="H22" s="212">
        <v>0.5</v>
      </c>
      <c r="I22" s="212"/>
      <c r="J22" s="212"/>
      <c r="K22" s="351">
        <f t="shared" si="1"/>
        <v>0.5</v>
      </c>
      <c r="L22" s="352">
        <f t="shared" si="2"/>
        <v>650</v>
      </c>
      <c r="M22" s="212"/>
      <c r="N22" s="212"/>
      <c r="O22" s="212"/>
      <c r="P22" s="212"/>
      <c r="Q22" s="212"/>
      <c r="R22" s="212"/>
      <c r="S22" s="212"/>
      <c r="T22" s="353">
        <f t="shared" si="4"/>
        <v>0</v>
      </c>
      <c r="U22" s="212"/>
      <c r="V22" s="3"/>
    </row>
    <row r="23" spans="1:22" ht="24" customHeight="1">
      <c r="A23" s="348"/>
      <c r="B23" s="330" t="s">
        <v>48</v>
      </c>
      <c r="C23" s="349">
        <f t="shared" ref="C23:J23" si="7">SUM(C24:C25)</f>
        <v>0</v>
      </c>
      <c r="D23" s="349">
        <f t="shared" si="7"/>
        <v>0</v>
      </c>
      <c r="E23" s="349">
        <f t="shared" si="7"/>
        <v>0</v>
      </c>
      <c r="F23" s="349">
        <f t="shared" si="7"/>
        <v>34.5</v>
      </c>
      <c r="G23" s="349">
        <f t="shared" si="7"/>
        <v>59.5</v>
      </c>
      <c r="H23" s="349">
        <f t="shared" si="7"/>
        <v>10.5</v>
      </c>
      <c r="I23" s="349">
        <f t="shared" si="7"/>
        <v>5</v>
      </c>
      <c r="J23" s="349">
        <f t="shared" si="7"/>
        <v>0</v>
      </c>
      <c r="K23" s="349">
        <f t="shared" si="1"/>
        <v>109.5</v>
      </c>
      <c r="L23" s="350">
        <f t="shared" si="2"/>
        <v>114410</v>
      </c>
      <c r="M23" s="349">
        <f t="shared" ref="M23:S23" si="8">SUM(M24:M25)</f>
        <v>0</v>
      </c>
      <c r="N23" s="349">
        <f t="shared" si="8"/>
        <v>0</v>
      </c>
      <c r="O23" s="349">
        <f t="shared" si="8"/>
        <v>0</v>
      </c>
      <c r="P23" s="349">
        <f t="shared" si="8"/>
        <v>0</v>
      </c>
      <c r="Q23" s="349">
        <f t="shared" si="8"/>
        <v>0</v>
      </c>
      <c r="R23" s="349">
        <f t="shared" si="8"/>
        <v>0</v>
      </c>
      <c r="S23" s="349">
        <f t="shared" si="8"/>
        <v>0</v>
      </c>
      <c r="T23" s="349">
        <f t="shared" si="4"/>
        <v>0</v>
      </c>
      <c r="U23" s="212"/>
      <c r="V23" s="3"/>
    </row>
    <row r="24" spans="1:22" ht="27" customHeight="1">
      <c r="A24" s="348"/>
      <c r="B24" s="222" t="s">
        <v>183</v>
      </c>
      <c r="C24" s="212"/>
      <c r="D24" s="212"/>
      <c r="E24" s="212"/>
      <c r="F24" s="212">
        <v>34.5</v>
      </c>
      <c r="G24" s="212">
        <v>59.5</v>
      </c>
      <c r="H24" s="212">
        <v>10.5</v>
      </c>
      <c r="I24" s="212">
        <v>5</v>
      </c>
      <c r="J24" s="212"/>
      <c r="K24" s="351">
        <f t="shared" si="1"/>
        <v>109.5</v>
      </c>
      <c r="L24" s="352">
        <f t="shared" si="2"/>
        <v>114410</v>
      </c>
      <c r="M24" s="212"/>
      <c r="N24" s="212"/>
      <c r="O24" s="212"/>
      <c r="P24" s="212"/>
      <c r="Q24" s="212"/>
      <c r="R24" s="212"/>
      <c r="S24" s="212"/>
      <c r="T24" s="353">
        <f t="shared" si="4"/>
        <v>0</v>
      </c>
      <c r="U24" s="212"/>
      <c r="V24" s="3"/>
    </row>
    <row r="25" spans="1:22" ht="24" customHeight="1">
      <c r="A25" s="348"/>
      <c r="B25" s="222" t="s">
        <v>184</v>
      </c>
      <c r="C25" s="212"/>
      <c r="D25" s="212"/>
      <c r="E25" s="212"/>
      <c r="F25" s="212"/>
      <c r="G25" s="212"/>
      <c r="H25" s="212"/>
      <c r="I25" s="212"/>
      <c r="J25" s="212"/>
      <c r="K25" s="351">
        <f t="shared" si="1"/>
        <v>0</v>
      </c>
      <c r="L25" s="352">
        <f t="shared" si="2"/>
        <v>0</v>
      </c>
      <c r="M25" s="212"/>
      <c r="N25" s="212"/>
      <c r="O25" s="212"/>
      <c r="P25" s="212"/>
      <c r="Q25" s="212"/>
      <c r="R25" s="212"/>
      <c r="S25" s="212"/>
      <c r="T25" s="353">
        <f t="shared" si="4"/>
        <v>0</v>
      </c>
      <c r="U25" s="212"/>
      <c r="V25" s="3"/>
    </row>
    <row r="26" spans="1:22" ht="24" customHeight="1">
      <c r="A26" s="348"/>
      <c r="B26" s="206" t="s">
        <v>185</v>
      </c>
      <c r="C26" s="354">
        <f t="shared" ref="C26:K26" si="9">C23+C17</f>
        <v>0</v>
      </c>
      <c r="D26" s="354">
        <f t="shared" si="9"/>
        <v>0</v>
      </c>
      <c r="E26" s="354">
        <f t="shared" si="9"/>
        <v>0</v>
      </c>
      <c r="F26" s="354">
        <f t="shared" si="9"/>
        <v>37.5</v>
      </c>
      <c r="G26" s="354">
        <f t="shared" si="9"/>
        <v>59.5</v>
      </c>
      <c r="H26" s="354">
        <f t="shared" si="9"/>
        <v>11.5</v>
      </c>
      <c r="I26" s="354">
        <f t="shared" si="9"/>
        <v>5</v>
      </c>
      <c r="J26" s="354">
        <f t="shared" si="9"/>
        <v>0</v>
      </c>
      <c r="K26" s="354">
        <f t="shared" si="9"/>
        <v>113.5</v>
      </c>
      <c r="L26" s="355">
        <f t="shared" si="2"/>
        <v>120210</v>
      </c>
      <c r="M26" s="354">
        <f t="shared" ref="M26:S26" si="10">M23+M17</f>
        <v>0</v>
      </c>
      <c r="N26" s="354">
        <f t="shared" si="10"/>
        <v>0</v>
      </c>
      <c r="O26" s="354">
        <f t="shared" si="10"/>
        <v>0</v>
      </c>
      <c r="P26" s="354">
        <f t="shared" si="10"/>
        <v>0</v>
      </c>
      <c r="Q26" s="354">
        <f t="shared" si="10"/>
        <v>0</v>
      </c>
      <c r="R26" s="354">
        <f t="shared" si="10"/>
        <v>0</v>
      </c>
      <c r="S26" s="354">
        <f t="shared" si="10"/>
        <v>0</v>
      </c>
      <c r="T26" s="353">
        <f t="shared" si="4"/>
        <v>0</v>
      </c>
      <c r="U26" s="212"/>
      <c r="V26" s="3"/>
    </row>
    <row r="27" spans="1:22" ht="24" customHeight="1">
      <c r="A27" s="348"/>
      <c r="B27" s="330" t="s">
        <v>49</v>
      </c>
      <c r="C27" s="349">
        <f t="shared" ref="C27:J27" si="11">SUM(C28:C33)</f>
        <v>0</v>
      </c>
      <c r="D27" s="349">
        <f t="shared" si="11"/>
        <v>0</v>
      </c>
      <c r="E27" s="349">
        <f t="shared" si="11"/>
        <v>0</v>
      </c>
      <c r="F27" s="349">
        <f t="shared" si="11"/>
        <v>59.490566037735846</v>
      </c>
      <c r="G27" s="349">
        <f t="shared" si="11"/>
        <v>119.49056603773585</v>
      </c>
      <c r="H27" s="349">
        <f t="shared" si="11"/>
        <v>4</v>
      </c>
      <c r="I27" s="349">
        <f t="shared" si="11"/>
        <v>83.018867924528308</v>
      </c>
      <c r="J27" s="349">
        <f t="shared" si="11"/>
        <v>30</v>
      </c>
      <c r="K27" s="349">
        <f t="shared" ref="K27:K53" si="12">SUM(C27:J27)</f>
        <v>296</v>
      </c>
      <c r="L27" s="350">
        <f t="shared" si="2"/>
        <v>246408.30188679244</v>
      </c>
      <c r="M27" s="349">
        <f t="shared" ref="M27:S27" si="13">SUM(M28:M33)</f>
        <v>0</v>
      </c>
      <c r="N27" s="349">
        <f t="shared" si="13"/>
        <v>0</v>
      </c>
      <c r="O27" s="349">
        <f t="shared" si="13"/>
        <v>0</v>
      </c>
      <c r="P27" s="349">
        <f t="shared" si="13"/>
        <v>0</v>
      </c>
      <c r="Q27" s="349">
        <f t="shared" si="13"/>
        <v>0</v>
      </c>
      <c r="R27" s="349">
        <f t="shared" si="13"/>
        <v>0</v>
      </c>
      <c r="S27" s="349">
        <f t="shared" si="13"/>
        <v>0</v>
      </c>
      <c r="T27" s="349">
        <f t="shared" si="4"/>
        <v>0</v>
      </c>
      <c r="U27" s="212"/>
      <c r="V27" s="3"/>
    </row>
    <row r="28" spans="1:22" ht="36.6" customHeight="1">
      <c r="A28" s="348"/>
      <c r="B28" s="222" t="s">
        <v>186</v>
      </c>
      <c r="C28" s="212"/>
      <c r="D28" s="212"/>
      <c r="E28" s="212"/>
      <c r="F28" s="212">
        <v>35</v>
      </c>
      <c r="G28" s="212">
        <v>95</v>
      </c>
      <c r="H28" s="212">
        <v>4</v>
      </c>
      <c r="I28" s="212">
        <v>14</v>
      </c>
      <c r="J28" s="212">
        <v>30</v>
      </c>
      <c r="K28" s="351">
        <f t="shared" si="12"/>
        <v>178</v>
      </c>
      <c r="L28" s="352">
        <f t="shared" si="2"/>
        <v>154680</v>
      </c>
      <c r="M28" s="212"/>
      <c r="N28" s="212"/>
      <c r="O28" s="212"/>
      <c r="P28" s="212"/>
      <c r="Q28" s="212"/>
      <c r="R28" s="212"/>
      <c r="S28" s="212"/>
      <c r="T28" s="353">
        <f t="shared" si="4"/>
        <v>0</v>
      </c>
      <c r="U28" s="212"/>
      <c r="V28" s="3"/>
    </row>
    <row r="29" spans="1:22" ht="24" customHeight="1">
      <c r="A29" s="348"/>
      <c r="B29" s="222" t="s">
        <v>187</v>
      </c>
      <c r="C29" s="212"/>
      <c r="D29" s="212"/>
      <c r="E29" s="212"/>
      <c r="F29" s="304">
        <f>11+'SAP Interface details'!I15</f>
        <v>24.490566037735849</v>
      </c>
      <c r="G29" s="304">
        <f>11+'SAP Interface details'!J15</f>
        <v>24.490566037735849</v>
      </c>
      <c r="H29" s="212"/>
      <c r="I29" s="304">
        <f>31+'SAP Interface details'!K15</f>
        <v>69.018867924528308</v>
      </c>
      <c r="J29" s="212"/>
      <c r="K29" s="351">
        <f t="shared" si="12"/>
        <v>118</v>
      </c>
      <c r="L29" s="352">
        <f t="shared" si="2"/>
        <v>91728.301886792455</v>
      </c>
      <c r="M29" s="212"/>
      <c r="N29" s="212"/>
      <c r="O29" s="212"/>
      <c r="P29" s="212"/>
      <c r="Q29" s="212"/>
      <c r="R29" s="212"/>
      <c r="S29" s="212"/>
      <c r="T29" s="353">
        <f t="shared" si="4"/>
        <v>0</v>
      </c>
      <c r="U29" s="212"/>
      <c r="V29" s="3"/>
    </row>
    <row r="30" spans="1:22" ht="24" customHeight="1">
      <c r="A30" s="348"/>
      <c r="B30" s="222" t="s">
        <v>188</v>
      </c>
      <c r="C30" s="212"/>
      <c r="D30" s="212"/>
      <c r="E30" s="212"/>
      <c r="F30" s="212"/>
      <c r="G30" s="212"/>
      <c r="H30" s="212"/>
      <c r="I30" s="212"/>
      <c r="J30" s="212"/>
      <c r="K30" s="351">
        <f t="shared" si="12"/>
        <v>0</v>
      </c>
      <c r="L30" s="352">
        <f t="shared" si="2"/>
        <v>0</v>
      </c>
      <c r="M30" s="212"/>
      <c r="N30" s="212"/>
      <c r="O30" s="212"/>
      <c r="P30" s="212"/>
      <c r="Q30" s="212"/>
      <c r="R30" s="212"/>
      <c r="S30" s="212"/>
      <c r="T30" s="353">
        <f t="shared" si="4"/>
        <v>0</v>
      </c>
      <c r="U30" s="212"/>
      <c r="V30" s="3"/>
    </row>
    <row r="31" spans="1:22" ht="24" customHeight="1">
      <c r="A31" s="348"/>
      <c r="B31" s="222" t="s">
        <v>189</v>
      </c>
      <c r="C31" s="212"/>
      <c r="D31" s="212"/>
      <c r="E31" s="212"/>
      <c r="F31" s="212"/>
      <c r="G31" s="212"/>
      <c r="H31" s="212"/>
      <c r="I31" s="212"/>
      <c r="J31" s="212"/>
      <c r="K31" s="351">
        <f t="shared" si="12"/>
        <v>0</v>
      </c>
      <c r="L31" s="352">
        <f t="shared" si="2"/>
        <v>0</v>
      </c>
      <c r="M31" s="212"/>
      <c r="N31" s="212"/>
      <c r="O31" s="212"/>
      <c r="P31" s="212"/>
      <c r="Q31" s="212"/>
      <c r="R31" s="212"/>
      <c r="S31" s="212"/>
      <c r="T31" s="353">
        <f t="shared" si="4"/>
        <v>0</v>
      </c>
      <c r="U31" s="212"/>
      <c r="V31" s="3"/>
    </row>
    <row r="32" spans="1:22" ht="24" customHeight="1">
      <c r="A32" s="348"/>
      <c r="B32" s="222" t="s">
        <v>190</v>
      </c>
      <c r="C32" s="212"/>
      <c r="D32" s="212"/>
      <c r="E32" s="212"/>
      <c r="F32" s="212"/>
      <c r="G32" s="212"/>
      <c r="H32" s="212"/>
      <c r="I32" s="212"/>
      <c r="J32" s="212"/>
      <c r="K32" s="351">
        <f t="shared" si="12"/>
        <v>0</v>
      </c>
      <c r="L32" s="352">
        <f t="shared" si="2"/>
        <v>0</v>
      </c>
      <c r="M32" s="212"/>
      <c r="N32" s="212"/>
      <c r="O32" s="212"/>
      <c r="P32" s="212"/>
      <c r="Q32" s="212"/>
      <c r="R32" s="212"/>
      <c r="S32" s="212"/>
      <c r="T32" s="353">
        <f t="shared" si="4"/>
        <v>0</v>
      </c>
      <c r="U32" s="212"/>
      <c r="V32" s="3"/>
    </row>
    <row r="33" spans="1:22" ht="28.9" customHeight="1">
      <c r="A33" s="348"/>
      <c r="B33" s="222" t="s">
        <v>191</v>
      </c>
      <c r="C33" s="212"/>
      <c r="D33" s="212"/>
      <c r="E33" s="212"/>
      <c r="F33" s="212"/>
      <c r="G33" s="212"/>
      <c r="H33" s="212"/>
      <c r="I33" s="212"/>
      <c r="J33" s="212"/>
      <c r="K33" s="351">
        <f t="shared" si="12"/>
        <v>0</v>
      </c>
      <c r="L33" s="352">
        <f t="shared" si="2"/>
        <v>0</v>
      </c>
      <c r="M33" s="212"/>
      <c r="N33" s="212"/>
      <c r="O33" s="212"/>
      <c r="P33" s="212"/>
      <c r="Q33" s="212"/>
      <c r="R33" s="212"/>
      <c r="S33" s="212"/>
      <c r="T33" s="353">
        <f t="shared" si="4"/>
        <v>0</v>
      </c>
      <c r="U33" s="212"/>
      <c r="V33" s="3"/>
    </row>
    <row r="34" spans="1:22" ht="24" customHeight="1">
      <c r="A34" s="348"/>
      <c r="B34" s="330" t="s">
        <v>192</v>
      </c>
      <c r="C34" s="349">
        <f t="shared" ref="C34:J34" si="14">SUM(C35:C37)</f>
        <v>0</v>
      </c>
      <c r="D34" s="349">
        <f t="shared" si="14"/>
        <v>0</v>
      </c>
      <c r="E34" s="349">
        <f t="shared" si="14"/>
        <v>0</v>
      </c>
      <c r="F34" s="349">
        <f t="shared" si="14"/>
        <v>0</v>
      </c>
      <c r="G34" s="349">
        <f t="shared" si="14"/>
        <v>0</v>
      </c>
      <c r="H34" s="349">
        <f t="shared" si="14"/>
        <v>0</v>
      </c>
      <c r="I34" s="349">
        <f t="shared" si="14"/>
        <v>0</v>
      </c>
      <c r="J34" s="349">
        <f t="shared" si="14"/>
        <v>0</v>
      </c>
      <c r="K34" s="349">
        <f t="shared" si="12"/>
        <v>0</v>
      </c>
      <c r="L34" s="350">
        <f t="shared" si="2"/>
        <v>0</v>
      </c>
      <c r="M34" s="349">
        <f t="shared" ref="M34:S34" si="15">SUM(M35:M37)</f>
        <v>0</v>
      </c>
      <c r="N34" s="349">
        <f t="shared" si="15"/>
        <v>0</v>
      </c>
      <c r="O34" s="349">
        <f t="shared" si="15"/>
        <v>0</v>
      </c>
      <c r="P34" s="349">
        <f t="shared" si="15"/>
        <v>0</v>
      </c>
      <c r="Q34" s="349">
        <f t="shared" si="15"/>
        <v>0</v>
      </c>
      <c r="R34" s="349">
        <f t="shared" si="15"/>
        <v>0</v>
      </c>
      <c r="S34" s="349">
        <f t="shared" si="15"/>
        <v>0</v>
      </c>
      <c r="T34" s="349">
        <f t="shared" si="4"/>
        <v>0</v>
      </c>
      <c r="U34" s="212"/>
      <c r="V34" s="3"/>
    </row>
    <row r="35" spans="1:22" ht="24" customHeight="1">
      <c r="A35" s="348"/>
      <c r="B35" s="222" t="s">
        <v>193</v>
      </c>
      <c r="C35" s="212"/>
      <c r="D35" s="212"/>
      <c r="E35" s="212"/>
      <c r="F35" s="212"/>
      <c r="G35" s="212"/>
      <c r="H35" s="212"/>
      <c r="I35" s="212"/>
      <c r="J35" s="212"/>
      <c r="K35" s="351">
        <f t="shared" si="12"/>
        <v>0</v>
      </c>
      <c r="L35" s="352">
        <f t="shared" si="2"/>
        <v>0</v>
      </c>
      <c r="M35" s="212"/>
      <c r="N35" s="212"/>
      <c r="O35" s="212"/>
      <c r="P35" s="212"/>
      <c r="Q35" s="212"/>
      <c r="R35" s="212"/>
      <c r="S35" s="212"/>
      <c r="T35" s="353">
        <f t="shared" si="4"/>
        <v>0</v>
      </c>
      <c r="U35" s="212"/>
      <c r="V35" s="3"/>
    </row>
    <row r="36" spans="1:22" ht="24" customHeight="1">
      <c r="A36" s="348"/>
      <c r="B36" s="222" t="s">
        <v>194</v>
      </c>
      <c r="C36" s="212"/>
      <c r="D36" s="212"/>
      <c r="E36" s="212"/>
      <c r="F36" s="212"/>
      <c r="G36" s="212"/>
      <c r="H36" s="212"/>
      <c r="I36" s="212"/>
      <c r="J36" s="212"/>
      <c r="K36" s="351">
        <f t="shared" si="12"/>
        <v>0</v>
      </c>
      <c r="L36" s="352">
        <f t="shared" si="2"/>
        <v>0</v>
      </c>
      <c r="M36" s="212"/>
      <c r="N36" s="212"/>
      <c r="O36" s="212"/>
      <c r="P36" s="212"/>
      <c r="Q36" s="212"/>
      <c r="R36" s="212"/>
      <c r="S36" s="212"/>
      <c r="T36" s="353">
        <f t="shared" si="4"/>
        <v>0</v>
      </c>
      <c r="U36" s="212"/>
      <c r="V36" s="3"/>
    </row>
    <row r="37" spans="1:22" ht="24" customHeight="1">
      <c r="A37" s="348"/>
      <c r="B37" s="222" t="s">
        <v>192</v>
      </c>
      <c r="C37" s="212"/>
      <c r="D37" s="212"/>
      <c r="E37" s="212"/>
      <c r="F37" s="212"/>
      <c r="G37" s="212"/>
      <c r="H37" s="212"/>
      <c r="I37" s="212"/>
      <c r="J37" s="212"/>
      <c r="K37" s="351">
        <f t="shared" si="12"/>
        <v>0</v>
      </c>
      <c r="L37" s="352">
        <f t="shared" si="2"/>
        <v>0</v>
      </c>
      <c r="M37" s="212"/>
      <c r="N37" s="212"/>
      <c r="O37" s="212"/>
      <c r="P37" s="212"/>
      <c r="Q37" s="212"/>
      <c r="R37" s="212"/>
      <c r="S37" s="212"/>
      <c r="T37" s="353">
        <f t="shared" si="4"/>
        <v>0</v>
      </c>
      <c r="U37" s="212"/>
      <c r="V37" s="3"/>
    </row>
    <row r="38" spans="1:22" ht="24" customHeight="1">
      <c r="A38" s="348"/>
      <c r="B38" s="330" t="s">
        <v>51</v>
      </c>
      <c r="C38" s="349">
        <f t="shared" ref="C38:J38" si="16">C39</f>
        <v>0</v>
      </c>
      <c r="D38" s="349">
        <f t="shared" si="16"/>
        <v>0</v>
      </c>
      <c r="E38" s="349">
        <f t="shared" si="16"/>
        <v>0</v>
      </c>
      <c r="F38" s="349">
        <f t="shared" si="16"/>
        <v>24</v>
      </c>
      <c r="G38" s="349">
        <f t="shared" si="16"/>
        <v>45</v>
      </c>
      <c r="H38" s="349">
        <f t="shared" si="16"/>
        <v>0</v>
      </c>
      <c r="I38" s="349">
        <f t="shared" si="16"/>
        <v>5</v>
      </c>
      <c r="J38" s="349">
        <f t="shared" si="16"/>
        <v>20</v>
      </c>
      <c r="K38" s="349">
        <f t="shared" si="12"/>
        <v>94</v>
      </c>
      <c r="L38" s="350">
        <f t="shared" si="2"/>
        <v>84100</v>
      </c>
      <c r="M38" s="349">
        <f t="shared" ref="M38:S38" si="17">M39</f>
        <v>0</v>
      </c>
      <c r="N38" s="349">
        <f t="shared" si="17"/>
        <v>0</v>
      </c>
      <c r="O38" s="349">
        <f t="shared" si="17"/>
        <v>0</v>
      </c>
      <c r="P38" s="349">
        <f t="shared" si="17"/>
        <v>0</v>
      </c>
      <c r="Q38" s="349">
        <f t="shared" si="17"/>
        <v>0</v>
      </c>
      <c r="R38" s="349">
        <f t="shared" si="17"/>
        <v>0</v>
      </c>
      <c r="S38" s="349">
        <f t="shared" si="17"/>
        <v>0</v>
      </c>
      <c r="T38" s="349">
        <f t="shared" si="4"/>
        <v>0</v>
      </c>
      <c r="U38" s="212"/>
      <c r="V38" s="3"/>
    </row>
    <row r="39" spans="1:22" ht="24" customHeight="1">
      <c r="A39" s="348"/>
      <c r="B39" s="222" t="s">
        <v>195</v>
      </c>
      <c r="C39" s="212"/>
      <c r="D39" s="212"/>
      <c r="E39" s="212"/>
      <c r="F39" s="212">
        <v>24</v>
      </c>
      <c r="G39" s="212">
        <v>45</v>
      </c>
      <c r="H39" s="212"/>
      <c r="I39" s="212">
        <v>5</v>
      </c>
      <c r="J39" s="212">
        <v>20</v>
      </c>
      <c r="K39" s="351">
        <f t="shared" si="12"/>
        <v>94</v>
      </c>
      <c r="L39" s="352">
        <f t="shared" si="2"/>
        <v>84100</v>
      </c>
      <c r="M39" s="212"/>
      <c r="N39" s="212"/>
      <c r="O39" s="212"/>
      <c r="P39" s="212"/>
      <c r="Q39" s="212"/>
      <c r="R39" s="212"/>
      <c r="S39" s="212"/>
      <c r="T39" s="353">
        <f t="shared" si="4"/>
        <v>0</v>
      </c>
      <c r="U39" s="212"/>
      <c r="V39" s="3"/>
    </row>
    <row r="40" spans="1:22" ht="24" customHeight="1">
      <c r="A40" s="348"/>
      <c r="B40" s="330" t="s">
        <v>52</v>
      </c>
      <c r="C40" s="349">
        <f t="shared" ref="C40:J40" si="18">SUM(C41:C42)</f>
        <v>0</v>
      </c>
      <c r="D40" s="349">
        <f t="shared" si="18"/>
        <v>0</v>
      </c>
      <c r="E40" s="349">
        <f t="shared" si="18"/>
        <v>0</v>
      </c>
      <c r="F40" s="349">
        <f t="shared" si="18"/>
        <v>0</v>
      </c>
      <c r="G40" s="349">
        <f t="shared" si="18"/>
        <v>0</v>
      </c>
      <c r="H40" s="349">
        <f t="shared" si="18"/>
        <v>0</v>
      </c>
      <c r="I40" s="349">
        <f t="shared" si="18"/>
        <v>0</v>
      </c>
      <c r="J40" s="349">
        <f t="shared" si="18"/>
        <v>0</v>
      </c>
      <c r="K40" s="349">
        <f t="shared" si="12"/>
        <v>0</v>
      </c>
      <c r="L40" s="350">
        <f t="shared" si="2"/>
        <v>0</v>
      </c>
      <c r="M40" s="349">
        <f t="shared" ref="M40:S40" si="19">SUM(M41:M42)</f>
        <v>0</v>
      </c>
      <c r="N40" s="349">
        <f t="shared" si="19"/>
        <v>0</v>
      </c>
      <c r="O40" s="349">
        <f t="shared" si="19"/>
        <v>0</v>
      </c>
      <c r="P40" s="349">
        <f t="shared" si="19"/>
        <v>0</v>
      </c>
      <c r="Q40" s="349">
        <f t="shared" si="19"/>
        <v>0</v>
      </c>
      <c r="R40" s="349">
        <f t="shared" si="19"/>
        <v>0</v>
      </c>
      <c r="S40" s="349">
        <f t="shared" si="19"/>
        <v>0</v>
      </c>
      <c r="T40" s="349">
        <f t="shared" si="4"/>
        <v>0</v>
      </c>
      <c r="U40" s="212"/>
      <c r="V40" s="3"/>
    </row>
    <row r="41" spans="1:22" ht="47.65" customHeight="1">
      <c r="A41" s="348"/>
      <c r="B41" s="222" t="s">
        <v>196</v>
      </c>
      <c r="C41" s="212"/>
      <c r="D41" s="212"/>
      <c r="E41" s="212"/>
      <c r="F41" s="212"/>
      <c r="G41" s="212"/>
      <c r="H41" s="212"/>
      <c r="I41" s="212"/>
      <c r="J41" s="212"/>
      <c r="K41" s="351">
        <f t="shared" si="12"/>
        <v>0</v>
      </c>
      <c r="L41" s="352">
        <f t="shared" si="2"/>
        <v>0</v>
      </c>
      <c r="M41" s="212"/>
      <c r="N41" s="212"/>
      <c r="O41" s="212"/>
      <c r="P41" s="212"/>
      <c r="Q41" s="212"/>
      <c r="R41" s="212"/>
      <c r="S41" s="212"/>
      <c r="T41" s="353">
        <f t="shared" si="4"/>
        <v>0</v>
      </c>
      <c r="U41" s="212"/>
      <c r="V41" s="3"/>
    </row>
    <row r="42" spans="1:22" ht="47.65" customHeight="1">
      <c r="A42" s="348"/>
      <c r="B42" s="222" t="s">
        <v>197</v>
      </c>
      <c r="C42" s="212"/>
      <c r="D42" s="212"/>
      <c r="E42" s="212"/>
      <c r="F42" s="212"/>
      <c r="G42" s="212"/>
      <c r="H42" s="212"/>
      <c r="I42" s="212"/>
      <c r="J42" s="212"/>
      <c r="K42" s="351">
        <f t="shared" si="12"/>
        <v>0</v>
      </c>
      <c r="L42" s="352">
        <f t="shared" si="2"/>
        <v>0</v>
      </c>
      <c r="M42" s="212"/>
      <c r="N42" s="212"/>
      <c r="O42" s="212"/>
      <c r="P42" s="212"/>
      <c r="Q42" s="212"/>
      <c r="R42" s="212"/>
      <c r="S42" s="212"/>
      <c r="T42" s="353">
        <f t="shared" si="4"/>
        <v>0</v>
      </c>
      <c r="U42" s="212"/>
      <c r="V42" s="3"/>
    </row>
    <row r="43" spans="1:22" ht="47.65" customHeight="1">
      <c r="A43" s="348"/>
      <c r="B43" s="330" t="s">
        <v>53</v>
      </c>
      <c r="C43" s="349">
        <f t="shared" ref="C43:J43" si="20">SUM(C44:C45)</f>
        <v>0</v>
      </c>
      <c r="D43" s="349">
        <f t="shared" si="20"/>
        <v>0</v>
      </c>
      <c r="E43" s="349">
        <f t="shared" si="20"/>
        <v>0</v>
      </c>
      <c r="F43" s="349">
        <f t="shared" si="20"/>
        <v>44</v>
      </c>
      <c r="G43" s="349">
        <f t="shared" si="20"/>
        <v>56</v>
      </c>
      <c r="H43" s="349">
        <f t="shared" si="20"/>
        <v>0</v>
      </c>
      <c r="I43" s="349">
        <f t="shared" si="20"/>
        <v>0</v>
      </c>
      <c r="J43" s="349">
        <f t="shared" si="20"/>
        <v>0</v>
      </c>
      <c r="K43" s="349">
        <f t="shared" si="12"/>
        <v>100</v>
      </c>
      <c r="L43" s="350">
        <f t="shared" si="2"/>
        <v>109680</v>
      </c>
      <c r="M43" s="349">
        <f t="shared" ref="M43:S43" si="21">SUM(M44:M45)</f>
        <v>0</v>
      </c>
      <c r="N43" s="349">
        <f t="shared" si="21"/>
        <v>0</v>
      </c>
      <c r="O43" s="349">
        <f t="shared" si="21"/>
        <v>0</v>
      </c>
      <c r="P43" s="349">
        <f t="shared" si="21"/>
        <v>0</v>
      </c>
      <c r="Q43" s="349">
        <f t="shared" si="21"/>
        <v>0</v>
      </c>
      <c r="R43" s="349">
        <f t="shared" si="21"/>
        <v>0</v>
      </c>
      <c r="S43" s="349">
        <f t="shared" si="21"/>
        <v>0</v>
      </c>
      <c r="T43" s="349">
        <f t="shared" si="4"/>
        <v>0</v>
      </c>
      <c r="U43" s="212"/>
      <c r="V43" s="3"/>
    </row>
    <row r="44" spans="1:22" ht="24" customHeight="1">
      <c r="A44" s="348"/>
      <c r="B44" s="222" t="s">
        <v>198</v>
      </c>
      <c r="C44" s="212"/>
      <c r="D44" s="212"/>
      <c r="E44" s="212"/>
      <c r="F44" s="212"/>
      <c r="G44" s="212"/>
      <c r="H44" s="212"/>
      <c r="I44" s="212"/>
      <c r="J44" s="212"/>
      <c r="K44" s="351">
        <f t="shared" si="12"/>
        <v>0</v>
      </c>
      <c r="L44" s="352">
        <f t="shared" si="2"/>
        <v>0</v>
      </c>
      <c r="M44" s="212"/>
      <c r="N44" s="212"/>
      <c r="O44" s="212"/>
      <c r="P44" s="212"/>
      <c r="Q44" s="212"/>
      <c r="R44" s="212"/>
      <c r="S44" s="212"/>
      <c r="T44" s="353">
        <f t="shared" si="4"/>
        <v>0</v>
      </c>
      <c r="U44" s="212"/>
      <c r="V44" s="3"/>
    </row>
    <row r="45" spans="1:22" ht="24" customHeight="1">
      <c r="A45" s="348"/>
      <c r="B45" s="222" t="s">
        <v>53</v>
      </c>
      <c r="C45" s="212"/>
      <c r="D45" s="212"/>
      <c r="E45" s="212"/>
      <c r="F45" s="212">
        <v>44</v>
      </c>
      <c r="G45" s="212">
        <v>56</v>
      </c>
      <c r="H45" s="212"/>
      <c r="I45" s="212"/>
      <c r="J45" s="212"/>
      <c r="K45" s="351">
        <f t="shared" si="12"/>
        <v>100</v>
      </c>
      <c r="L45" s="352">
        <f t="shared" si="2"/>
        <v>109680</v>
      </c>
      <c r="M45" s="212"/>
      <c r="N45" s="212"/>
      <c r="O45" s="212"/>
      <c r="P45" s="212"/>
      <c r="Q45" s="212"/>
      <c r="R45" s="212"/>
      <c r="S45" s="212"/>
      <c r="T45" s="353">
        <f t="shared" si="4"/>
        <v>0</v>
      </c>
      <c r="U45" s="212"/>
      <c r="V45" s="3"/>
    </row>
    <row r="46" spans="1:22" ht="38.65" customHeight="1">
      <c r="A46" s="348"/>
      <c r="B46" s="330" t="s">
        <v>54</v>
      </c>
      <c r="C46" s="349">
        <f t="shared" ref="C46:J46" si="22">C47</f>
        <v>0</v>
      </c>
      <c r="D46" s="349">
        <f t="shared" si="22"/>
        <v>0</v>
      </c>
      <c r="E46" s="349">
        <f t="shared" si="22"/>
        <v>0</v>
      </c>
      <c r="F46" s="349">
        <f t="shared" si="22"/>
        <v>0</v>
      </c>
      <c r="G46" s="349">
        <f t="shared" si="22"/>
        <v>0</v>
      </c>
      <c r="H46" s="349">
        <f t="shared" si="22"/>
        <v>0</v>
      </c>
      <c r="I46" s="349">
        <f t="shared" si="22"/>
        <v>0</v>
      </c>
      <c r="J46" s="349">
        <f t="shared" si="22"/>
        <v>0</v>
      </c>
      <c r="K46" s="349">
        <f t="shared" si="12"/>
        <v>0</v>
      </c>
      <c r="L46" s="350">
        <f t="shared" si="2"/>
        <v>0</v>
      </c>
      <c r="M46" s="349">
        <f t="shared" ref="M46:S46" si="23">M47</f>
        <v>0</v>
      </c>
      <c r="N46" s="349">
        <f t="shared" si="23"/>
        <v>0</v>
      </c>
      <c r="O46" s="349">
        <f t="shared" si="23"/>
        <v>0</v>
      </c>
      <c r="P46" s="349">
        <f t="shared" si="23"/>
        <v>0</v>
      </c>
      <c r="Q46" s="349">
        <f t="shared" si="23"/>
        <v>0</v>
      </c>
      <c r="R46" s="349">
        <f t="shared" si="23"/>
        <v>0</v>
      </c>
      <c r="S46" s="349">
        <f t="shared" si="23"/>
        <v>0</v>
      </c>
      <c r="T46" s="349">
        <f t="shared" si="4"/>
        <v>0</v>
      </c>
      <c r="U46" s="212"/>
      <c r="V46" s="3"/>
    </row>
    <row r="47" spans="1:22" ht="24" customHeight="1">
      <c r="A47" s="348"/>
      <c r="B47" s="222" t="s">
        <v>199</v>
      </c>
      <c r="C47" s="212"/>
      <c r="D47" s="212"/>
      <c r="E47" s="212"/>
      <c r="F47" s="212"/>
      <c r="G47" s="212"/>
      <c r="H47" s="212"/>
      <c r="I47" s="212"/>
      <c r="J47" s="212"/>
      <c r="K47" s="351">
        <f t="shared" si="12"/>
        <v>0</v>
      </c>
      <c r="L47" s="352">
        <f t="shared" si="2"/>
        <v>0</v>
      </c>
      <c r="M47" s="212"/>
      <c r="N47" s="212"/>
      <c r="O47" s="212"/>
      <c r="P47" s="212"/>
      <c r="Q47" s="212"/>
      <c r="R47" s="212"/>
      <c r="S47" s="212"/>
      <c r="T47" s="353">
        <f t="shared" si="4"/>
        <v>0</v>
      </c>
      <c r="U47" s="212"/>
      <c r="V47" s="3"/>
    </row>
    <row r="48" spans="1:22" ht="24" customHeight="1">
      <c r="A48" s="348"/>
      <c r="B48" s="330" t="s">
        <v>55</v>
      </c>
      <c r="C48" s="349">
        <f t="shared" ref="C48:J48" si="24">C49</f>
        <v>0</v>
      </c>
      <c r="D48" s="349">
        <f t="shared" si="24"/>
        <v>0</v>
      </c>
      <c r="E48" s="349">
        <f t="shared" si="24"/>
        <v>0</v>
      </c>
      <c r="F48" s="349">
        <f t="shared" si="24"/>
        <v>0</v>
      </c>
      <c r="G48" s="349">
        <f t="shared" si="24"/>
        <v>0</v>
      </c>
      <c r="H48" s="349">
        <f t="shared" si="24"/>
        <v>0</v>
      </c>
      <c r="I48" s="349">
        <f t="shared" si="24"/>
        <v>0</v>
      </c>
      <c r="J48" s="349">
        <f t="shared" si="24"/>
        <v>0</v>
      </c>
      <c r="K48" s="349">
        <f t="shared" si="12"/>
        <v>0</v>
      </c>
      <c r="L48" s="350">
        <f t="shared" si="2"/>
        <v>0</v>
      </c>
      <c r="M48" s="349">
        <f t="shared" ref="M48:S48" si="25">M49</f>
        <v>0</v>
      </c>
      <c r="N48" s="349">
        <f t="shared" si="25"/>
        <v>0</v>
      </c>
      <c r="O48" s="349">
        <f t="shared" si="25"/>
        <v>0</v>
      </c>
      <c r="P48" s="349">
        <f t="shared" si="25"/>
        <v>0</v>
      </c>
      <c r="Q48" s="349">
        <f t="shared" si="25"/>
        <v>0</v>
      </c>
      <c r="R48" s="349">
        <f t="shared" si="25"/>
        <v>0</v>
      </c>
      <c r="S48" s="349">
        <f t="shared" si="25"/>
        <v>0</v>
      </c>
      <c r="T48" s="349">
        <f t="shared" si="4"/>
        <v>0</v>
      </c>
      <c r="U48" s="212"/>
      <c r="V48" s="3"/>
    </row>
    <row r="49" spans="1:22" ht="24" customHeight="1">
      <c r="A49" s="348"/>
      <c r="B49" s="222" t="s">
        <v>55</v>
      </c>
      <c r="C49" s="212"/>
      <c r="D49" s="212"/>
      <c r="E49" s="212"/>
      <c r="F49" s="212"/>
      <c r="G49" s="212"/>
      <c r="H49" s="212"/>
      <c r="I49" s="212"/>
      <c r="J49" s="212"/>
      <c r="K49" s="351">
        <f t="shared" si="12"/>
        <v>0</v>
      </c>
      <c r="L49" s="352">
        <f t="shared" si="2"/>
        <v>0</v>
      </c>
      <c r="M49" s="212"/>
      <c r="N49" s="212"/>
      <c r="O49" s="212"/>
      <c r="P49" s="212"/>
      <c r="Q49" s="212"/>
      <c r="R49" s="212"/>
      <c r="S49" s="212"/>
      <c r="T49" s="353">
        <f t="shared" si="4"/>
        <v>0</v>
      </c>
      <c r="U49" s="212"/>
      <c r="V49" s="3"/>
    </row>
    <row r="50" spans="1:22" ht="53.65" customHeight="1">
      <c r="A50" s="348"/>
      <c r="B50" s="330" t="s">
        <v>201</v>
      </c>
      <c r="C50" s="349">
        <f t="shared" ref="C50:J50" si="26">SUM(C51:C53)</f>
        <v>0</v>
      </c>
      <c r="D50" s="349">
        <f t="shared" si="26"/>
        <v>38</v>
      </c>
      <c r="E50" s="349">
        <f t="shared" si="26"/>
        <v>0</v>
      </c>
      <c r="F50" s="349">
        <f t="shared" si="26"/>
        <v>49.25</v>
      </c>
      <c r="G50" s="349">
        <f t="shared" si="26"/>
        <v>75</v>
      </c>
      <c r="H50" s="349">
        <f t="shared" si="26"/>
        <v>103.25</v>
      </c>
      <c r="I50" s="349">
        <f t="shared" si="26"/>
        <v>62.875</v>
      </c>
      <c r="J50" s="349">
        <f t="shared" si="26"/>
        <v>0</v>
      </c>
      <c r="K50" s="349">
        <f t="shared" si="12"/>
        <v>328.375</v>
      </c>
      <c r="L50" s="350">
        <f t="shared" si="2"/>
        <v>341095</v>
      </c>
      <c r="M50" s="349">
        <f t="shared" ref="M50:S50" si="27">SUM(M51:M53)</f>
        <v>0</v>
      </c>
      <c r="N50" s="349">
        <f t="shared" si="27"/>
        <v>0</v>
      </c>
      <c r="O50" s="349">
        <f t="shared" si="27"/>
        <v>0</v>
      </c>
      <c r="P50" s="349">
        <f t="shared" si="27"/>
        <v>0</v>
      </c>
      <c r="Q50" s="349">
        <f t="shared" si="27"/>
        <v>0</v>
      </c>
      <c r="R50" s="349">
        <f t="shared" si="27"/>
        <v>0</v>
      </c>
      <c r="S50" s="349">
        <f t="shared" si="27"/>
        <v>0</v>
      </c>
      <c r="T50" s="349">
        <f t="shared" si="4"/>
        <v>0</v>
      </c>
      <c r="U50" s="212"/>
      <c r="V50" s="3"/>
    </row>
    <row r="51" spans="1:22" ht="24" customHeight="1">
      <c r="A51" s="348"/>
      <c r="B51" s="222" t="s">
        <v>269</v>
      </c>
      <c r="C51" s="212"/>
      <c r="D51" s="212"/>
      <c r="E51" s="212"/>
      <c r="F51" s="212"/>
      <c r="G51" s="212"/>
      <c r="H51" s="212">
        <v>47</v>
      </c>
      <c r="I51" s="212"/>
      <c r="J51" s="212"/>
      <c r="K51" s="351">
        <f t="shared" si="12"/>
        <v>47</v>
      </c>
      <c r="L51" s="352">
        <f t="shared" si="2"/>
        <v>61100</v>
      </c>
      <c r="M51" s="212"/>
      <c r="N51" s="212"/>
      <c r="O51" s="212"/>
      <c r="P51" s="212"/>
      <c r="Q51" s="212"/>
      <c r="R51" s="212"/>
      <c r="S51" s="212"/>
      <c r="T51" s="353">
        <f t="shared" si="4"/>
        <v>0</v>
      </c>
      <c r="U51" s="212"/>
      <c r="V51" s="3"/>
    </row>
    <row r="52" spans="1:22" ht="24" customHeight="1">
      <c r="A52" s="348"/>
      <c r="B52" s="222" t="s">
        <v>270</v>
      </c>
      <c r="C52" s="212"/>
      <c r="D52" s="212">
        <v>38</v>
      </c>
      <c r="E52" s="212"/>
      <c r="F52" s="212">
        <v>49.25</v>
      </c>
      <c r="G52" s="212">
        <v>75</v>
      </c>
      <c r="H52" s="212">
        <v>37.25</v>
      </c>
      <c r="I52" s="212">
        <v>62.875</v>
      </c>
      <c r="J52" s="212"/>
      <c r="K52" s="351">
        <f t="shared" si="12"/>
        <v>262.375</v>
      </c>
      <c r="L52" s="352">
        <f t="shared" si="2"/>
        <v>255295</v>
      </c>
      <c r="M52" s="212"/>
      <c r="N52" s="212"/>
      <c r="O52" s="212"/>
      <c r="P52" s="212"/>
      <c r="Q52" s="212"/>
      <c r="R52" s="212"/>
      <c r="S52" s="212"/>
      <c r="T52" s="353">
        <f t="shared" si="4"/>
        <v>0</v>
      </c>
      <c r="U52" s="212"/>
      <c r="V52" s="3"/>
    </row>
    <row r="53" spans="1:22" ht="24" customHeight="1">
      <c r="A53" s="348"/>
      <c r="B53" s="222" t="s">
        <v>271</v>
      </c>
      <c r="C53" s="212"/>
      <c r="D53" s="212"/>
      <c r="E53" s="212"/>
      <c r="F53" s="212"/>
      <c r="G53" s="212"/>
      <c r="H53" s="212">
        <v>19</v>
      </c>
      <c r="I53" s="212"/>
      <c r="J53" s="212"/>
      <c r="K53" s="351">
        <f t="shared" si="12"/>
        <v>19</v>
      </c>
      <c r="L53" s="352">
        <f t="shared" si="2"/>
        <v>24700</v>
      </c>
      <c r="M53" s="212"/>
      <c r="N53" s="212"/>
      <c r="O53" s="212"/>
      <c r="P53" s="212"/>
      <c r="Q53" s="212"/>
      <c r="R53" s="212"/>
      <c r="S53" s="212"/>
      <c r="T53" s="353">
        <f t="shared" si="4"/>
        <v>0</v>
      </c>
      <c r="U53" s="212"/>
      <c r="V53" s="3"/>
    </row>
    <row r="54" spans="1:22" ht="24" customHeight="1">
      <c r="A54" s="348"/>
      <c r="B54" s="206" t="s">
        <v>206</v>
      </c>
      <c r="C54" s="354">
        <f t="shared" ref="C54:L54" si="28">C15+C17+C23+C27+C34+C38+C40+C43+C46+C48+C50</f>
        <v>9</v>
      </c>
      <c r="D54" s="354">
        <f t="shared" si="28"/>
        <v>101</v>
      </c>
      <c r="E54" s="354">
        <f t="shared" si="28"/>
        <v>72</v>
      </c>
      <c r="F54" s="354">
        <f t="shared" si="28"/>
        <v>214.24056603773585</v>
      </c>
      <c r="G54" s="354">
        <f t="shared" si="28"/>
        <v>354.99056603773585</v>
      </c>
      <c r="H54" s="354">
        <f t="shared" si="28"/>
        <v>118.75</v>
      </c>
      <c r="I54" s="354">
        <f t="shared" si="28"/>
        <v>155.89386792452831</v>
      </c>
      <c r="J54" s="354">
        <f t="shared" si="28"/>
        <v>50</v>
      </c>
      <c r="K54" s="354">
        <f t="shared" si="28"/>
        <v>1075.875</v>
      </c>
      <c r="L54" s="355">
        <f t="shared" si="28"/>
        <v>1048193.3018867924</v>
      </c>
      <c r="M54" s="354">
        <v>60</v>
      </c>
      <c r="N54" s="354">
        <v>120</v>
      </c>
      <c r="O54" s="354">
        <v>180</v>
      </c>
      <c r="P54" s="354">
        <v>0</v>
      </c>
      <c r="Q54" s="354">
        <v>120</v>
      </c>
      <c r="R54" s="354">
        <v>0</v>
      </c>
      <c r="S54" s="354">
        <v>0</v>
      </c>
      <c r="T54" s="353">
        <v>480</v>
      </c>
      <c r="U54" s="212"/>
      <c r="V54" s="3"/>
    </row>
    <row r="55" spans="1:22" s="8" customFormat="1" ht="24" customHeight="1" thickBot="1">
      <c r="A55" s="356"/>
      <c r="B55" s="357"/>
      <c r="C55" s="358"/>
      <c r="D55" s="359"/>
      <c r="E55" s="359"/>
      <c r="F55" s="359"/>
      <c r="G55" s="359"/>
      <c r="H55" s="359"/>
      <c r="I55" s="359"/>
      <c r="J55" s="359"/>
      <c r="K55" s="85"/>
      <c r="L55" s="360"/>
      <c r="M55" s="87"/>
      <c r="N55" s="84"/>
      <c r="O55" s="84"/>
      <c r="P55" s="84"/>
      <c r="Q55" s="84"/>
      <c r="R55" s="84"/>
      <c r="S55" s="84"/>
      <c r="T55" s="88"/>
      <c r="U55" s="361"/>
    </row>
    <row r="56" spans="1:22" ht="24" customHeight="1" thickTop="1" thickBot="1">
      <c r="A56" s="348"/>
      <c r="B56" s="362" t="s">
        <v>57</v>
      </c>
      <c r="C56" s="397">
        <v>18000</v>
      </c>
      <c r="D56" s="364"/>
      <c r="E56" s="365"/>
      <c r="F56" s="365"/>
      <c r="G56" s="365"/>
      <c r="H56" s="365"/>
      <c r="I56" s="365"/>
      <c r="J56" s="365"/>
      <c r="K56" s="94"/>
      <c r="L56" s="324"/>
      <c r="M56" s="46"/>
      <c r="N56" s="46"/>
      <c r="O56" s="46"/>
      <c r="P56" s="46"/>
      <c r="Q56" s="46"/>
      <c r="R56" s="46"/>
      <c r="S56" s="46"/>
      <c r="T56" s="46"/>
      <c r="U56" s="367"/>
      <c r="V56" s="3"/>
    </row>
    <row r="57" spans="1:22" s="3" customFormat="1" ht="24" customHeight="1" thickTop="1" thickBot="1">
      <c r="A57" s="368"/>
      <c r="B57" s="369"/>
      <c r="C57" s="370"/>
      <c r="D57" s="371"/>
      <c r="E57" s="371"/>
      <c r="F57" s="371"/>
      <c r="G57" s="371"/>
      <c r="H57" s="371"/>
      <c r="I57" s="371"/>
      <c r="J57" s="371"/>
      <c r="K57" s="100"/>
      <c r="L57" s="372">
        <f>L54-L53-L52</f>
        <v>768198.30188679241</v>
      </c>
      <c r="M57" s="46"/>
      <c r="N57" s="46"/>
      <c r="O57" s="46"/>
      <c r="P57" s="46"/>
      <c r="Q57" s="46"/>
      <c r="R57" s="46"/>
      <c r="S57" s="46"/>
      <c r="T57" s="46"/>
      <c r="U57" s="373"/>
    </row>
    <row r="58" spans="1:22" s="9" customFormat="1" ht="31.15" customHeight="1" thickTop="1" thickBot="1">
      <c r="A58" s="374"/>
      <c r="B58" s="221" t="s">
        <v>207</v>
      </c>
      <c r="C58" s="375">
        <f t="shared" ref="C58:J58" si="29">C54*C13</f>
        <v>16200</v>
      </c>
      <c r="D58" s="375">
        <f t="shared" si="29"/>
        <v>111100</v>
      </c>
      <c r="E58" s="375">
        <f t="shared" si="29"/>
        <v>61200</v>
      </c>
      <c r="F58" s="375">
        <f t="shared" si="29"/>
        <v>321360.84905660379</v>
      </c>
      <c r="G58" s="375">
        <f t="shared" si="29"/>
        <v>276892.64150943398</v>
      </c>
      <c r="H58" s="375">
        <f t="shared" si="29"/>
        <v>154375</v>
      </c>
      <c r="I58" s="375">
        <f t="shared" si="29"/>
        <v>81064.811320754714</v>
      </c>
      <c r="J58" s="375">
        <f t="shared" si="29"/>
        <v>26000</v>
      </c>
      <c r="K58" s="105"/>
      <c r="L58" s="372"/>
      <c r="M58" s="106"/>
      <c r="N58" s="106"/>
      <c r="O58" s="106"/>
      <c r="P58" s="106"/>
      <c r="Q58" s="106"/>
      <c r="R58" s="106"/>
      <c r="S58" s="106"/>
      <c r="T58" s="106"/>
      <c r="U58" s="373"/>
      <c r="V58" s="376"/>
    </row>
    <row r="59" spans="1:22" ht="24" customHeight="1" thickTop="1" thickBot="1">
      <c r="A59" s="368"/>
      <c r="B59" s="377"/>
      <c r="C59" s="378"/>
      <c r="D59" s="379"/>
      <c r="E59" s="379"/>
      <c r="F59" s="379"/>
      <c r="G59" s="380"/>
      <c r="H59" s="381"/>
      <c r="I59" s="379"/>
      <c r="J59" s="379"/>
      <c r="K59" s="100"/>
      <c r="L59" s="372"/>
      <c r="M59" s="46"/>
      <c r="N59" s="46"/>
      <c r="O59" s="46"/>
      <c r="P59" s="46"/>
      <c r="Q59" s="46"/>
      <c r="R59" s="46"/>
      <c r="S59" s="46"/>
      <c r="T59" s="46"/>
      <c r="U59" s="367"/>
      <c r="V59" s="3"/>
    </row>
    <row r="60" spans="1:22" ht="16.5" thickTop="1" thickBot="1">
      <c r="A60" s="348"/>
      <c r="B60" s="221" t="s">
        <v>208</v>
      </c>
      <c r="C60" s="375">
        <f>SUM(C58:J58)+C56</f>
        <v>1066193.3018867925</v>
      </c>
      <c r="D60" s="382"/>
      <c r="E60" s="383"/>
      <c r="F60" s="384"/>
      <c r="G60" s="385"/>
      <c r="H60" s="383"/>
      <c r="I60" s="383"/>
      <c r="J60" s="383"/>
      <c r="K60" s="117"/>
      <c r="L60" s="372"/>
      <c r="M60" s="46"/>
      <c r="N60" s="46"/>
      <c r="O60" s="46"/>
      <c r="P60" s="46"/>
      <c r="Q60" s="46"/>
      <c r="R60" s="46"/>
      <c r="S60" s="46"/>
      <c r="T60" s="46"/>
      <c r="U60" s="367"/>
      <c r="V60" s="3"/>
    </row>
    <row r="61" spans="1:22" ht="15.75" thickTop="1" thickBot="1">
      <c r="A61" s="368"/>
      <c r="B61" s="377"/>
      <c r="C61" s="378"/>
      <c r="D61" s="383"/>
      <c r="E61" s="383"/>
      <c r="F61" s="384"/>
      <c r="G61" s="385"/>
      <c r="H61" s="383"/>
      <c r="I61" s="383"/>
      <c r="J61" s="383"/>
      <c r="K61" s="117"/>
      <c r="L61" s="372"/>
      <c r="M61" s="46"/>
      <c r="N61" s="46"/>
      <c r="O61" s="46"/>
      <c r="P61" s="46"/>
      <c r="Q61" s="46"/>
      <c r="R61" s="46"/>
      <c r="S61" s="46"/>
      <c r="T61" s="46"/>
      <c r="U61" s="367"/>
      <c r="V61" s="3"/>
    </row>
    <row r="62" spans="1:22" ht="15.75" thickTop="1">
      <c r="A62" s="348"/>
      <c r="B62" s="221" t="s">
        <v>209</v>
      </c>
      <c r="C62" s="375">
        <f>IFERROR(L54/K54,)</f>
        <v>974.27052574582774</v>
      </c>
      <c r="D62" s="223"/>
      <c r="E62" s="223"/>
      <c r="F62" s="223"/>
      <c r="G62" s="224"/>
      <c r="H62" s="223"/>
      <c r="I62" s="223"/>
      <c r="J62" s="223"/>
      <c r="K62" s="120"/>
      <c r="L62" s="386"/>
      <c r="M62" s="46"/>
      <c r="N62" s="46"/>
      <c r="O62" s="46"/>
      <c r="P62" s="46"/>
      <c r="Q62" s="46"/>
      <c r="R62" s="46"/>
      <c r="S62" s="46"/>
      <c r="T62" s="46"/>
      <c r="U62" s="367"/>
      <c r="V62" s="3"/>
    </row>
    <row r="63" spans="1:22">
      <c r="A63" s="3"/>
      <c r="B63" s="223"/>
      <c r="C63" s="223"/>
      <c r="D63" s="223"/>
      <c r="E63" s="223"/>
      <c r="F63" s="223"/>
      <c r="G63" s="224"/>
      <c r="H63" s="223"/>
      <c r="I63" s="223"/>
      <c r="J63" s="223"/>
      <c r="K63" s="159"/>
      <c r="L63" s="225"/>
      <c r="M63" s="3"/>
      <c r="N63" s="3"/>
      <c r="O63" s="3"/>
      <c r="P63" s="3"/>
      <c r="Q63" s="3"/>
      <c r="R63" s="3"/>
      <c r="S63" s="3"/>
      <c r="T63" s="3"/>
      <c r="U63" s="226"/>
      <c r="V63" s="3"/>
    </row>
    <row r="64" spans="1:22">
      <c r="A64" s="3"/>
      <c r="B64" s="3"/>
      <c r="C64" s="3"/>
      <c r="D64" s="3"/>
      <c r="E64" s="3"/>
      <c r="F64" s="3"/>
      <c r="G64" s="10"/>
      <c r="H64" s="3"/>
      <c r="I64" s="3"/>
      <c r="J64" s="3"/>
      <c r="K64" s="159"/>
      <c r="L64" s="225"/>
      <c r="M64" s="3"/>
      <c r="N64" s="3"/>
      <c r="O64" s="3"/>
      <c r="P64" s="3"/>
      <c r="Q64" s="3"/>
      <c r="R64" s="3"/>
      <c r="S64" s="3"/>
      <c r="T64" s="3"/>
      <c r="U64" s="226"/>
      <c r="V64" s="3"/>
    </row>
    <row r="65" spans="1:22">
      <c r="A65" s="3"/>
      <c r="B65" s="3"/>
      <c r="C65" s="3"/>
      <c r="D65" s="3"/>
      <c r="E65" s="3"/>
      <c r="F65" s="3"/>
      <c r="G65" s="10"/>
      <c r="H65" s="3"/>
      <c r="I65" s="3"/>
      <c r="J65" s="3"/>
      <c r="K65" s="159"/>
      <c r="L65" s="225"/>
      <c r="M65" s="3"/>
      <c r="N65" s="3"/>
      <c r="O65" s="3"/>
      <c r="P65" s="3"/>
      <c r="Q65" s="3"/>
      <c r="R65" s="3"/>
      <c r="S65" s="3"/>
      <c r="T65" s="3"/>
      <c r="U65" s="226"/>
      <c r="V65" s="3"/>
    </row>
    <row r="66" spans="1:22">
      <c r="A66" s="3"/>
      <c r="B66" s="3"/>
      <c r="C66" s="3"/>
      <c r="D66" s="3"/>
      <c r="E66" s="3"/>
      <c r="F66" s="3"/>
      <c r="G66" s="10"/>
      <c r="H66" s="3"/>
      <c r="I66" s="3"/>
      <c r="J66" s="3"/>
      <c r="K66" s="159"/>
      <c r="L66" s="225"/>
      <c r="M66" s="3"/>
      <c r="N66" s="3"/>
      <c r="O66" s="3"/>
      <c r="P66" s="3"/>
      <c r="Q66" s="3"/>
      <c r="R66" s="3"/>
      <c r="S66" s="3"/>
      <c r="T66" s="3"/>
      <c r="U66" s="226"/>
      <c r="V66" s="3"/>
    </row>
    <row r="67" spans="1:22">
      <c r="A67" s="3"/>
      <c r="B67" s="3"/>
      <c r="C67" s="3"/>
      <c r="D67" s="3"/>
      <c r="E67" s="3"/>
      <c r="F67" s="3"/>
      <c r="G67" s="10"/>
      <c r="H67" s="3"/>
      <c r="I67" s="3"/>
      <c r="J67" s="3"/>
      <c r="K67" s="159"/>
      <c r="L67" s="225"/>
      <c r="M67" s="3"/>
      <c r="N67" s="3"/>
      <c r="O67" s="3"/>
      <c r="P67" s="3"/>
      <c r="Q67" s="3"/>
      <c r="R67" s="3"/>
      <c r="S67" s="3"/>
      <c r="T67" s="3"/>
      <c r="U67" s="226"/>
      <c r="V67" s="3"/>
    </row>
    <row r="68" spans="1:22">
      <c r="A68" s="3"/>
      <c r="B68" s="3"/>
      <c r="C68" s="3"/>
      <c r="D68" s="3"/>
      <c r="E68" s="3"/>
      <c r="F68" s="3"/>
      <c r="G68" s="10"/>
      <c r="H68" s="3"/>
      <c r="I68" s="3"/>
      <c r="J68" s="3"/>
      <c r="K68" s="159"/>
      <c r="L68" s="225"/>
      <c r="M68" s="3"/>
      <c r="N68" s="3"/>
      <c r="O68" s="3"/>
      <c r="P68" s="3"/>
      <c r="Q68" s="3"/>
      <c r="R68" s="3"/>
      <c r="S68" s="3"/>
      <c r="T68" s="3"/>
      <c r="U68" s="226"/>
      <c r="V68" s="3"/>
    </row>
    <row r="69" spans="1:22">
      <c r="A69" s="3"/>
      <c r="B69" s="3"/>
      <c r="C69" s="3"/>
      <c r="D69" s="3"/>
      <c r="E69" s="3"/>
      <c r="F69" s="3"/>
      <c r="G69" s="10"/>
      <c r="H69" s="3"/>
      <c r="I69" s="3"/>
      <c r="J69" s="3"/>
      <c r="K69" s="159"/>
      <c r="L69" s="225"/>
      <c r="M69" s="3"/>
      <c r="N69" s="3"/>
      <c r="O69" s="3"/>
      <c r="P69" s="3"/>
      <c r="Q69" s="3"/>
      <c r="R69" s="3"/>
      <c r="S69" s="3"/>
      <c r="T69" s="3"/>
      <c r="U69" s="226"/>
      <c r="V69" s="3"/>
    </row>
    <row r="70" spans="1:22">
      <c r="A70" s="3"/>
      <c r="B70" s="3"/>
      <c r="C70" s="3"/>
      <c r="D70" s="3"/>
      <c r="E70" s="3"/>
      <c r="F70" s="3"/>
      <c r="G70" s="10"/>
      <c r="H70" s="3"/>
      <c r="I70" s="3"/>
      <c r="J70" s="3"/>
      <c r="K70" s="159"/>
      <c r="L70" s="225"/>
      <c r="M70" s="3"/>
      <c r="N70" s="3"/>
      <c r="O70" s="3"/>
      <c r="P70" s="3"/>
      <c r="Q70" s="3"/>
      <c r="R70" s="3"/>
      <c r="S70" s="3"/>
      <c r="T70" s="3"/>
      <c r="U70" s="226"/>
      <c r="V70" s="3"/>
    </row>
    <row r="71" spans="1:22">
      <c r="A71" s="3"/>
      <c r="B71" s="3"/>
      <c r="C71" s="3"/>
      <c r="D71" s="3"/>
      <c r="E71" s="3"/>
      <c r="F71" s="3"/>
      <c r="G71" s="10"/>
      <c r="H71" s="3"/>
      <c r="I71" s="3"/>
      <c r="J71" s="3"/>
      <c r="K71" s="159"/>
      <c r="L71" s="225"/>
      <c r="M71" s="3"/>
      <c r="N71" s="3"/>
      <c r="O71" s="3"/>
      <c r="P71" s="3"/>
      <c r="Q71" s="3"/>
      <c r="R71" s="3"/>
      <c r="S71" s="3"/>
      <c r="T71" s="3"/>
      <c r="U71" s="226"/>
      <c r="V71" s="3"/>
    </row>
    <row r="72" spans="1:22">
      <c r="A72" s="3"/>
      <c r="B72" s="3"/>
      <c r="C72" s="3"/>
      <c r="D72" s="3"/>
      <c r="E72" s="3"/>
      <c r="F72" s="3"/>
      <c r="G72" s="10"/>
      <c r="H72" s="3"/>
      <c r="I72" s="3"/>
      <c r="J72" s="3"/>
      <c r="K72" s="159"/>
      <c r="L72" s="225"/>
      <c r="M72" s="3"/>
      <c r="N72" s="3"/>
      <c r="O72" s="3"/>
      <c r="P72" s="3"/>
      <c r="Q72" s="3"/>
      <c r="R72" s="3"/>
      <c r="S72" s="3"/>
      <c r="T72" s="3"/>
      <c r="U72" s="226"/>
      <c r="V72" s="3"/>
    </row>
    <row r="73" spans="1:22">
      <c r="A73" s="3"/>
      <c r="B73" s="3"/>
      <c r="C73" s="3"/>
      <c r="D73" s="3"/>
      <c r="E73" s="3"/>
      <c r="F73" s="3"/>
      <c r="G73" s="10"/>
      <c r="H73" s="3"/>
      <c r="I73" s="3"/>
      <c r="J73" s="3"/>
      <c r="K73" s="159"/>
      <c r="L73" s="225"/>
      <c r="M73" s="3"/>
      <c r="N73" s="3"/>
      <c r="O73" s="3"/>
      <c r="P73" s="3"/>
      <c r="Q73" s="3"/>
      <c r="R73" s="3"/>
      <c r="S73" s="3"/>
      <c r="T73" s="3"/>
      <c r="U73" s="226"/>
      <c r="V73" s="3"/>
    </row>
    <row r="74" spans="1:22">
      <c r="A74" s="3"/>
      <c r="B74" s="3"/>
      <c r="C74" s="3"/>
      <c r="D74" s="3"/>
      <c r="E74" s="3"/>
      <c r="F74" s="3"/>
      <c r="G74" s="10"/>
      <c r="H74" s="3"/>
      <c r="I74" s="3"/>
      <c r="J74" s="3"/>
      <c r="K74" s="159"/>
      <c r="L74" s="225"/>
      <c r="M74" s="3"/>
      <c r="N74" s="3"/>
      <c r="O74" s="3"/>
      <c r="P74" s="3"/>
      <c r="Q74" s="3"/>
      <c r="R74" s="3"/>
      <c r="S74" s="3"/>
      <c r="T74" s="3"/>
      <c r="U74" s="226"/>
      <c r="V74" s="3"/>
    </row>
    <row r="75" spans="1:22">
      <c r="A75" s="3"/>
      <c r="B75" s="3"/>
      <c r="C75" s="3"/>
      <c r="D75" s="3"/>
      <c r="E75" s="3"/>
      <c r="F75" s="3"/>
      <c r="G75" s="10"/>
      <c r="H75" s="3"/>
      <c r="I75" s="3"/>
      <c r="J75" s="3"/>
      <c r="K75" s="159"/>
      <c r="L75" s="225"/>
      <c r="M75" s="3"/>
      <c r="N75" s="3"/>
      <c r="O75" s="3"/>
      <c r="P75" s="3"/>
      <c r="Q75" s="3"/>
      <c r="R75" s="3"/>
      <c r="S75" s="3"/>
      <c r="T75" s="3"/>
      <c r="U75" s="226"/>
      <c r="V75" s="3"/>
    </row>
    <row r="76" spans="1:22">
      <c r="A76" s="3"/>
      <c r="B76" s="3"/>
      <c r="C76" s="3"/>
      <c r="D76" s="3"/>
      <c r="E76" s="3"/>
      <c r="F76" s="3"/>
      <c r="G76" s="10"/>
      <c r="H76" s="3"/>
      <c r="I76" s="3"/>
      <c r="J76" s="3"/>
      <c r="K76" s="159"/>
      <c r="L76" s="225"/>
      <c r="M76" s="3"/>
      <c r="N76" s="3"/>
      <c r="O76" s="3"/>
      <c r="P76" s="3"/>
      <c r="Q76" s="3"/>
      <c r="R76" s="3"/>
      <c r="S76" s="3"/>
      <c r="T76" s="3"/>
      <c r="U76" s="226"/>
      <c r="V76" s="3"/>
    </row>
    <row r="77" spans="1:22">
      <c r="A77" s="3"/>
      <c r="H77" s="5"/>
    </row>
    <row r="78" spans="1:22">
      <c r="H78" s="5"/>
    </row>
    <row r="79" spans="1:22">
      <c r="H79" s="5"/>
    </row>
    <row r="80" spans="1:22">
      <c r="H80" s="5"/>
    </row>
    <row r="81" spans="8:8">
      <c r="H81" s="5"/>
    </row>
    <row r="82" spans="8:8">
      <c r="H82" s="5"/>
    </row>
    <row r="83" spans="8:8">
      <c r="H83" s="5"/>
    </row>
    <row r="84" spans="8:8">
      <c r="H84" s="5"/>
    </row>
    <row r="85" spans="8:8">
      <c r="H85" s="5"/>
    </row>
    <row r="86" spans="8:8">
      <c r="H86" s="5"/>
    </row>
    <row r="87" spans="8:8">
      <c r="H87" s="5"/>
    </row>
    <row r="88" spans="8:8">
      <c r="H88" s="5"/>
    </row>
    <row r="89" spans="8:8">
      <c r="H89" s="5"/>
    </row>
    <row r="90" spans="8:8">
      <c r="H90" s="5"/>
    </row>
    <row r="91" spans="8:8">
      <c r="H91" s="5"/>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row r="106" spans="8:8">
      <c r="H106" s="5"/>
    </row>
    <row r="107" spans="8:8">
      <c r="H107" s="5"/>
    </row>
    <row r="108" spans="8:8">
      <c r="H108" s="5"/>
    </row>
    <row r="109" spans="8:8">
      <c r="H109" s="5"/>
    </row>
    <row r="110" spans="8:8">
      <c r="H110" s="5"/>
    </row>
    <row r="111" spans="8:8">
      <c r="H111" s="5"/>
    </row>
    <row r="112" spans="8:8">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row r="131" spans="8:8">
      <c r="H131" s="5"/>
    </row>
    <row r="132" spans="8:8">
      <c r="H132" s="5"/>
    </row>
    <row r="133" spans="8:8">
      <c r="H133" s="5"/>
    </row>
    <row r="134" spans="8:8">
      <c r="H134" s="5"/>
    </row>
    <row r="135" spans="8:8">
      <c r="H135" s="5"/>
    </row>
    <row r="136" spans="8:8">
      <c r="H136" s="5"/>
    </row>
    <row r="137" spans="8:8">
      <c r="H137" s="5"/>
    </row>
    <row r="138" spans="8:8">
      <c r="H138" s="5"/>
    </row>
    <row r="139" spans="8:8">
      <c r="H139" s="5"/>
    </row>
    <row r="140" spans="8:8">
      <c r="H140" s="5"/>
    </row>
    <row r="141" spans="8:8">
      <c r="H141" s="5"/>
    </row>
    <row r="142" spans="8:8">
      <c r="H142" s="5"/>
    </row>
    <row r="143" spans="8:8">
      <c r="H143" s="5"/>
    </row>
    <row r="144" spans="8:8">
      <c r="H144" s="5"/>
    </row>
    <row r="145" spans="8:8">
      <c r="H145" s="5"/>
    </row>
    <row r="146" spans="8:8">
      <c r="H146" s="5"/>
    </row>
    <row r="147" spans="8:8">
      <c r="H147" s="5"/>
    </row>
    <row r="148" spans="8:8">
      <c r="H148" s="5"/>
    </row>
    <row r="149" spans="8:8">
      <c r="H149" s="5"/>
    </row>
    <row r="150" spans="8:8">
      <c r="H150" s="5"/>
    </row>
    <row r="151" spans="8:8">
      <c r="H151" s="5"/>
    </row>
    <row r="152" spans="8:8">
      <c r="H152" s="5"/>
    </row>
    <row r="153" spans="8:8">
      <c r="H153" s="5"/>
    </row>
    <row r="154" spans="8:8">
      <c r="H154" s="5"/>
    </row>
    <row r="155" spans="8:8">
      <c r="H155" s="5"/>
    </row>
    <row r="156" spans="8:8">
      <c r="H156" s="5"/>
    </row>
    <row r="157" spans="8:8">
      <c r="H157" s="5"/>
    </row>
    <row r="158" spans="8:8">
      <c r="H158" s="5"/>
    </row>
    <row r="159" spans="8:8">
      <c r="H159" s="5"/>
    </row>
    <row r="160" spans="8:8">
      <c r="H160" s="5"/>
    </row>
    <row r="161" spans="8:8">
      <c r="H161" s="5"/>
    </row>
    <row r="162" spans="8:8">
      <c r="H162" s="5"/>
    </row>
    <row r="163" spans="8:8">
      <c r="H163" s="5"/>
    </row>
    <row r="164" spans="8:8">
      <c r="H164" s="5"/>
    </row>
    <row r="165" spans="8:8">
      <c r="H165" s="5"/>
    </row>
    <row r="166" spans="8:8">
      <c r="H166" s="5"/>
    </row>
    <row r="167" spans="8:8">
      <c r="H167" s="5"/>
    </row>
    <row r="168" spans="8:8">
      <c r="H168" s="5"/>
    </row>
    <row r="169" spans="8:8">
      <c r="H169" s="5"/>
    </row>
    <row r="170" spans="8:8">
      <c r="H170" s="5"/>
    </row>
    <row r="171" spans="8:8">
      <c r="H171" s="5"/>
    </row>
    <row r="172" spans="8:8">
      <c r="H172" s="5"/>
    </row>
    <row r="173" spans="8:8">
      <c r="H173" s="5"/>
    </row>
    <row r="174" spans="8:8">
      <c r="H174" s="5"/>
    </row>
    <row r="175" spans="8:8">
      <c r="H175" s="5"/>
    </row>
    <row r="176" spans="8:8">
      <c r="H176" s="5"/>
    </row>
    <row r="177" spans="8:8">
      <c r="H177" s="5"/>
    </row>
    <row r="178" spans="8:8">
      <c r="H178" s="5"/>
    </row>
    <row r="179" spans="8:8">
      <c r="H179" s="5"/>
    </row>
    <row r="180" spans="8:8">
      <c r="H180" s="5"/>
    </row>
    <row r="181" spans="8:8">
      <c r="H181" s="5"/>
    </row>
    <row r="182" spans="8:8">
      <c r="H182" s="5"/>
    </row>
    <row r="183" spans="8:8">
      <c r="H183" s="5"/>
    </row>
    <row r="184" spans="8:8">
      <c r="H184" s="5"/>
    </row>
    <row r="185" spans="8:8">
      <c r="H185" s="5"/>
    </row>
    <row r="186" spans="8:8">
      <c r="H186" s="5"/>
    </row>
    <row r="187" spans="8:8">
      <c r="H187" s="5"/>
    </row>
    <row r="188" spans="8:8">
      <c r="H188" s="5"/>
    </row>
    <row r="189" spans="8:8">
      <c r="H189" s="5"/>
    </row>
    <row r="190" spans="8:8">
      <c r="H190" s="5"/>
    </row>
    <row r="191" spans="8:8">
      <c r="H191" s="5"/>
    </row>
    <row r="192" spans="8:8">
      <c r="H192" s="5"/>
    </row>
    <row r="193" spans="8:8">
      <c r="H193" s="5"/>
    </row>
    <row r="194" spans="8:8">
      <c r="H194" s="5"/>
    </row>
    <row r="195" spans="8:8">
      <c r="H195" s="5"/>
    </row>
    <row r="196" spans="8:8">
      <c r="H196" s="5"/>
    </row>
    <row r="197" spans="8:8">
      <c r="H197" s="5"/>
    </row>
    <row r="198" spans="8:8">
      <c r="H198" s="5"/>
    </row>
    <row r="199" spans="8:8">
      <c r="H199" s="5"/>
    </row>
    <row r="200" spans="8:8">
      <c r="H200" s="5"/>
    </row>
    <row r="201" spans="8:8">
      <c r="H201" s="5"/>
    </row>
    <row r="202" spans="8:8">
      <c r="H202" s="5"/>
    </row>
    <row r="203" spans="8:8">
      <c r="H203" s="5"/>
    </row>
    <row r="204" spans="8:8">
      <c r="H204" s="5"/>
    </row>
    <row r="205" spans="8:8">
      <c r="H205" s="5"/>
    </row>
    <row r="206" spans="8:8">
      <c r="H206" s="5"/>
    </row>
  </sheetData>
  <mergeCells count="13">
    <mergeCell ref="U12:U14"/>
    <mergeCell ref="C14:J14"/>
    <mergeCell ref="M14:S14"/>
    <mergeCell ref="E3:F3"/>
    <mergeCell ref="E4:F4"/>
    <mergeCell ref="B6:U8"/>
    <mergeCell ref="B10:C10"/>
    <mergeCell ref="B11:B12"/>
    <mergeCell ref="C11:J11"/>
    <mergeCell ref="M11:S11"/>
    <mergeCell ref="K12:K14"/>
    <mergeCell ref="L12:L14"/>
    <mergeCell ref="T12:T14"/>
  </mergeCells>
  <pageMargins left="0.7" right="0.7" top="0.75" bottom="0.75" header="0.3" footer="0.3"/>
  <pageSetup paperSize="9" orientation="portrait" r:id="rId1"/>
  <customProperties>
    <customPr name="OrphanNamesChecked" r:id="rId2"/>
  </customProperties>
  <drawing r:id="rId3"/>
  <legacy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2E59-1808-4210-8F7A-BD9877B385CE}">
  <dimension ref="A1:U23"/>
  <sheetViews>
    <sheetView topLeftCell="A6" workbookViewId="0">
      <selection activeCell="F16" sqref="F16"/>
    </sheetView>
  </sheetViews>
  <sheetFormatPr defaultColWidth="11.5703125" defaultRowHeight="15"/>
  <cols>
    <col min="1" max="1" width="11.5703125" style="13"/>
    <col min="2" max="2" width="61.7109375" style="13" customWidth="1"/>
    <col min="3" max="3" width="11.5703125" style="13"/>
    <col min="4" max="4" width="30.28515625" style="13" customWidth="1"/>
    <col min="5" max="5" width="30.5703125" style="13" customWidth="1"/>
    <col min="6" max="6" width="24" style="227" bestFit="1" customWidth="1"/>
    <col min="7" max="16384" width="11.5703125" style="13"/>
  </cols>
  <sheetData>
    <row r="1" spans="1:21">
      <c r="A1" s="24"/>
      <c r="B1" s="24"/>
      <c r="C1" s="24"/>
      <c r="D1" s="24"/>
      <c r="E1" s="24"/>
      <c r="F1" s="187"/>
      <c r="G1" s="24"/>
      <c r="H1" s="24"/>
      <c r="L1" s="237"/>
    </row>
    <row r="2" spans="1:21">
      <c r="A2" s="24"/>
      <c r="B2" s="24"/>
      <c r="C2" s="24"/>
      <c r="D2" s="24"/>
      <c r="E2" s="24"/>
      <c r="F2" s="187"/>
      <c r="G2" s="24"/>
      <c r="H2" s="24"/>
      <c r="L2" s="237"/>
    </row>
    <row r="3" spans="1:21">
      <c r="A3" s="24"/>
      <c r="B3" s="26"/>
      <c r="C3" s="24"/>
      <c r="D3" s="148" t="s">
        <v>93</v>
      </c>
      <c r="E3" s="428" t="s">
        <v>249</v>
      </c>
      <c r="F3" s="428"/>
      <c r="G3" s="24"/>
      <c r="H3" s="24"/>
      <c r="L3" s="237"/>
    </row>
    <row r="4" spans="1:21">
      <c r="A4" s="24"/>
      <c r="B4" s="24"/>
      <c r="C4" s="30"/>
      <c r="D4" s="149" t="s">
        <v>95</v>
      </c>
      <c r="E4" s="428" t="s">
        <v>250</v>
      </c>
      <c r="F4" s="428"/>
      <c r="G4" s="24"/>
      <c r="H4" s="24"/>
      <c r="L4" s="237"/>
    </row>
    <row r="5" spans="1:21">
      <c r="A5" s="24"/>
      <c r="B5" s="24"/>
      <c r="C5" s="24"/>
      <c r="D5" s="32"/>
      <c r="E5" s="24"/>
      <c r="F5" s="187"/>
      <c r="G5" s="24"/>
      <c r="H5" s="24"/>
      <c r="L5" s="237"/>
    </row>
    <row r="6" spans="1:21" s="1" customFormat="1" ht="14.65" customHeight="1">
      <c r="A6" s="36"/>
      <c r="B6" s="429" t="s">
        <v>210</v>
      </c>
      <c r="C6" s="429"/>
      <c r="D6" s="429"/>
      <c r="E6" s="429"/>
      <c r="F6" s="429"/>
      <c r="G6" s="190"/>
      <c r="H6" s="190"/>
      <c r="I6" s="190"/>
      <c r="J6" s="190"/>
      <c r="K6" s="190"/>
      <c r="L6" s="190"/>
      <c r="M6" s="190"/>
      <c r="N6" s="190"/>
      <c r="O6" s="190"/>
      <c r="P6" s="190"/>
      <c r="Q6" s="190"/>
      <c r="R6" s="190"/>
      <c r="S6" s="190"/>
      <c r="T6" s="190"/>
      <c r="U6" s="190"/>
    </row>
    <row r="7" spans="1:21" s="1" customFormat="1" ht="14.65" customHeight="1">
      <c r="A7" s="36"/>
      <c r="B7" s="416"/>
      <c r="C7" s="416"/>
      <c r="D7" s="416"/>
      <c r="E7" s="416"/>
      <c r="F7" s="416"/>
      <c r="G7" s="190"/>
      <c r="H7" s="190"/>
      <c r="I7" s="190"/>
      <c r="J7" s="190"/>
      <c r="K7" s="190"/>
      <c r="L7" s="190"/>
      <c r="M7" s="190"/>
      <c r="N7" s="190"/>
      <c r="O7" s="190"/>
      <c r="P7" s="190"/>
      <c r="Q7" s="190"/>
      <c r="R7" s="190"/>
      <c r="S7" s="190"/>
      <c r="T7" s="190"/>
      <c r="U7" s="190"/>
    </row>
    <row r="8" spans="1:21" s="1" customFormat="1" ht="14.65" customHeight="1">
      <c r="A8" s="36"/>
      <c r="B8" s="416"/>
      <c r="C8" s="416"/>
      <c r="D8" s="416"/>
      <c r="E8" s="416"/>
      <c r="F8" s="416"/>
      <c r="G8" s="190"/>
      <c r="H8" s="190"/>
      <c r="I8" s="190"/>
      <c r="J8" s="190"/>
      <c r="K8" s="190"/>
      <c r="L8" s="190"/>
      <c r="M8" s="190"/>
      <c r="N8" s="190"/>
      <c r="O8" s="190"/>
      <c r="P8" s="190"/>
      <c r="Q8" s="190"/>
      <c r="R8" s="190"/>
      <c r="S8" s="190"/>
      <c r="T8" s="190"/>
      <c r="U8" s="190"/>
    </row>
    <row r="9" spans="1:21" s="3" customFormat="1" ht="12.75">
      <c r="B9" s="430" t="s">
        <v>98</v>
      </c>
      <c r="C9" s="430"/>
      <c r="D9" s="154"/>
      <c r="E9" s="4"/>
      <c r="F9" s="238"/>
      <c r="G9" s="239"/>
      <c r="H9" s="240"/>
      <c r="K9" s="241"/>
      <c r="L9" s="242"/>
    </row>
    <row r="10" spans="1:21">
      <c r="B10" s="443" t="s">
        <v>211</v>
      </c>
      <c r="C10" s="445" t="s">
        <v>212</v>
      </c>
      <c r="D10" s="447" t="s">
        <v>213</v>
      </c>
      <c r="E10" s="443" t="s">
        <v>214</v>
      </c>
      <c r="F10" s="443" t="s">
        <v>215</v>
      </c>
    </row>
    <row r="11" spans="1:21">
      <c r="B11" s="444"/>
      <c r="C11" s="446"/>
      <c r="D11" s="448"/>
      <c r="E11" s="444"/>
      <c r="F11" s="444"/>
    </row>
    <row r="12" spans="1:21">
      <c r="B12" s="243"/>
      <c r="C12" s="244"/>
      <c r="D12" s="245" t="s">
        <v>216</v>
      </c>
      <c r="E12" s="246"/>
      <c r="F12" s="247"/>
      <c r="I12" s="13">
        <v>1500</v>
      </c>
      <c r="J12" s="13">
        <v>780</v>
      </c>
      <c r="K12" s="13">
        <v>520</v>
      </c>
    </row>
    <row r="13" spans="1:21" ht="36">
      <c r="B13" s="248" t="str">
        <f t="shared" ref="B13:B19" si="0">IF(LEN(C13)=1,$B$11&amp;"00"&amp;C13,IF(LEN(C13)=2,$B$11&amp;"0"&amp;C13,$B$11&amp;C13))</f>
        <v>001</v>
      </c>
      <c r="C13" s="248">
        <v>1</v>
      </c>
      <c r="D13" s="249" t="s">
        <v>217</v>
      </c>
      <c r="E13" s="250" t="s">
        <v>218</v>
      </c>
      <c r="F13" s="212">
        <v>19</v>
      </c>
      <c r="I13" s="302">
        <f>11/SUM($F$13:F19)</f>
        <v>0.20754716981132076</v>
      </c>
      <c r="J13" s="302">
        <f>11/SUM($F$13:G19)</f>
        <v>0.20754716981132076</v>
      </c>
      <c r="K13" s="302">
        <f>31/SUM($F$13:H19)</f>
        <v>0.58490566037735847</v>
      </c>
    </row>
    <row r="14" spans="1:21" ht="36">
      <c r="B14" s="248" t="str">
        <f t="shared" si="0"/>
        <v>002</v>
      </c>
      <c r="C14" s="248">
        <v>2</v>
      </c>
      <c r="D14" s="249" t="s">
        <v>219</v>
      </c>
      <c r="E14" s="250" t="s">
        <v>220</v>
      </c>
      <c r="F14" s="212">
        <v>15</v>
      </c>
    </row>
    <row r="15" spans="1:21" ht="36">
      <c r="B15" s="248" t="str">
        <f t="shared" si="0"/>
        <v>003</v>
      </c>
      <c r="C15" s="248">
        <v>3</v>
      </c>
      <c r="D15" s="249" t="s">
        <v>221</v>
      </c>
      <c r="E15" s="250" t="s">
        <v>222</v>
      </c>
      <c r="F15" s="212">
        <v>0</v>
      </c>
      <c r="I15" s="303">
        <f>I13*65</f>
        <v>13.490566037735849</v>
      </c>
      <c r="J15" s="303">
        <f t="shared" ref="J15:K15" si="1">J13*65</f>
        <v>13.490566037735849</v>
      </c>
      <c r="K15" s="303">
        <f t="shared" si="1"/>
        <v>38.018867924528301</v>
      </c>
    </row>
    <row r="16" spans="1:21">
      <c r="B16" s="248" t="str">
        <f t="shared" si="0"/>
        <v>004</v>
      </c>
      <c r="C16" s="248">
        <v>4</v>
      </c>
      <c r="D16" s="249" t="s">
        <v>223</v>
      </c>
      <c r="E16" s="250" t="s">
        <v>224</v>
      </c>
      <c r="F16" s="212">
        <v>2</v>
      </c>
    </row>
    <row r="17" spans="2:7">
      <c r="B17" s="248" t="str">
        <f t="shared" si="0"/>
        <v>005</v>
      </c>
      <c r="C17" s="248">
        <v>5</v>
      </c>
      <c r="D17" s="249" t="s">
        <v>225</v>
      </c>
      <c r="E17" s="250" t="s">
        <v>226</v>
      </c>
      <c r="F17" s="212">
        <v>2</v>
      </c>
    </row>
    <row r="18" spans="2:7" ht="24">
      <c r="B18" s="248" t="str">
        <f t="shared" si="0"/>
        <v>006</v>
      </c>
      <c r="C18" s="248">
        <f>C17+1</f>
        <v>6</v>
      </c>
      <c r="D18" s="251" t="s">
        <v>227</v>
      </c>
      <c r="E18" s="250" t="s">
        <v>228</v>
      </c>
      <c r="F18" s="212">
        <v>15</v>
      </c>
    </row>
    <row r="19" spans="2:7" ht="24">
      <c r="B19" s="248" t="str">
        <f t="shared" si="0"/>
        <v>007</v>
      </c>
      <c r="C19" s="248">
        <f xml:space="preserve"> C18 + 1</f>
        <v>7</v>
      </c>
      <c r="D19" s="249" t="s">
        <v>229</v>
      </c>
      <c r="E19" s="250" t="s">
        <v>230</v>
      </c>
      <c r="F19" s="212">
        <v>0</v>
      </c>
    </row>
    <row r="20" spans="2:7" ht="24">
      <c r="B20" s="243"/>
      <c r="C20" s="244"/>
      <c r="D20" s="245" t="s">
        <v>233</v>
      </c>
      <c r="E20" s="246"/>
      <c r="F20" s="388"/>
    </row>
    <row r="21" spans="2:7" ht="24">
      <c r="B21" s="248" t="str">
        <f>IF(LEN(C21)=1,$B$11&amp;"00"&amp;C21,IF(LEN(C21)=2,$B$11&amp;"0"&amp;C21,$B$11&amp;C21))</f>
        <v>008</v>
      </c>
      <c r="C21" s="248">
        <f>C19+1</f>
        <v>8</v>
      </c>
      <c r="D21" s="252" t="s">
        <v>234</v>
      </c>
      <c r="E21" s="250" t="s">
        <v>235</v>
      </c>
      <c r="F21" s="287">
        <v>27</v>
      </c>
      <c r="G21" s="13" t="s">
        <v>272</v>
      </c>
    </row>
    <row r="22" spans="2:7" ht="36">
      <c r="B22" s="248" t="str">
        <f>IF(LEN(C22)=1,$B$11&amp;"00"&amp;C22,IF(LEN(C22)=2,$B$11&amp;"0"&amp;C22,$B$11&amp;C22))</f>
        <v>009</v>
      </c>
      <c r="C22" s="248">
        <f>C21+1</f>
        <v>9</v>
      </c>
      <c r="D22" s="252" t="s">
        <v>236</v>
      </c>
      <c r="E22" s="250" t="s">
        <v>237</v>
      </c>
      <c r="F22" s="287">
        <v>15</v>
      </c>
      <c r="G22" s="13" t="s">
        <v>272</v>
      </c>
    </row>
    <row r="23" spans="2:7" ht="48">
      <c r="B23" s="248" t="str">
        <f>IF(LEN(C23)=1,$B$11&amp;"00"&amp;C23,IF(LEN(C23)=2,$B$11&amp;"0"&amp;C23,$B$11&amp;C23))</f>
        <v>010</v>
      </c>
      <c r="C23" s="248">
        <f>C22+1</f>
        <v>10</v>
      </c>
      <c r="D23" s="252" t="s">
        <v>238</v>
      </c>
      <c r="E23" s="250" t="s">
        <v>239</v>
      </c>
      <c r="F23" s="287">
        <v>23</v>
      </c>
      <c r="G23" s="13" t="s">
        <v>272</v>
      </c>
    </row>
  </sheetData>
  <mergeCells count="9">
    <mergeCell ref="E3:F3"/>
    <mergeCell ref="E4:F4"/>
    <mergeCell ref="B6:F8"/>
    <mergeCell ref="B9:C9"/>
    <mergeCell ref="B10:B11"/>
    <mergeCell ref="C10:C11"/>
    <mergeCell ref="D10:D11"/>
    <mergeCell ref="E10:E11"/>
    <mergeCell ref="F10:F11"/>
  </mergeCells>
  <dataValidations count="1">
    <dataValidation allowBlank="1" showInputMessage="1" showErrorMessage="1" errorTitle="Erreur de saise" error="Veuillez saisir : _x000a_O : Oui_x000a_N : Non" sqref="E10" xr:uid="{26C1B89C-429F-42CF-ACB4-7FF0DB8C6458}"/>
  </dataValidations>
  <pageMargins left="0.7" right="0.7" top="0.75" bottom="0.75" header="0.3" footer="0.3"/>
  <customProperties>
    <customPr name="OrphanNamesChecked" r:id="rId1"/>
  </customPropertie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6A86-BECC-4D64-98E5-DB2CDBBDFB28}">
  <dimension ref="A1:U23"/>
  <sheetViews>
    <sheetView topLeftCell="B9" zoomScale="115" zoomScaleNormal="115" workbookViewId="0">
      <selection activeCell="C14" sqref="C14"/>
    </sheetView>
  </sheetViews>
  <sheetFormatPr defaultColWidth="11.5703125" defaultRowHeight="12"/>
  <cols>
    <col min="1" max="1" width="11.5703125" style="232"/>
    <col min="2" max="2" width="24.7109375" style="232" customWidth="1"/>
    <col min="3" max="3" width="12.42578125" style="232" bestFit="1" customWidth="1"/>
    <col min="4" max="4" width="15.5703125" style="232" bestFit="1" customWidth="1"/>
    <col min="5" max="7" width="12.42578125" style="232" bestFit="1" customWidth="1"/>
    <col min="8" max="12" width="12.140625" style="232" bestFit="1" customWidth="1"/>
    <col min="13" max="13" width="13.42578125" style="236" bestFit="1" customWidth="1"/>
    <col min="14" max="16384" width="11.5703125" style="232"/>
  </cols>
  <sheetData>
    <row r="1" spans="1:21" s="13" customFormat="1" ht="15">
      <c r="A1" s="24"/>
      <c r="B1" s="24"/>
      <c r="C1" s="24"/>
      <c r="D1" s="24"/>
      <c r="E1" s="24"/>
      <c r="F1" s="24"/>
      <c r="G1" s="24"/>
      <c r="H1" s="24"/>
      <c r="M1" s="227"/>
    </row>
    <row r="2" spans="1:21" s="13" customFormat="1" ht="15">
      <c r="A2" s="24"/>
      <c r="B2" s="24"/>
      <c r="C2" s="24"/>
      <c r="D2" s="24"/>
      <c r="E2" s="24"/>
      <c r="F2" s="24"/>
      <c r="G2" s="24"/>
      <c r="H2" s="24"/>
      <c r="M2" s="227"/>
    </row>
    <row r="3" spans="1:21" s="13" customFormat="1" ht="30">
      <c r="A3" s="24"/>
      <c r="B3" s="26"/>
      <c r="C3" s="24"/>
      <c r="D3" s="148" t="s">
        <v>93</v>
      </c>
      <c r="E3" s="428" t="s">
        <v>249</v>
      </c>
      <c r="F3" s="428"/>
      <c r="G3" s="188"/>
      <c r="H3" s="24"/>
      <c r="M3" s="227"/>
    </row>
    <row r="4" spans="1:21" s="13" customFormat="1" ht="27.6" customHeight="1">
      <c r="A4" s="24"/>
      <c r="B4" s="24"/>
      <c r="C4" s="30"/>
      <c r="D4" s="149" t="s">
        <v>95</v>
      </c>
      <c r="E4" s="428" t="s">
        <v>250</v>
      </c>
      <c r="F4" s="428"/>
      <c r="G4" s="189"/>
      <c r="H4" s="24"/>
      <c r="M4" s="227"/>
    </row>
    <row r="5" spans="1:21" s="13" customFormat="1" ht="15">
      <c r="A5" s="24"/>
      <c r="B5" s="24"/>
      <c r="C5" s="24"/>
      <c r="D5" s="228"/>
      <c r="E5" s="24"/>
      <c r="F5" s="229"/>
      <c r="G5" s="24"/>
      <c r="H5" s="24"/>
      <c r="M5" s="227"/>
    </row>
    <row r="6" spans="1:21" s="1" customFormat="1" ht="14.65" customHeight="1">
      <c r="A6" s="36"/>
      <c r="B6" s="416" t="s">
        <v>240</v>
      </c>
      <c r="C6" s="416"/>
      <c r="D6" s="416"/>
      <c r="E6" s="416"/>
      <c r="F6" s="416"/>
      <c r="G6" s="416"/>
      <c r="H6" s="416"/>
      <c r="I6" s="416"/>
      <c r="J6" s="416"/>
      <c r="K6" s="416"/>
      <c r="L6" s="416"/>
      <c r="M6" s="433"/>
      <c r="N6" s="190"/>
      <c r="O6" s="190"/>
      <c r="P6" s="190"/>
      <c r="Q6" s="190"/>
      <c r="R6" s="190"/>
      <c r="S6" s="190"/>
      <c r="T6" s="190"/>
      <c r="U6" s="190"/>
    </row>
    <row r="7" spans="1:21" s="1" customFormat="1" ht="14.65" customHeight="1">
      <c r="A7" s="36"/>
      <c r="B7" s="416"/>
      <c r="C7" s="416"/>
      <c r="D7" s="416"/>
      <c r="E7" s="416"/>
      <c r="F7" s="416"/>
      <c r="G7" s="416"/>
      <c r="H7" s="416"/>
      <c r="I7" s="416"/>
      <c r="J7" s="416"/>
      <c r="K7" s="416"/>
      <c r="L7" s="416"/>
      <c r="M7" s="433"/>
      <c r="N7" s="190"/>
      <c r="O7" s="190"/>
      <c r="P7" s="190"/>
      <c r="Q7" s="190"/>
      <c r="R7" s="190"/>
      <c r="S7" s="190"/>
      <c r="T7" s="190"/>
      <c r="U7" s="190"/>
    </row>
    <row r="8" spans="1:21" s="1" customFormat="1" ht="14.65" customHeight="1">
      <c r="A8" s="36"/>
      <c r="B8" s="416"/>
      <c r="C8" s="416"/>
      <c r="D8" s="416"/>
      <c r="E8" s="416"/>
      <c r="F8" s="416"/>
      <c r="G8" s="416"/>
      <c r="H8" s="416"/>
      <c r="I8" s="416"/>
      <c r="J8" s="416"/>
      <c r="K8" s="416"/>
      <c r="L8" s="416"/>
      <c r="M8" s="433"/>
      <c r="N8" s="190"/>
      <c r="O8" s="190"/>
      <c r="P8" s="190"/>
      <c r="Q8" s="190"/>
      <c r="R8" s="190"/>
      <c r="S8" s="190"/>
      <c r="T8" s="190"/>
      <c r="U8" s="190"/>
    </row>
    <row r="9" spans="1:21" s="1" customFormat="1" ht="14.65" customHeight="1">
      <c r="A9" s="36"/>
      <c r="B9" s="230"/>
      <c r="C9" s="230"/>
      <c r="D9" s="230"/>
      <c r="E9" s="230"/>
      <c r="F9" s="230"/>
      <c r="G9" s="230"/>
      <c r="H9" s="230"/>
      <c r="I9" s="190"/>
      <c r="J9" s="190"/>
      <c r="K9" s="190"/>
      <c r="L9" s="190"/>
      <c r="M9" s="231"/>
      <c r="N9" s="190"/>
      <c r="O9" s="190"/>
      <c r="P9" s="190"/>
      <c r="Q9" s="190"/>
      <c r="R9" s="190"/>
      <c r="S9" s="190"/>
      <c r="T9" s="190"/>
      <c r="U9" s="190"/>
    </row>
    <row r="10" spans="1:21" ht="26.45" customHeight="1">
      <c r="B10" s="449" t="s">
        <v>23</v>
      </c>
      <c r="C10" s="449"/>
      <c r="D10" s="449"/>
      <c r="E10" s="449"/>
      <c r="F10" s="449"/>
      <c r="G10" s="449"/>
      <c r="H10" s="449"/>
      <c r="I10" s="449"/>
      <c r="J10" s="449"/>
      <c r="K10" s="449"/>
      <c r="L10" s="449"/>
      <c r="M10" s="450"/>
    </row>
    <row r="11" spans="1:21" ht="25.5">
      <c r="B11" s="233" t="s">
        <v>23</v>
      </c>
      <c r="C11" s="221" t="s">
        <v>25</v>
      </c>
      <c r="D11" s="221" t="s">
        <v>26</v>
      </c>
      <c r="E11" s="221" t="s">
        <v>27</v>
      </c>
      <c r="F11" s="221" t="s">
        <v>28</v>
      </c>
      <c r="G11" s="221" t="s">
        <v>29</v>
      </c>
      <c r="H11" s="221" t="s">
        <v>30</v>
      </c>
      <c r="I11" s="221" t="s">
        <v>31</v>
      </c>
      <c r="J11" s="221" t="s">
        <v>32</v>
      </c>
      <c r="K11" s="221" t="s">
        <v>33</v>
      </c>
      <c r="L11" s="221" t="s">
        <v>34</v>
      </c>
      <c r="M11" s="260" t="s">
        <v>241</v>
      </c>
    </row>
    <row r="12" spans="1:21">
      <c r="B12" s="234" t="s">
        <v>45</v>
      </c>
      <c r="C12" s="325">
        <f>'BUILD (4)'!L57+'BUILD (4)'!C56</f>
        <v>786198.30188679241</v>
      </c>
      <c r="D12" s="235">
        <v>279995</v>
      </c>
      <c r="E12" s="235">
        <v>0</v>
      </c>
      <c r="F12" s="235">
        <v>0</v>
      </c>
      <c r="G12" s="235">
        <v>0</v>
      </c>
      <c r="H12" s="235">
        <v>0</v>
      </c>
      <c r="I12" s="235">
        <v>0</v>
      </c>
      <c r="J12" s="235">
        <v>0</v>
      </c>
      <c r="K12" s="269">
        <v>0</v>
      </c>
      <c r="L12" s="235">
        <v>0</v>
      </c>
      <c r="M12" s="272">
        <f>SUM(C12:L12)</f>
        <v>1066193.3018867923</v>
      </c>
    </row>
    <row r="13" spans="1:21">
      <c r="B13" s="234" t="s">
        <v>242</v>
      </c>
      <c r="C13" s="235">
        <v>136745</v>
      </c>
      <c r="D13" s="235">
        <f>161090+'RUN (4)'!G36</f>
        <v>218340</v>
      </c>
      <c r="E13" s="235">
        <f>161090+'RUN (4)'!G36</f>
        <v>218340</v>
      </c>
      <c r="F13" s="235">
        <f>E13</f>
        <v>218340</v>
      </c>
      <c r="G13" s="235">
        <f>F13</f>
        <v>218340</v>
      </c>
      <c r="H13" s="235">
        <f t="shared" ref="H13:L13" si="0">G13</f>
        <v>218340</v>
      </c>
      <c r="I13" s="235">
        <f t="shared" si="0"/>
        <v>218340</v>
      </c>
      <c r="J13" s="235">
        <f t="shared" si="0"/>
        <v>218340</v>
      </c>
      <c r="K13" s="235">
        <f t="shared" si="0"/>
        <v>218340</v>
      </c>
      <c r="L13" s="235">
        <f t="shared" si="0"/>
        <v>218340</v>
      </c>
      <c r="M13" s="272">
        <f>SUM(C13:L13)</f>
        <v>2101805</v>
      </c>
    </row>
    <row r="14" spans="1:21">
      <c r="C14" s="326">
        <f>C13-92787</f>
        <v>43958</v>
      </c>
    </row>
    <row r="19" spans="2:3">
      <c r="C19" s="326">
        <f>D13-C13</f>
        <v>81595</v>
      </c>
    </row>
    <row r="21" spans="2:3">
      <c r="B21" s="328" t="s">
        <v>273</v>
      </c>
      <c r="C21" s="232" t="s">
        <v>274</v>
      </c>
    </row>
    <row r="22" spans="2:3">
      <c r="C22" s="232" t="s">
        <v>275</v>
      </c>
    </row>
    <row r="23" spans="2:3">
      <c r="C23" s="232" t="s">
        <v>276</v>
      </c>
    </row>
  </sheetData>
  <mergeCells count="4">
    <mergeCell ref="E3:F3"/>
    <mergeCell ref="E4:F4"/>
    <mergeCell ref="B10:M10"/>
    <mergeCell ref="B6:M8"/>
  </mergeCells>
  <conditionalFormatting sqref="W20:W21">
    <cfRule type="cellIs" dxfId="0" priority="2" operator="equal">
      <formula>0</formula>
    </cfRule>
  </conditionalFormatting>
  <pageMargins left="0.7" right="0.7" top="0.75" bottom="0.75" header="0.3" footer="0.3"/>
  <customProperties>
    <customPr name="OrphanNamesChecked" r:id="rId1"/>
  </customProperties>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83DA-5D94-46C6-9BAE-5034EFD91007}">
  <dimension ref="E1"/>
  <sheetViews>
    <sheetView workbookViewId="0">
      <selection activeCell="U22" sqref="U22"/>
    </sheetView>
  </sheetViews>
  <sheetFormatPr defaultColWidth="10.5703125" defaultRowHeight="15"/>
  <cols>
    <col min="1" max="16384" width="10.5703125" style="174"/>
  </cols>
  <sheetData>
    <row r="1" spans="5:5">
      <c r="E1"/>
    </row>
  </sheetData>
  <pageMargins left="0.7" right="0.7" top="0.75" bottom="0.75" header="0.3" footer="0.3"/>
  <customProperties>
    <customPr name="OrphanNamesChecked" r:id="rId1"/>
  </customPropertie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D5384-890A-4165-B603-A59D238AF283}">
  <dimension ref="A1:U72"/>
  <sheetViews>
    <sheetView topLeftCell="A4" workbookViewId="0">
      <selection activeCell="C19" sqref="C19"/>
    </sheetView>
  </sheetViews>
  <sheetFormatPr defaultColWidth="10.7109375" defaultRowHeight="14.25"/>
  <cols>
    <col min="1" max="1" width="31.42578125" style="34" customWidth="1"/>
    <col min="2" max="2" width="51" style="34" customWidth="1"/>
    <col min="3" max="3" width="23" style="186" bestFit="1" customWidth="1"/>
    <col min="4" max="4" width="13.5703125" style="34" bestFit="1" customWidth="1"/>
    <col min="5" max="16384" width="10.7109375" style="34"/>
  </cols>
  <sheetData>
    <row r="1" spans="1:21" hidden="1">
      <c r="C1" s="186" t="s">
        <v>245</v>
      </c>
    </row>
    <row r="2" spans="1:21" s="13" customFormat="1" ht="15">
      <c r="A2" s="24"/>
      <c r="B2" s="24"/>
      <c r="C2" s="187"/>
      <c r="D2" s="24"/>
      <c r="E2" s="24"/>
      <c r="F2" s="24"/>
      <c r="G2" s="24"/>
      <c r="H2" s="24"/>
    </row>
    <row r="3" spans="1:21" s="13" customFormat="1" ht="15">
      <c r="A3" s="24"/>
      <c r="B3" s="24"/>
      <c r="C3" s="187"/>
      <c r="D3" s="24"/>
      <c r="E3" s="24"/>
      <c r="F3" s="24"/>
      <c r="G3" s="24"/>
      <c r="H3" s="24"/>
    </row>
    <row r="4" spans="1:21" s="13" customFormat="1" ht="15">
      <c r="A4" s="24"/>
      <c r="B4" s="148" t="s">
        <v>93</v>
      </c>
      <c r="C4" s="205" t="s">
        <v>249</v>
      </c>
      <c r="D4" s="24"/>
      <c r="G4" s="188"/>
      <c r="H4" s="24"/>
    </row>
    <row r="5" spans="1:21" s="13" customFormat="1" ht="30">
      <c r="A5" s="24"/>
      <c r="B5" s="149" t="s">
        <v>95</v>
      </c>
      <c r="C5" s="205" t="s">
        <v>250</v>
      </c>
      <c r="D5" s="24"/>
      <c r="G5" s="189"/>
      <c r="H5" s="24"/>
    </row>
    <row r="6" spans="1:21" s="13" customFormat="1" ht="15">
      <c r="A6" s="24"/>
      <c r="B6" s="24"/>
      <c r="C6" s="187"/>
      <c r="D6" s="24"/>
      <c r="E6" s="24"/>
      <c r="G6" s="24"/>
      <c r="H6" s="24"/>
    </row>
    <row r="7" spans="1:21" s="1" customFormat="1" ht="14.65" customHeight="1">
      <c r="A7" s="416" t="s">
        <v>43</v>
      </c>
      <c r="B7" s="416"/>
      <c r="C7" s="416"/>
      <c r="D7" s="190"/>
      <c r="E7" s="190"/>
      <c r="F7" s="190"/>
      <c r="G7" s="190"/>
      <c r="H7" s="190"/>
      <c r="I7" s="190"/>
      <c r="J7" s="190"/>
      <c r="K7" s="190"/>
      <c r="L7" s="190"/>
      <c r="M7" s="190"/>
      <c r="N7" s="190"/>
      <c r="O7" s="190"/>
      <c r="P7" s="190"/>
      <c r="Q7" s="190"/>
      <c r="R7" s="190"/>
      <c r="S7" s="190"/>
      <c r="T7" s="190"/>
      <c r="U7" s="190"/>
    </row>
    <row r="8" spans="1:21" s="1" customFormat="1" ht="14.65" customHeight="1">
      <c r="A8" s="416"/>
      <c r="B8" s="416"/>
      <c r="C8" s="416"/>
      <c r="D8" s="190"/>
      <c r="E8" s="190"/>
      <c r="F8" s="190"/>
      <c r="G8" s="190"/>
      <c r="H8" s="190"/>
      <c r="I8" s="190"/>
      <c r="J8" s="190"/>
      <c r="K8" s="190"/>
      <c r="L8" s="190"/>
      <c r="M8" s="190"/>
      <c r="N8" s="190"/>
      <c r="O8" s="190"/>
      <c r="P8" s="190"/>
      <c r="Q8" s="190"/>
      <c r="R8" s="190"/>
      <c r="S8" s="190"/>
      <c r="T8" s="190"/>
      <c r="U8" s="190"/>
    </row>
    <row r="9" spans="1:21" s="1" customFormat="1" ht="14.65" customHeight="1">
      <c r="A9" s="416"/>
      <c r="B9" s="416"/>
      <c r="C9" s="416"/>
      <c r="D9" s="190"/>
      <c r="E9" s="190"/>
      <c r="F9" s="190"/>
      <c r="G9" s="190"/>
      <c r="H9" s="190"/>
      <c r="I9" s="190"/>
      <c r="J9" s="190"/>
      <c r="K9" s="190"/>
      <c r="L9" s="190"/>
      <c r="M9" s="190"/>
      <c r="N9" s="190"/>
      <c r="O9" s="190"/>
      <c r="P9" s="190"/>
      <c r="Q9" s="190"/>
      <c r="R9" s="190"/>
      <c r="S9" s="190"/>
      <c r="T9" s="190"/>
      <c r="U9" s="190"/>
    </row>
    <row r="10" spans="1:21">
      <c r="C10" s="391" t="s">
        <v>246</v>
      </c>
      <c r="D10" s="191"/>
      <c r="E10" s="191"/>
      <c r="F10" s="191"/>
      <c r="G10" s="191"/>
      <c r="H10" s="191"/>
      <c r="I10" s="191"/>
      <c r="J10" s="191"/>
      <c r="K10" s="191"/>
      <c r="L10" s="191"/>
    </row>
    <row r="11" spans="1:21">
      <c r="A11" s="161" t="s">
        <v>44</v>
      </c>
      <c r="B11" s="162"/>
      <c r="C11" s="162"/>
      <c r="D11" s="191"/>
      <c r="E11" s="191"/>
      <c r="F11" s="191"/>
      <c r="G11" s="191"/>
      <c r="H11" s="191"/>
      <c r="I11" s="191"/>
      <c r="J11" s="191"/>
      <c r="K11" s="191"/>
      <c r="L11" s="191"/>
    </row>
    <row r="12" spans="1:21">
      <c r="A12" s="417" t="s">
        <v>11</v>
      </c>
      <c r="B12" s="417"/>
      <c r="C12" s="392">
        <f>C28+C40*3</f>
        <v>1721213.3018867923</v>
      </c>
    </row>
    <row r="13" spans="1:21">
      <c r="A13" s="417" t="s">
        <v>13</v>
      </c>
      <c r="B13" s="417"/>
      <c r="C13" s="392">
        <f>C28+C41</f>
        <v>2157893.3018867923</v>
      </c>
    </row>
    <row r="14" spans="1:21">
      <c r="A14" s="418" t="s">
        <v>15</v>
      </c>
      <c r="B14" s="418"/>
      <c r="C14" s="392">
        <f>C28+C41*2</f>
        <v>3249593.3018867923</v>
      </c>
    </row>
    <row r="15" spans="1:21">
      <c r="A15" s="419"/>
      <c r="B15" s="420"/>
      <c r="C15" s="192"/>
    </row>
    <row r="16" spans="1:21">
      <c r="A16" s="421" t="s">
        <v>45</v>
      </c>
      <c r="B16" s="194" t="s">
        <v>46</v>
      </c>
      <c r="C16" s="256">
        <f>'BUILD (4)'!L15</f>
        <v>146700</v>
      </c>
    </row>
    <row r="17" spans="1:4">
      <c r="A17" s="422"/>
      <c r="B17" s="194" t="s">
        <v>47</v>
      </c>
      <c r="C17" s="256">
        <f>'BUILD (4)'!L17</f>
        <v>5800</v>
      </c>
    </row>
    <row r="18" spans="1:4">
      <c r="A18" s="422"/>
      <c r="B18" s="194" t="s">
        <v>48</v>
      </c>
      <c r="C18" s="256">
        <f>'BUILD (4)'!L23</f>
        <v>114410</v>
      </c>
    </row>
    <row r="19" spans="1:4">
      <c r="A19" s="422"/>
      <c r="B19" s="194" t="s">
        <v>49</v>
      </c>
      <c r="C19" s="256">
        <f>'BUILD (4)'!L27</f>
        <v>246408.30188679244</v>
      </c>
    </row>
    <row r="20" spans="1:4">
      <c r="A20" s="422"/>
      <c r="B20" s="194" t="s">
        <v>50</v>
      </c>
      <c r="C20" s="256">
        <f>'BUILD (4)'!L34</f>
        <v>0</v>
      </c>
    </row>
    <row r="21" spans="1:4">
      <c r="A21" s="422"/>
      <c r="B21" s="194" t="s">
        <v>51</v>
      </c>
      <c r="C21" s="256">
        <f>'BUILD (4)'!L38</f>
        <v>84100</v>
      </c>
    </row>
    <row r="22" spans="1:4">
      <c r="A22" s="422"/>
      <c r="B22" s="194" t="s">
        <v>52</v>
      </c>
      <c r="C22" s="256">
        <f>'BUILD (4)'!L40</f>
        <v>0</v>
      </c>
    </row>
    <row r="23" spans="1:4">
      <c r="A23" s="422"/>
      <c r="B23" s="194" t="s">
        <v>53</v>
      </c>
      <c r="C23" s="256">
        <f>'BUILD (4)'!L43</f>
        <v>109680</v>
      </c>
    </row>
    <row r="24" spans="1:4">
      <c r="A24" s="422"/>
      <c r="B24" s="194" t="s">
        <v>54</v>
      </c>
      <c r="C24" s="256">
        <f>'BUILD (4)'!L46</f>
        <v>0</v>
      </c>
    </row>
    <row r="25" spans="1:4">
      <c r="A25" s="422"/>
      <c r="B25" s="194" t="s">
        <v>55</v>
      </c>
      <c r="C25" s="256">
        <f>'BUILD (4)'!L48</f>
        <v>0</v>
      </c>
    </row>
    <row r="26" spans="1:4">
      <c r="A26" s="422"/>
      <c r="B26" s="194" t="s">
        <v>247</v>
      </c>
      <c r="C26" s="256">
        <f>'BUILD (4)'!L50</f>
        <v>341095</v>
      </c>
    </row>
    <row r="27" spans="1:4">
      <c r="A27" s="422"/>
      <c r="B27" s="194" t="s">
        <v>57</v>
      </c>
      <c r="C27" s="281">
        <f>'BUILD (4)'!C56</f>
        <v>18000</v>
      </c>
    </row>
    <row r="28" spans="1:4">
      <c r="A28" s="422"/>
      <c r="B28" s="196" t="s">
        <v>58</v>
      </c>
      <c r="C28" s="257">
        <f>SUM(C16:C27)</f>
        <v>1066193.3018867923</v>
      </c>
      <c r="D28" s="393"/>
    </row>
    <row r="29" spans="1:4" ht="14.1" customHeight="1">
      <c r="A29" s="421" t="s">
        <v>59</v>
      </c>
      <c r="B29" s="198" t="s">
        <v>60</v>
      </c>
      <c r="C29" s="258">
        <f>SUM(C32:C35)</f>
        <v>161090</v>
      </c>
    </row>
    <row r="30" spans="1:4" ht="14.1" customHeight="1">
      <c r="A30" s="422"/>
      <c r="B30" s="194" t="s">
        <v>61</v>
      </c>
      <c r="C30" s="256">
        <f>C32/331</f>
        <v>348.43806646525678</v>
      </c>
    </row>
    <row r="31" spans="1:4">
      <c r="A31" s="422"/>
      <c r="B31" s="194" t="s">
        <v>62</v>
      </c>
      <c r="C31" s="256">
        <f>C29/12</f>
        <v>13424.166666666666</v>
      </c>
    </row>
    <row r="32" spans="1:4">
      <c r="A32" s="422"/>
      <c r="B32" s="194" t="s">
        <v>63</v>
      </c>
      <c r="C32" s="256">
        <f>'RUN (4)'!G20</f>
        <v>115333</v>
      </c>
    </row>
    <row r="33" spans="1:3">
      <c r="A33" s="422"/>
      <c r="B33" s="194" t="s">
        <v>64</v>
      </c>
      <c r="C33" s="256">
        <f>'RUN (4)'!G30</f>
        <v>45757</v>
      </c>
    </row>
    <row r="34" spans="1:3">
      <c r="A34" s="422"/>
      <c r="B34" s="194" t="s">
        <v>65</v>
      </c>
      <c r="C34" s="256">
        <f>'RUN (4)'!G38</f>
        <v>0</v>
      </c>
    </row>
    <row r="35" spans="1:3">
      <c r="A35" s="422"/>
      <c r="B35" s="194" t="s">
        <v>66</v>
      </c>
      <c r="C35" s="256">
        <f>'RUN (4)'!G42</f>
        <v>0</v>
      </c>
    </row>
    <row r="36" spans="1:3">
      <c r="A36" s="422"/>
      <c r="B36" s="198" t="s">
        <v>67</v>
      </c>
      <c r="C36" s="258">
        <f>SUM(C37:C39)</f>
        <v>57250</v>
      </c>
    </row>
    <row r="37" spans="1:3">
      <c r="A37" s="422"/>
      <c r="B37" s="194" t="s">
        <v>68</v>
      </c>
      <c r="C37" s="256">
        <f>'RUN (4)'!G32</f>
        <v>14400</v>
      </c>
    </row>
    <row r="38" spans="1:3">
      <c r="A38" s="422"/>
      <c r="B38" s="194" t="s">
        <v>69</v>
      </c>
      <c r="C38" s="256">
        <f>'RUN (4)'!G33</f>
        <v>42850</v>
      </c>
    </row>
    <row r="39" spans="1:3">
      <c r="A39" s="422"/>
      <c r="B39" s="194" t="s">
        <v>70</v>
      </c>
      <c r="C39" s="256"/>
    </row>
    <row r="40" spans="1:3">
      <c r="A40" s="422"/>
      <c r="B40" s="196" t="s">
        <v>71</v>
      </c>
      <c r="C40" s="257">
        <f>C36+C29</f>
        <v>218340</v>
      </c>
    </row>
    <row r="41" spans="1:3">
      <c r="A41" s="422"/>
      <c r="B41" s="196" t="s">
        <v>18</v>
      </c>
      <c r="C41" s="284">
        <f>C40*5</f>
        <v>1091700</v>
      </c>
    </row>
    <row r="42" spans="1:3">
      <c r="A42" s="200"/>
      <c r="B42" s="200"/>
      <c r="C42" s="259"/>
    </row>
    <row r="43" spans="1:3">
      <c r="A43" s="424" t="s">
        <v>72</v>
      </c>
      <c r="B43" s="424"/>
      <c r="C43" s="257">
        <f>'BUILD (4)'!K54</f>
        <v>1075.875</v>
      </c>
    </row>
    <row r="44" spans="1:3">
      <c r="A44" s="424" t="s">
        <v>73</v>
      </c>
      <c r="B44" s="424"/>
      <c r="C44" s="257">
        <f>IFERROR('BUILD (4)'!C62,0)</f>
        <v>974.27052574582774</v>
      </c>
    </row>
    <row r="45" spans="1:3">
      <c r="A45" s="425"/>
      <c r="B45" s="425"/>
      <c r="C45" s="259"/>
    </row>
    <row r="46" spans="1:3">
      <c r="A46" s="424" t="s">
        <v>74</v>
      </c>
      <c r="B46" s="424"/>
      <c r="C46" s="257">
        <f>'BUILD (4)'!T54</f>
        <v>480</v>
      </c>
    </row>
    <row r="47" spans="1:3">
      <c r="A47" s="202"/>
      <c r="B47" s="202"/>
      <c r="C47" s="203"/>
    </row>
    <row r="50" spans="1:1" ht="13.9" customHeight="1"/>
    <row r="51" spans="1:1" ht="13.9" customHeight="1"/>
    <row r="52" spans="1:1" ht="13.9" customHeight="1"/>
    <row r="59" spans="1:1" ht="15">
      <c r="A59" s="35"/>
    </row>
    <row r="64" spans="1:1" ht="15">
      <c r="A64" s="35"/>
    </row>
    <row r="68" spans="1:1" ht="15">
      <c r="A68" s="35"/>
    </row>
    <row r="72" spans="1:1" ht="15">
      <c r="A72" s="35"/>
    </row>
  </sheetData>
  <mergeCells count="11">
    <mergeCell ref="A46:B46"/>
    <mergeCell ref="A7:C9"/>
    <mergeCell ref="A13:B13"/>
    <mergeCell ref="A14:B14"/>
    <mergeCell ref="A15:B15"/>
    <mergeCell ref="A16:A28"/>
    <mergeCell ref="A29:A41"/>
    <mergeCell ref="A43:B43"/>
    <mergeCell ref="A44:B44"/>
    <mergeCell ref="A45:B45"/>
    <mergeCell ref="A12:B12"/>
  </mergeCells>
  <pageMargins left="0.7" right="0.7" top="0.75" bottom="0.75" header="0.3" footer="0.3"/>
  <pageSetup paperSize="9" orientation="portrait" r:id="rId1"/>
  <customProperties>
    <customPr name="OrphanNamesChecke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E8DC-5D8C-4CC1-B564-E2411FE3CBC5}">
  <dimension ref="B1:AX39"/>
  <sheetViews>
    <sheetView workbookViewId="0"/>
  </sheetViews>
  <sheetFormatPr defaultColWidth="9" defaultRowHeight="14.25"/>
  <cols>
    <col min="1" max="1" width="9" style="25"/>
    <col min="2" max="2" width="40.42578125" style="25" customWidth="1"/>
    <col min="3" max="3" width="9.28515625" style="25" customWidth="1"/>
    <col min="4" max="4" width="11.7109375" style="25" customWidth="1"/>
    <col min="5" max="5" width="21.7109375" style="25" customWidth="1"/>
    <col min="6" max="6" width="13.7109375" style="25" customWidth="1"/>
    <col min="7" max="7" width="11.7109375" style="25" customWidth="1"/>
    <col min="8" max="8" width="14" style="25" customWidth="1"/>
    <col min="9" max="9" width="19" style="25" customWidth="1"/>
    <col min="10" max="10" width="40.42578125" style="25" customWidth="1"/>
    <col min="11" max="11" width="9.28515625" style="25" customWidth="1"/>
    <col min="12" max="12" width="11.7109375" style="25" customWidth="1"/>
    <col min="13" max="13" width="21.7109375" style="25" customWidth="1"/>
    <col min="14" max="14" width="13.7109375" style="25" customWidth="1"/>
    <col min="15" max="15" width="11.7109375" style="25" customWidth="1"/>
    <col min="16" max="16" width="14" style="25" customWidth="1"/>
    <col min="17" max="17" width="19" style="25" customWidth="1"/>
    <col min="18" max="18" width="40.42578125" style="25" customWidth="1"/>
    <col min="19" max="19" width="9.28515625" style="25" customWidth="1"/>
    <col min="20" max="20" width="11.7109375" style="25" customWidth="1"/>
    <col min="21" max="21" width="21.7109375" style="25" customWidth="1"/>
    <col min="22" max="22" width="13.7109375" style="25" customWidth="1"/>
    <col min="23" max="23" width="11.7109375" style="25" customWidth="1"/>
    <col min="24" max="24" width="14" style="25" customWidth="1"/>
    <col min="25" max="25" width="19" style="25" customWidth="1"/>
    <col min="26" max="26" width="40.42578125" style="25" customWidth="1"/>
    <col min="27" max="27" width="9.28515625" style="25" customWidth="1"/>
    <col min="28" max="28" width="11.7109375" style="25" customWidth="1"/>
    <col min="29" max="29" width="21.7109375" style="25" customWidth="1"/>
    <col min="30" max="30" width="13.7109375" style="25" customWidth="1"/>
    <col min="31" max="31" width="11.7109375" style="25" customWidth="1"/>
    <col min="32" max="32" width="14" style="25" customWidth="1"/>
    <col min="33" max="33" width="19" style="25" customWidth="1"/>
    <col min="34" max="34" width="40.42578125" style="25" customWidth="1"/>
    <col min="35" max="35" width="9.28515625" style="25" customWidth="1"/>
    <col min="36" max="36" width="11.7109375" style="25" customWidth="1"/>
    <col min="37" max="37" width="21.7109375" style="25" customWidth="1"/>
    <col min="38" max="38" width="13.7109375" style="25" customWidth="1"/>
    <col min="39" max="39" width="11.7109375" style="25" customWidth="1"/>
    <col min="40" max="40" width="14" style="25" customWidth="1"/>
    <col min="41" max="41" width="19" style="25" customWidth="1"/>
    <col min="42" max="42" width="40.42578125" style="25" customWidth="1"/>
    <col min="43" max="43" width="9.28515625" style="25" customWidth="1"/>
    <col min="44" max="44" width="11.7109375" style="25" customWidth="1"/>
    <col min="45" max="45" width="21.7109375" style="25" customWidth="1"/>
    <col min="46" max="46" width="13.7109375" style="25" customWidth="1"/>
    <col min="47" max="47" width="11.7109375" style="25" customWidth="1"/>
    <col min="48" max="48" width="14" style="25" customWidth="1"/>
    <col min="49" max="49" width="19" style="25" customWidth="1"/>
    <col min="50" max="50" width="20.7109375" style="25" customWidth="1"/>
    <col min="51" max="16384" width="9" style="25"/>
  </cols>
  <sheetData>
    <row r="1" spans="2:50">
      <c r="B1" s="24"/>
      <c r="C1" s="24"/>
      <c r="D1" s="24"/>
      <c r="E1" s="24"/>
      <c r="F1" s="24"/>
      <c r="G1" s="24"/>
      <c r="H1" s="24"/>
      <c r="I1" s="24"/>
    </row>
    <row r="2" spans="2:50">
      <c r="B2" s="24"/>
      <c r="C2" s="24"/>
      <c r="D2" s="24"/>
      <c r="E2" s="24"/>
      <c r="F2" s="24"/>
      <c r="G2" s="24"/>
      <c r="H2" s="24"/>
      <c r="I2" s="24"/>
    </row>
    <row r="3" spans="2:50">
      <c r="B3" s="26"/>
      <c r="C3" s="24"/>
      <c r="D3" s="27" t="s">
        <v>277</v>
      </c>
      <c r="E3" s="455"/>
      <c r="F3" s="456"/>
      <c r="G3" s="456"/>
      <c r="H3" s="457"/>
      <c r="I3" s="28"/>
      <c r="J3" s="26"/>
      <c r="K3" s="24"/>
      <c r="L3" s="27" t="s">
        <v>277</v>
      </c>
      <c r="M3" s="455"/>
      <c r="N3" s="456"/>
      <c r="O3" s="456"/>
      <c r="P3" s="457"/>
      <c r="Q3" s="28"/>
      <c r="R3" s="26"/>
      <c r="S3" s="24"/>
      <c r="T3" s="27" t="s">
        <v>277</v>
      </c>
      <c r="U3" s="455"/>
      <c r="V3" s="456"/>
      <c r="W3" s="456"/>
      <c r="X3" s="457"/>
      <c r="Y3" s="28"/>
      <c r="Z3" s="26"/>
      <c r="AA3" s="24"/>
      <c r="AB3" s="27" t="s">
        <v>249</v>
      </c>
      <c r="AC3" s="455"/>
      <c r="AD3" s="456"/>
      <c r="AE3" s="456"/>
      <c r="AF3" s="457"/>
      <c r="AG3" s="28"/>
      <c r="AH3" s="26"/>
      <c r="AI3" s="24"/>
      <c r="AJ3" s="27" t="s">
        <v>277</v>
      </c>
      <c r="AK3" s="455"/>
      <c r="AL3" s="456"/>
      <c r="AM3" s="456"/>
      <c r="AN3" s="457"/>
      <c r="AO3" s="28"/>
      <c r="AP3" s="26"/>
      <c r="AQ3" s="24"/>
      <c r="AR3" s="27" t="s">
        <v>277</v>
      </c>
      <c r="AS3" s="455"/>
      <c r="AT3" s="456"/>
      <c r="AU3" s="456"/>
      <c r="AV3" s="457"/>
      <c r="AW3" s="28"/>
      <c r="AX3" s="29"/>
    </row>
    <row r="4" spans="2:50">
      <c r="B4" s="24"/>
      <c r="C4" s="30"/>
      <c r="D4" s="31" t="s">
        <v>278</v>
      </c>
      <c r="E4" s="455"/>
      <c r="F4" s="456"/>
      <c r="G4" s="456"/>
      <c r="H4" s="457"/>
      <c r="I4" s="28"/>
      <c r="J4" s="24"/>
      <c r="K4" s="30"/>
      <c r="L4" s="31" t="s">
        <v>279</v>
      </c>
      <c r="M4" s="455"/>
      <c r="N4" s="456"/>
      <c r="O4" s="456"/>
      <c r="P4" s="457"/>
      <c r="Q4" s="28"/>
      <c r="R4" s="24"/>
      <c r="S4" s="30"/>
      <c r="T4" s="31" t="s">
        <v>280</v>
      </c>
      <c r="U4" s="455"/>
      <c r="V4" s="456"/>
      <c r="W4" s="456"/>
      <c r="X4" s="457"/>
      <c r="Y4" s="28"/>
      <c r="Z4" s="24"/>
      <c r="AA4" s="30"/>
      <c r="AB4" s="31" t="s">
        <v>281</v>
      </c>
      <c r="AC4" s="455"/>
      <c r="AD4" s="456"/>
      <c r="AE4" s="456"/>
      <c r="AF4" s="457"/>
      <c r="AG4" s="28"/>
      <c r="AH4" s="24"/>
      <c r="AI4" s="30"/>
      <c r="AJ4" s="31" t="s">
        <v>282</v>
      </c>
      <c r="AK4" s="455"/>
      <c r="AL4" s="456"/>
      <c r="AM4" s="456"/>
      <c r="AN4" s="457"/>
      <c r="AO4" s="28"/>
      <c r="AP4" s="24"/>
      <c r="AQ4" s="30"/>
      <c r="AR4" s="31" t="s">
        <v>283</v>
      </c>
      <c r="AS4" s="455"/>
      <c r="AT4" s="456"/>
      <c r="AU4" s="456"/>
      <c r="AV4" s="457"/>
      <c r="AW4" s="28"/>
      <c r="AX4" s="29"/>
    </row>
    <row r="5" spans="2:50">
      <c r="B5" s="24"/>
      <c r="C5" s="24"/>
      <c r="D5" s="32"/>
      <c r="G5" s="24"/>
      <c r="H5" s="24"/>
      <c r="I5" s="24"/>
      <c r="J5" s="24"/>
      <c r="K5" s="24"/>
      <c r="L5" s="32"/>
      <c r="O5" s="24"/>
      <c r="P5" s="24"/>
      <c r="Q5" s="24"/>
      <c r="R5" s="24"/>
      <c r="S5" s="24"/>
      <c r="T5" s="32"/>
      <c r="W5" s="24"/>
      <c r="X5" s="24"/>
      <c r="Y5" s="24"/>
      <c r="Z5" s="24"/>
      <c r="AA5" s="24"/>
      <c r="AB5" s="32"/>
      <c r="AE5" s="24"/>
      <c r="AF5" s="24"/>
      <c r="AG5" s="24"/>
      <c r="AH5" s="24"/>
      <c r="AI5" s="24"/>
      <c r="AJ5" s="32"/>
      <c r="AM5" s="24"/>
      <c r="AN5" s="24"/>
      <c r="AO5" s="24"/>
      <c r="AP5" s="24"/>
      <c r="AQ5" s="24"/>
      <c r="AR5" s="32"/>
      <c r="AU5" s="24"/>
      <c r="AV5" s="24"/>
      <c r="AW5" s="24"/>
      <c r="AX5" s="24"/>
    </row>
    <row r="6" spans="2:50" s="24" customFormat="1" ht="15">
      <c r="E6" s="458" t="s">
        <v>99</v>
      </c>
      <c r="F6" s="459"/>
      <c r="G6" s="460"/>
      <c r="I6" s="33"/>
      <c r="M6" s="458" t="s">
        <v>99</v>
      </c>
      <c r="N6" s="459"/>
      <c r="O6" s="460"/>
      <c r="U6" s="458" t="s">
        <v>99</v>
      </c>
      <c r="V6" s="459"/>
      <c r="W6" s="460"/>
      <c r="AC6" s="458" t="s">
        <v>99</v>
      </c>
      <c r="AD6" s="459"/>
      <c r="AE6" s="460"/>
      <c r="AK6" s="458" t="s">
        <v>99</v>
      </c>
      <c r="AL6" s="459"/>
      <c r="AM6" s="460"/>
      <c r="AS6" s="458" t="s">
        <v>99</v>
      </c>
      <c r="AT6" s="459"/>
      <c r="AU6" s="460"/>
    </row>
    <row r="7" spans="2:50" s="24" customFormat="1" ht="45">
      <c r="B7" s="125" t="s">
        <v>100</v>
      </c>
      <c r="C7" s="125" t="s">
        <v>101</v>
      </c>
      <c r="D7" s="125" t="s">
        <v>102</v>
      </c>
      <c r="E7" s="126" t="s">
        <v>103</v>
      </c>
      <c r="F7" s="126" t="s">
        <v>104</v>
      </c>
      <c r="G7" s="126" t="s">
        <v>105</v>
      </c>
      <c r="H7" s="125" t="s">
        <v>106</v>
      </c>
      <c r="I7" s="33"/>
      <c r="J7" s="125" t="s">
        <v>100</v>
      </c>
      <c r="K7" s="125" t="s">
        <v>101</v>
      </c>
      <c r="L7" s="125" t="s">
        <v>102</v>
      </c>
      <c r="M7" s="126" t="s">
        <v>103</v>
      </c>
      <c r="N7" s="126" t="s">
        <v>104</v>
      </c>
      <c r="O7" s="126" t="s">
        <v>105</v>
      </c>
      <c r="P7" s="125" t="s">
        <v>106</v>
      </c>
      <c r="R7" s="125" t="s">
        <v>100</v>
      </c>
      <c r="S7" s="125" t="s">
        <v>101</v>
      </c>
      <c r="T7" s="125" t="s">
        <v>102</v>
      </c>
      <c r="U7" s="126" t="s">
        <v>103</v>
      </c>
      <c r="V7" s="126" t="s">
        <v>104</v>
      </c>
      <c r="W7" s="126" t="s">
        <v>105</v>
      </c>
      <c r="X7" s="125" t="s">
        <v>106</v>
      </c>
      <c r="Z7" s="125" t="s">
        <v>100</v>
      </c>
      <c r="AA7" s="125" t="s">
        <v>101</v>
      </c>
      <c r="AB7" s="125" t="s">
        <v>102</v>
      </c>
      <c r="AC7" s="126" t="s">
        <v>103</v>
      </c>
      <c r="AD7" s="126" t="s">
        <v>104</v>
      </c>
      <c r="AE7" s="126" t="s">
        <v>105</v>
      </c>
      <c r="AF7" s="125" t="s">
        <v>106</v>
      </c>
      <c r="AH7" s="125" t="s">
        <v>100</v>
      </c>
      <c r="AI7" s="125" t="s">
        <v>101</v>
      </c>
      <c r="AJ7" s="125" t="s">
        <v>102</v>
      </c>
      <c r="AK7" s="126" t="s">
        <v>103</v>
      </c>
      <c r="AL7" s="126" t="s">
        <v>104</v>
      </c>
      <c r="AM7" s="126" t="s">
        <v>105</v>
      </c>
      <c r="AN7" s="125" t="s">
        <v>106</v>
      </c>
      <c r="AP7" s="125" t="s">
        <v>100</v>
      </c>
      <c r="AQ7" s="125" t="s">
        <v>101</v>
      </c>
      <c r="AR7" s="125" t="s">
        <v>102</v>
      </c>
      <c r="AS7" s="126" t="s">
        <v>103</v>
      </c>
      <c r="AT7" s="126" t="s">
        <v>104</v>
      </c>
      <c r="AU7" s="126" t="s">
        <v>105</v>
      </c>
      <c r="AV7" s="125" t="s">
        <v>106</v>
      </c>
    </row>
    <row r="8" spans="2:50" s="24" customFormat="1" ht="60">
      <c r="B8" s="71" t="s">
        <v>284</v>
      </c>
      <c r="C8" s="127" t="s">
        <v>108</v>
      </c>
      <c r="D8" s="127" t="s">
        <v>109</v>
      </c>
      <c r="E8" s="127" t="s">
        <v>110</v>
      </c>
      <c r="F8" s="128" t="s">
        <v>111</v>
      </c>
      <c r="G8" s="127" t="s">
        <v>112</v>
      </c>
      <c r="H8" s="129"/>
      <c r="I8" s="33"/>
      <c r="J8" s="71" t="s">
        <v>284</v>
      </c>
      <c r="K8" s="127" t="s">
        <v>108</v>
      </c>
      <c r="L8" s="127" t="s">
        <v>109</v>
      </c>
      <c r="M8" s="127" t="s">
        <v>110</v>
      </c>
      <c r="N8" s="128" t="s">
        <v>111</v>
      </c>
      <c r="O8" s="127" t="s">
        <v>112</v>
      </c>
      <c r="P8" s="129"/>
      <c r="R8" s="71" t="s">
        <v>284</v>
      </c>
      <c r="S8" s="127" t="s">
        <v>108</v>
      </c>
      <c r="T8" s="127" t="s">
        <v>109</v>
      </c>
      <c r="U8" s="127" t="s">
        <v>110</v>
      </c>
      <c r="V8" s="128" t="s">
        <v>111</v>
      </c>
      <c r="W8" s="127" t="s">
        <v>112</v>
      </c>
      <c r="X8" s="129"/>
      <c r="Z8" s="71" t="s">
        <v>284</v>
      </c>
      <c r="AA8" s="127" t="s">
        <v>108</v>
      </c>
      <c r="AB8" s="127" t="s">
        <v>109</v>
      </c>
      <c r="AC8" s="127" t="s">
        <v>110</v>
      </c>
      <c r="AD8" s="128" t="s">
        <v>111</v>
      </c>
      <c r="AE8" s="127" t="s">
        <v>112</v>
      </c>
      <c r="AF8" s="129"/>
      <c r="AH8" s="71" t="s">
        <v>284</v>
      </c>
      <c r="AI8" s="127" t="s">
        <v>108</v>
      </c>
      <c r="AJ8" s="127" t="s">
        <v>109</v>
      </c>
      <c r="AK8" s="127" t="s">
        <v>110</v>
      </c>
      <c r="AL8" s="128" t="s">
        <v>111</v>
      </c>
      <c r="AM8" s="127" t="s">
        <v>112</v>
      </c>
      <c r="AN8" s="129"/>
      <c r="AP8" s="71" t="s">
        <v>284</v>
      </c>
      <c r="AQ8" s="127" t="s">
        <v>108</v>
      </c>
      <c r="AR8" s="127" t="s">
        <v>109</v>
      </c>
      <c r="AS8" s="127" t="s">
        <v>110</v>
      </c>
      <c r="AT8" s="128" t="s">
        <v>111</v>
      </c>
      <c r="AU8" s="127" t="s">
        <v>112</v>
      </c>
      <c r="AV8" s="129"/>
    </row>
    <row r="9" spans="2:50" s="24" customFormat="1" ht="15">
      <c r="B9" s="60"/>
      <c r="C9" s="130"/>
      <c r="D9" s="130"/>
      <c r="E9" s="131">
        <f>C9*D9</f>
        <v>0</v>
      </c>
      <c r="F9" s="132"/>
      <c r="G9" s="133">
        <f>E9*(1-F9)</f>
        <v>0</v>
      </c>
      <c r="H9" s="91"/>
      <c r="I9" s="33"/>
      <c r="J9" s="60"/>
      <c r="K9" s="130"/>
      <c r="L9" s="130"/>
      <c r="M9" s="131">
        <f>K9*L9</f>
        <v>0</v>
      </c>
      <c r="N9" s="132"/>
      <c r="O9" s="133">
        <f>M9*(1-N9)</f>
        <v>0</v>
      </c>
      <c r="P9" s="91"/>
      <c r="R9" s="60"/>
      <c r="S9" s="130"/>
      <c r="T9" s="130"/>
      <c r="U9" s="131">
        <f>S9*T9</f>
        <v>0</v>
      </c>
      <c r="V9" s="132"/>
      <c r="W9" s="133">
        <f>U9*(1-V9)</f>
        <v>0</v>
      </c>
      <c r="X9" s="91"/>
      <c r="Z9" s="60"/>
      <c r="AA9" s="130"/>
      <c r="AB9" s="130"/>
      <c r="AC9" s="131">
        <f>AA9*AB9</f>
        <v>0</v>
      </c>
      <c r="AD9" s="132"/>
      <c r="AE9" s="133">
        <f>AC9*(1-AD9)</f>
        <v>0</v>
      </c>
      <c r="AF9" s="91"/>
      <c r="AH9" s="60"/>
      <c r="AI9" s="130"/>
      <c r="AJ9" s="130"/>
      <c r="AK9" s="131">
        <f t="shared" ref="AK9:AK14" si="0">AI9*AJ9</f>
        <v>0</v>
      </c>
      <c r="AL9" s="132"/>
      <c r="AM9" s="133">
        <f>AK9*(1-AL9)</f>
        <v>0</v>
      </c>
      <c r="AN9" s="91"/>
      <c r="AP9" s="60"/>
      <c r="AQ9" s="130"/>
      <c r="AR9" s="130"/>
      <c r="AS9" s="131">
        <f>AQ9*AR9</f>
        <v>0</v>
      </c>
      <c r="AT9" s="132"/>
      <c r="AU9" s="133">
        <f t="shared" ref="AU9:AU14" si="1">AS9*(1-AT9)</f>
        <v>0</v>
      </c>
      <c r="AV9" s="91"/>
    </row>
    <row r="10" spans="2:50" s="24" customFormat="1" ht="15">
      <c r="B10" s="60"/>
      <c r="C10" s="130"/>
      <c r="D10" s="130"/>
      <c r="E10" s="131">
        <f t="shared" ref="E10:E30" si="2">C10*D10</f>
        <v>0</v>
      </c>
      <c r="F10" s="132"/>
      <c r="G10" s="131">
        <f t="shared" ref="G10:G14" si="3">E10*(1-F10)</f>
        <v>0</v>
      </c>
      <c r="H10" s="91"/>
      <c r="I10" s="33"/>
      <c r="J10" s="60"/>
      <c r="K10" s="130"/>
      <c r="L10" s="130"/>
      <c r="M10" s="131">
        <f t="shared" ref="M10:M30" si="4">K10*L10</f>
        <v>0</v>
      </c>
      <c r="N10" s="132"/>
      <c r="O10" s="131">
        <f t="shared" ref="O10:O14" si="5">M10*(1-N10)</f>
        <v>0</v>
      </c>
      <c r="P10" s="91"/>
      <c r="R10" s="60"/>
      <c r="S10" s="130"/>
      <c r="T10" s="130"/>
      <c r="U10" s="131">
        <f t="shared" ref="U10:U14" si="6">S10*T10</f>
        <v>0</v>
      </c>
      <c r="V10" s="132"/>
      <c r="W10" s="131">
        <f t="shared" ref="W10:W14" si="7">U10*(1-V10)</f>
        <v>0</v>
      </c>
      <c r="X10" s="91"/>
      <c r="Z10" s="60"/>
      <c r="AA10" s="130"/>
      <c r="AB10" s="130"/>
      <c r="AC10" s="131">
        <f t="shared" ref="AC10:AC14" si="8">AA10*AB10</f>
        <v>0</v>
      </c>
      <c r="AD10" s="132"/>
      <c r="AE10" s="131">
        <f t="shared" ref="AE10:AE14" si="9">AC10*(1-AD10)</f>
        <v>0</v>
      </c>
      <c r="AF10" s="91"/>
      <c r="AH10" s="60"/>
      <c r="AI10" s="130"/>
      <c r="AJ10" s="130"/>
      <c r="AK10" s="131">
        <f t="shared" si="0"/>
        <v>0</v>
      </c>
      <c r="AL10" s="132"/>
      <c r="AM10" s="131">
        <f t="shared" ref="AM10:AM14" si="10">AK10*(1-AL10)</f>
        <v>0</v>
      </c>
      <c r="AN10" s="91"/>
      <c r="AP10" s="60"/>
      <c r="AQ10" s="130"/>
      <c r="AR10" s="130"/>
      <c r="AS10" s="131">
        <f t="shared" ref="AS10:AS14" si="11">AQ10*AR10</f>
        <v>0</v>
      </c>
      <c r="AT10" s="132"/>
      <c r="AU10" s="131">
        <f t="shared" si="1"/>
        <v>0</v>
      </c>
      <c r="AV10" s="91"/>
    </row>
    <row r="11" spans="2:50" s="24" customFormat="1" ht="15">
      <c r="B11" s="60"/>
      <c r="C11" s="130"/>
      <c r="D11" s="130"/>
      <c r="E11" s="131">
        <f t="shared" si="2"/>
        <v>0</v>
      </c>
      <c r="F11" s="132"/>
      <c r="G11" s="131">
        <f t="shared" si="3"/>
        <v>0</v>
      </c>
      <c r="H11" s="91"/>
      <c r="I11" s="33"/>
      <c r="J11" s="60"/>
      <c r="K11" s="130"/>
      <c r="L11" s="130"/>
      <c r="M11" s="131">
        <f t="shared" si="4"/>
        <v>0</v>
      </c>
      <c r="N11" s="132"/>
      <c r="O11" s="131">
        <f t="shared" si="5"/>
        <v>0</v>
      </c>
      <c r="P11" s="91"/>
      <c r="R11" s="60"/>
      <c r="S11" s="130"/>
      <c r="T11" s="130"/>
      <c r="U11" s="131">
        <f t="shared" si="6"/>
        <v>0</v>
      </c>
      <c r="V11" s="132"/>
      <c r="W11" s="131">
        <f t="shared" si="7"/>
        <v>0</v>
      </c>
      <c r="X11" s="91"/>
      <c r="Z11" s="60"/>
      <c r="AA11" s="130"/>
      <c r="AB11" s="130"/>
      <c r="AC11" s="131">
        <f t="shared" si="8"/>
        <v>0</v>
      </c>
      <c r="AD11" s="132"/>
      <c r="AE11" s="131">
        <f t="shared" si="9"/>
        <v>0</v>
      </c>
      <c r="AF11" s="91"/>
      <c r="AH11" s="60"/>
      <c r="AI11" s="130"/>
      <c r="AJ11" s="130"/>
      <c r="AK11" s="131">
        <f t="shared" si="0"/>
        <v>0</v>
      </c>
      <c r="AL11" s="132"/>
      <c r="AM11" s="131">
        <f t="shared" si="10"/>
        <v>0</v>
      </c>
      <c r="AN11" s="91"/>
      <c r="AP11" s="60"/>
      <c r="AQ11" s="130"/>
      <c r="AR11" s="130"/>
      <c r="AS11" s="131">
        <f t="shared" si="11"/>
        <v>0</v>
      </c>
      <c r="AT11" s="132"/>
      <c r="AU11" s="131">
        <f t="shared" si="1"/>
        <v>0</v>
      </c>
      <c r="AV11" s="91"/>
    </row>
    <row r="12" spans="2:50" s="24" customFormat="1" ht="15">
      <c r="B12" s="60"/>
      <c r="C12" s="130"/>
      <c r="D12" s="130"/>
      <c r="E12" s="131">
        <f t="shared" si="2"/>
        <v>0</v>
      </c>
      <c r="F12" s="132"/>
      <c r="G12" s="131">
        <f t="shared" si="3"/>
        <v>0</v>
      </c>
      <c r="H12" s="91"/>
      <c r="I12" s="33"/>
      <c r="J12" s="60"/>
      <c r="K12" s="130"/>
      <c r="L12" s="130"/>
      <c r="M12" s="131">
        <f t="shared" si="4"/>
        <v>0</v>
      </c>
      <c r="N12" s="132"/>
      <c r="O12" s="131">
        <f t="shared" si="5"/>
        <v>0</v>
      </c>
      <c r="P12" s="91"/>
      <c r="R12" s="60"/>
      <c r="S12" s="130"/>
      <c r="T12" s="130"/>
      <c r="U12" s="131">
        <f t="shared" si="6"/>
        <v>0</v>
      </c>
      <c r="V12" s="132"/>
      <c r="W12" s="131">
        <f t="shared" si="7"/>
        <v>0</v>
      </c>
      <c r="X12" s="91"/>
      <c r="Z12" s="60"/>
      <c r="AA12" s="130"/>
      <c r="AB12" s="130"/>
      <c r="AC12" s="131">
        <f t="shared" si="8"/>
        <v>0</v>
      </c>
      <c r="AD12" s="132"/>
      <c r="AE12" s="131">
        <f t="shared" si="9"/>
        <v>0</v>
      </c>
      <c r="AF12" s="91"/>
      <c r="AH12" s="60"/>
      <c r="AI12" s="130"/>
      <c r="AJ12" s="130"/>
      <c r="AK12" s="131">
        <f t="shared" si="0"/>
        <v>0</v>
      </c>
      <c r="AL12" s="132"/>
      <c r="AM12" s="131">
        <f t="shared" si="10"/>
        <v>0</v>
      </c>
      <c r="AN12" s="91"/>
      <c r="AP12" s="60"/>
      <c r="AQ12" s="130"/>
      <c r="AR12" s="130"/>
      <c r="AS12" s="131">
        <f t="shared" si="11"/>
        <v>0</v>
      </c>
      <c r="AT12" s="132"/>
      <c r="AU12" s="131">
        <f t="shared" si="1"/>
        <v>0</v>
      </c>
      <c r="AV12" s="91"/>
    </row>
    <row r="13" spans="2:50" s="24" customFormat="1" ht="15">
      <c r="B13" s="60"/>
      <c r="C13" s="130"/>
      <c r="D13" s="134"/>
      <c r="E13" s="131">
        <f t="shared" si="2"/>
        <v>0</v>
      </c>
      <c r="F13" s="132"/>
      <c r="G13" s="131">
        <f t="shared" si="3"/>
        <v>0</v>
      </c>
      <c r="H13" s="91"/>
      <c r="I13" s="33"/>
      <c r="J13" s="60"/>
      <c r="K13" s="130"/>
      <c r="L13" s="134"/>
      <c r="M13" s="131">
        <f t="shared" si="4"/>
        <v>0</v>
      </c>
      <c r="N13" s="132"/>
      <c r="O13" s="131">
        <f t="shared" si="5"/>
        <v>0</v>
      </c>
      <c r="P13" s="91"/>
      <c r="R13" s="60"/>
      <c r="S13" s="130"/>
      <c r="T13" s="134"/>
      <c r="U13" s="131">
        <f t="shared" si="6"/>
        <v>0</v>
      </c>
      <c r="V13" s="132"/>
      <c r="W13" s="131">
        <f t="shared" si="7"/>
        <v>0</v>
      </c>
      <c r="X13" s="91"/>
      <c r="Z13" s="60"/>
      <c r="AA13" s="130"/>
      <c r="AB13" s="134"/>
      <c r="AC13" s="131">
        <f t="shared" si="8"/>
        <v>0</v>
      </c>
      <c r="AD13" s="132"/>
      <c r="AE13" s="131">
        <f t="shared" si="9"/>
        <v>0</v>
      </c>
      <c r="AF13" s="91"/>
      <c r="AH13" s="60"/>
      <c r="AI13" s="130"/>
      <c r="AJ13" s="134"/>
      <c r="AK13" s="131">
        <f t="shared" si="0"/>
        <v>0</v>
      </c>
      <c r="AL13" s="132"/>
      <c r="AM13" s="131">
        <f t="shared" si="10"/>
        <v>0</v>
      </c>
      <c r="AN13" s="91"/>
      <c r="AP13" s="60"/>
      <c r="AQ13" s="130"/>
      <c r="AR13" s="134"/>
      <c r="AS13" s="131">
        <f t="shared" si="11"/>
        <v>0</v>
      </c>
      <c r="AT13" s="132"/>
      <c r="AU13" s="131">
        <f t="shared" si="1"/>
        <v>0</v>
      </c>
      <c r="AV13" s="91"/>
    </row>
    <row r="14" spans="2:50" s="24" customFormat="1" ht="15">
      <c r="B14" s="60"/>
      <c r="C14" s="130"/>
      <c r="D14" s="134"/>
      <c r="E14" s="131">
        <f t="shared" si="2"/>
        <v>0</v>
      </c>
      <c r="F14" s="132"/>
      <c r="G14" s="131">
        <f t="shared" si="3"/>
        <v>0</v>
      </c>
      <c r="H14" s="91"/>
      <c r="J14" s="60"/>
      <c r="K14" s="130"/>
      <c r="L14" s="134"/>
      <c r="M14" s="131">
        <f t="shared" si="4"/>
        <v>0</v>
      </c>
      <c r="N14" s="132"/>
      <c r="O14" s="131">
        <f t="shared" si="5"/>
        <v>0</v>
      </c>
      <c r="P14" s="91"/>
      <c r="R14" s="60"/>
      <c r="S14" s="130"/>
      <c r="T14" s="134"/>
      <c r="U14" s="131">
        <f t="shared" si="6"/>
        <v>0</v>
      </c>
      <c r="V14" s="132"/>
      <c r="W14" s="131">
        <f t="shared" si="7"/>
        <v>0</v>
      </c>
      <c r="X14" s="91"/>
      <c r="Z14" s="60"/>
      <c r="AA14" s="130"/>
      <c r="AB14" s="134"/>
      <c r="AC14" s="131">
        <f t="shared" si="8"/>
        <v>0</v>
      </c>
      <c r="AD14" s="132"/>
      <c r="AE14" s="131">
        <f t="shared" si="9"/>
        <v>0</v>
      </c>
      <c r="AF14" s="91"/>
      <c r="AH14" s="60"/>
      <c r="AI14" s="130"/>
      <c r="AJ14" s="134"/>
      <c r="AK14" s="131">
        <f t="shared" si="0"/>
        <v>0</v>
      </c>
      <c r="AL14" s="132"/>
      <c r="AM14" s="131">
        <f t="shared" si="10"/>
        <v>0</v>
      </c>
      <c r="AN14" s="91"/>
      <c r="AP14" s="60"/>
      <c r="AQ14" s="130"/>
      <c r="AR14" s="134"/>
      <c r="AS14" s="131">
        <f t="shared" si="11"/>
        <v>0</v>
      </c>
      <c r="AT14" s="132"/>
      <c r="AU14" s="131">
        <f t="shared" si="1"/>
        <v>0</v>
      </c>
      <c r="AV14" s="91"/>
    </row>
    <row r="15" spans="2:50" s="24" customFormat="1" ht="30">
      <c r="B15" s="135" t="s">
        <v>125</v>
      </c>
      <c r="C15" s="136">
        <f>SUM(C9:C14)</f>
        <v>0</v>
      </c>
      <c r="D15" s="145">
        <f>SUM(D9:D14)</f>
        <v>0</v>
      </c>
      <c r="E15" s="137">
        <f>SUM(E9:E14)</f>
        <v>0</v>
      </c>
      <c r="F15" s="138"/>
      <c r="G15" s="137">
        <f>SUM(G9:G14)</f>
        <v>0</v>
      </c>
      <c r="H15" s="135"/>
      <c r="J15" s="135" t="s">
        <v>125</v>
      </c>
      <c r="K15" s="136">
        <f>SUM(K9:K14)</f>
        <v>0</v>
      </c>
      <c r="L15" s="145">
        <f>SUM(L9:L14)</f>
        <v>0</v>
      </c>
      <c r="M15" s="137">
        <f>SUM(M9:M14)</f>
        <v>0</v>
      </c>
      <c r="N15" s="138"/>
      <c r="O15" s="137">
        <f>SUM(O9:O14)</f>
        <v>0</v>
      </c>
      <c r="P15" s="135"/>
      <c r="R15" s="135" t="s">
        <v>125</v>
      </c>
      <c r="S15" s="136">
        <f>SUM(S9:S14)</f>
        <v>0</v>
      </c>
      <c r="T15" s="145">
        <f>SUM(T9:T14)</f>
        <v>0</v>
      </c>
      <c r="U15" s="137">
        <f>SUM(U9:U14)</f>
        <v>0</v>
      </c>
      <c r="V15" s="138"/>
      <c r="W15" s="137">
        <f>SUM(W9:W14)</f>
        <v>0</v>
      </c>
      <c r="X15" s="135"/>
      <c r="Z15" s="135" t="s">
        <v>125</v>
      </c>
      <c r="AA15" s="136">
        <f>SUM(AA9:AA14)</f>
        <v>0</v>
      </c>
      <c r="AB15" s="145">
        <f>SUM(AB9:AB14)</f>
        <v>0</v>
      </c>
      <c r="AC15" s="137">
        <f>SUM(AC9:AC14)</f>
        <v>0</v>
      </c>
      <c r="AD15" s="138"/>
      <c r="AE15" s="137">
        <f>SUM(AE9:AE14)</f>
        <v>0</v>
      </c>
      <c r="AF15" s="135"/>
      <c r="AH15" s="135" t="s">
        <v>125</v>
      </c>
      <c r="AI15" s="136">
        <f>SUM(AI9:AI14)</f>
        <v>0</v>
      </c>
      <c r="AJ15" s="145">
        <f>SUM(AJ9:AJ14)</f>
        <v>0</v>
      </c>
      <c r="AK15" s="137">
        <f>SUM(AK9:AK14)</f>
        <v>0</v>
      </c>
      <c r="AL15" s="138"/>
      <c r="AM15" s="137">
        <f>SUM(AM9:AM14)</f>
        <v>0</v>
      </c>
      <c r="AN15" s="135"/>
      <c r="AP15" s="135" t="s">
        <v>125</v>
      </c>
      <c r="AQ15" s="136">
        <f>SUM(AQ9:AQ14)</f>
        <v>0</v>
      </c>
      <c r="AR15" s="145">
        <f>SUM(AR9:AR14)</f>
        <v>0</v>
      </c>
      <c r="AS15" s="137">
        <f>SUM(AS9:AS14)</f>
        <v>0</v>
      </c>
      <c r="AT15" s="138"/>
      <c r="AU15" s="137">
        <f>SUM(AU9:AU14)</f>
        <v>0</v>
      </c>
      <c r="AV15" s="135"/>
    </row>
    <row r="16" spans="2:50" s="24" customFormat="1" ht="60">
      <c r="B16" s="71" t="s">
        <v>285</v>
      </c>
      <c r="C16" s="127" t="s">
        <v>108</v>
      </c>
      <c r="D16" s="127" t="s">
        <v>109</v>
      </c>
      <c r="E16" s="127" t="s">
        <v>110</v>
      </c>
      <c r="F16" s="128" t="s">
        <v>111</v>
      </c>
      <c r="G16" s="128" t="s">
        <v>112</v>
      </c>
      <c r="H16" s="129"/>
      <c r="J16" s="71" t="s">
        <v>285</v>
      </c>
      <c r="K16" s="127" t="s">
        <v>108</v>
      </c>
      <c r="L16" s="127" t="s">
        <v>109</v>
      </c>
      <c r="M16" s="127" t="s">
        <v>110</v>
      </c>
      <c r="N16" s="128" t="s">
        <v>111</v>
      </c>
      <c r="O16" s="128" t="s">
        <v>112</v>
      </c>
      <c r="P16" s="129"/>
      <c r="R16" s="71" t="s">
        <v>285</v>
      </c>
      <c r="S16" s="127" t="s">
        <v>108</v>
      </c>
      <c r="T16" s="127" t="s">
        <v>109</v>
      </c>
      <c r="U16" s="127" t="s">
        <v>110</v>
      </c>
      <c r="V16" s="128" t="s">
        <v>111</v>
      </c>
      <c r="W16" s="128" t="s">
        <v>112</v>
      </c>
      <c r="X16" s="129"/>
      <c r="Z16" s="71" t="s">
        <v>285</v>
      </c>
      <c r="AA16" s="127" t="s">
        <v>108</v>
      </c>
      <c r="AB16" s="127" t="s">
        <v>109</v>
      </c>
      <c r="AC16" s="127" t="s">
        <v>110</v>
      </c>
      <c r="AD16" s="128" t="s">
        <v>111</v>
      </c>
      <c r="AE16" s="128" t="s">
        <v>112</v>
      </c>
      <c r="AF16" s="129"/>
      <c r="AH16" s="71" t="s">
        <v>285</v>
      </c>
      <c r="AI16" s="127" t="s">
        <v>108</v>
      </c>
      <c r="AJ16" s="127" t="s">
        <v>109</v>
      </c>
      <c r="AK16" s="127" t="s">
        <v>110</v>
      </c>
      <c r="AL16" s="128" t="s">
        <v>111</v>
      </c>
      <c r="AM16" s="128" t="s">
        <v>112</v>
      </c>
      <c r="AN16" s="129"/>
      <c r="AP16" s="71" t="s">
        <v>285</v>
      </c>
      <c r="AQ16" s="127" t="s">
        <v>108</v>
      </c>
      <c r="AR16" s="127" t="s">
        <v>109</v>
      </c>
      <c r="AS16" s="127" t="s">
        <v>110</v>
      </c>
      <c r="AT16" s="128" t="s">
        <v>111</v>
      </c>
      <c r="AU16" s="128" t="s">
        <v>112</v>
      </c>
      <c r="AV16" s="129"/>
    </row>
    <row r="17" spans="2:48" s="24" customFormat="1" ht="15">
      <c r="B17" s="60"/>
      <c r="C17" s="130"/>
      <c r="D17" s="130"/>
      <c r="E17" s="131">
        <f t="shared" si="2"/>
        <v>0</v>
      </c>
      <c r="F17" s="132"/>
      <c r="G17" s="131">
        <f t="shared" ref="G17:G24" si="12">E17*(1-F17)</f>
        <v>0</v>
      </c>
      <c r="H17" s="91"/>
      <c r="J17" s="60"/>
      <c r="K17" s="130"/>
      <c r="L17" s="130"/>
      <c r="M17" s="131">
        <f t="shared" si="4"/>
        <v>0</v>
      </c>
      <c r="N17" s="132"/>
      <c r="O17" s="131">
        <f t="shared" ref="O17:O24" si="13">M17*(1-N17)</f>
        <v>0</v>
      </c>
      <c r="P17" s="91"/>
      <c r="R17" s="60"/>
      <c r="S17" s="130"/>
      <c r="T17" s="130"/>
      <c r="U17" s="131">
        <f t="shared" ref="U17:U24" si="14">S17*T17</f>
        <v>0</v>
      </c>
      <c r="V17" s="132"/>
      <c r="W17" s="131">
        <f t="shared" ref="W17:W24" si="15">U17*(1-V17)</f>
        <v>0</v>
      </c>
      <c r="X17" s="91"/>
      <c r="Z17" s="60"/>
      <c r="AA17" s="130"/>
      <c r="AB17" s="130"/>
      <c r="AC17" s="131">
        <f t="shared" ref="AC17:AC24" si="16">AA17*AB17</f>
        <v>0</v>
      </c>
      <c r="AD17" s="132"/>
      <c r="AE17" s="131">
        <f t="shared" ref="AE17:AE24" si="17">AC17*(1-AD17)</f>
        <v>0</v>
      </c>
      <c r="AF17" s="91"/>
      <c r="AH17" s="60"/>
      <c r="AI17" s="130"/>
      <c r="AJ17" s="130"/>
      <c r="AK17" s="131">
        <f t="shared" ref="AK17:AK24" si="18">AI17*AJ17</f>
        <v>0</v>
      </c>
      <c r="AL17" s="132"/>
      <c r="AM17" s="131">
        <f t="shared" ref="AM17:AM24" si="19">AK17*(1-AL17)</f>
        <v>0</v>
      </c>
      <c r="AN17" s="91"/>
      <c r="AP17" s="60"/>
      <c r="AQ17" s="130"/>
      <c r="AR17" s="130"/>
      <c r="AS17" s="131">
        <f t="shared" ref="AS17:AS24" si="20">AQ17*AR17</f>
        <v>0</v>
      </c>
      <c r="AT17" s="132"/>
      <c r="AU17" s="131">
        <f t="shared" ref="AU17:AU24" si="21">AS17*(1-AT17)</f>
        <v>0</v>
      </c>
      <c r="AV17" s="91"/>
    </row>
    <row r="18" spans="2:48" s="24" customFormat="1" ht="15">
      <c r="B18" s="60"/>
      <c r="C18" s="130"/>
      <c r="D18" s="139"/>
      <c r="E18" s="131">
        <f t="shared" si="2"/>
        <v>0</v>
      </c>
      <c r="F18" s="132"/>
      <c r="G18" s="131">
        <f t="shared" si="12"/>
        <v>0</v>
      </c>
      <c r="H18" s="91"/>
      <c r="J18" s="60"/>
      <c r="K18" s="130"/>
      <c r="L18" s="139"/>
      <c r="M18" s="131">
        <f t="shared" si="4"/>
        <v>0</v>
      </c>
      <c r="N18" s="132"/>
      <c r="O18" s="131">
        <f t="shared" si="13"/>
        <v>0</v>
      </c>
      <c r="P18" s="91"/>
      <c r="R18" s="60"/>
      <c r="S18" s="130"/>
      <c r="T18" s="139"/>
      <c r="U18" s="131">
        <f t="shared" si="14"/>
        <v>0</v>
      </c>
      <c r="V18" s="132"/>
      <c r="W18" s="131">
        <f t="shared" si="15"/>
        <v>0</v>
      </c>
      <c r="X18" s="91"/>
      <c r="Z18" s="60"/>
      <c r="AA18" s="130"/>
      <c r="AB18" s="139"/>
      <c r="AC18" s="131">
        <f t="shared" si="16"/>
        <v>0</v>
      </c>
      <c r="AD18" s="132"/>
      <c r="AE18" s="131">
        <f t="shared" si="17"/>
        <v>0</v>
      </c>
      <c r="AF18" s="91"/>
      <c r="AH18" s="60"/>
      <c r="AI18" s="130"/>
      <c r="AJ18" s="139"/>
      <c r="AK18" s="131">
        <f t="shared" si="18"/>
        <v>0</v>
      </c>
      <c r="AL18" s="132"/>
      <c r="AM18" s="131">
        <f t="shared" si="19"/>
        <v>0</v>
      </c>
      <c r="AN18" s="91"/>
      <c r="AP18" s="60"/>
      <c r="AQ18" s="130"/>
      <c r="AR18" s="139"/>
      <c r="AS18" s="131">
        <f t="shared" si="20"/>
        <v>0</v>
      </c>
      <c r="AT18" s="132"/>
      <c r="AU18" s="131">
        <f t="shared" si="21"/>
        <v>0</v>
      </c>
      <c r="AV18" s="91"/>
    </row>
    <row r="19" spans="2:48" s="24" customFormat="1" ht="15">
      <c r="B19" s="60"/>
      <c r="C19" s="130"/>
      <c r="D19" s="130"/>
      <c r="E19" s="131">
        <f t="shared" si="2"/>
        <v>0</v>
      </c>
      <c r="F19" s="132"/>
      <c r="G19" s="131">
        <f t="shared" si="12"/>
        <v>0</v>
      </c>
      <c r="H19" s="91"/>
      <c r="J19" s="60"/>
      <c r="K19" s="130"/>
      <c r="L19" s="130"/>
      <c r="M19" s="131">
        <f t="shared" si="4"/>
        <v>0</v>
      </c>
      <c r="N19" s="132"/>
      <c r="O19" s="131">
        <f t="shared" si="13"/>
        <v>0</v>
      </c>
      <c r="P19" s="91"/>
      <c r="R19" s="60"/>
      <c r="S19" s="130"/>
      <c r="T19" s="130"/>
      <c r="U19" s="131">
        <f t="shared" si="14"/>
        <v>0</v>
      </c>
      <c r="V19" s="132"/>
      <c r="W19" s="131">
        <f t="shared" si="15"/>
        <v>0</v>
      </c>
      <c r="X19" s="91"/>
      <c r="Z19" s="60"/>
      <c r="AA19" s="130"/>
      <c r="AB19" s="130"/>
      <c r="AC19" s="131">
        <f t="shared" si="16"/>
        <v>0</v>
      </c>
      <c r="AD19" s="132"/>
      <c r="AE19" s="131">
        <f t="shared" si="17"/>
        <v>0</v>
      </c>
      <c r="AF19" s="91"/>
      <c r="AH19" s="60"/>
      <c r="AI19" s="130"/>
      <c r="AJ19" s="130"/>
      <c r="AK19" s="131">
        <f t="shared" si="18"/>
        <v>0</v>
      </c>
      <c r="AL19" s="132"/>
      <c r="AM19" s="131">
        <f t="shared" si="19"/>
        <v>0</v>
      </c>
      <c r="AN19" s="91"/>
      <c r="AP19" s="60"/>
      <c r="AQ19" s="130"/>
      <c r="AR19" s="130"/>
      <c r="AS19" s="131">
        <f t="shared" si="20"/>
        <v>0</v>
      </c>
      <c r="AT19" s="132"/>
      <c r="AU19" s="131">
        <f t="shared" si="21"/>
        <v>0</v>
      </c>
      <c r="AV19" s="91"/>
    </row>
    <row r="20" spans="2:48" s="24" customFormat="1" ht="15">
      <c r="B20" s="60"/>
      <c r="C20" s="130"/>
      <c r="D20" s="130"/>
      <c r="E20" s="131">
        <f t="shared" si="2"/>
        <v>0</v>
      </c>
      <c r="F20" s="132"/>
      <c r="G20" s="131">
        <f t="shared" si="12"/>
        <v>0</v>
      </c>
      <c r="H20" s="91"/>
      <c r="J20" s="60"/>
      <c r="K20" s="130"/>
      <c r="L20" s="130"/>
      <c r="M20" s="131">
        <f t="shared" si="4"/>
        <v>0</v>
      </c>
      <c r="N20" s="132"/>
      <c r="O20" s="131">
        <f t="shared" si="13"/>
        <v>0</v>
      </c>
      <c r="P20" s="91"/>
      <c r="R20" s="60"/>
      <c r="S20" s="130"/>
      <c r="T20" s="130"/>
      <c r="U20" s="131">
        <f t="shared" si="14"/>
        <v>0</v>
      </c>
      <c r="V20" s="132"/>
      <c r="W20" s="131">
        <f t="shared" si="15"/>
        <v>0</v>
      </c>
      <c r="X20" s="91"/>
      <c r="Z20" s="60"/>
      <c r="AA20" s="130"/>
      <c r="AB20" s="130"/>
      <c r="AC20" s="131">
        <f t="shared" si="16"/>
        <v>0</v>
      </c>
      <c r="AD20" s="132"/>
      <c r="AE20" s="131">
        <f t="shared" si="17"/>
        <v>0</v>
      </c>
      <c r="AF20" s="91"/>
      <c r="AH20" s="60"/>
      <c r="AI20" s="130"/>
      <c r="AJ20" s="130"/>
      <c r="AK20" s="131">
        <f t="shared" si="18"/>
        <v>0</v>
      </c>
      <c r="AL20" s="132"/>
      <c r="AM20" s="131">
        <f t="shared" si="19"/>
        <v>0</v>
      </c>
      <c r="AN20" s="91"/>
      <c r="AP20" s="60"/>
      <c r="AQ20" s="130"/>
      <c r="AR20" s="130"/>
      <c r="AS20" s="131">
        <f t="shared" si="20"/>
        <v>0</v>
      </c>
      <c r="AT20" s="132"/>
      <c r="AU20" s="131">
        <f t="shared" si="21"/>
        <v>0</v>
      </c>
      <c r="AV20" s="91"/>
    </row>
    <row r="21" spans="2:48" s="24" customFormat="1" ht="15">
      <c r="B21" s="60"/>
      <c r="C21" s="130"/>
      <c r="D21" s="130"/>
      <c r="E21" s="131">
        <f t="shared" si="2"/>
        <v>0</v>
      </c>
      <c r="F21" s="132"/>
      <c r="G21" s="131">
        <f t="shared" si="12"/>
        <v>0</v>
      </c>
      <c r="H21" s="91"/>
      <c r="J21" s="60"/>
      <c r="K21" s="130"/>
      <c r="L21" s="130"/>
      <c r="M21" s="131">
        <f t="shared" si="4"/>
        <v>0</v>
      </c>
      <c r="N21" s="132"/>
      <c r="O21" s="131">
        <f t="shared" si="13"/>
        <v>0</v>
      </c>
      <c r="P21" s="91"/>
      <c r="R21" s="60"/>
      <c r="S21" s="130"/>
      <c r="T21" s="130"/>
      <c r="U21" s="131">
        <f t="shared" si="14"/>
        <v>0</v>
      </c>
      <c r="V21" s="132"/>
      <c r="W21" s="131">
        <f t="shared" si="15"/>
        <v>0</v>
      </c>
      <c r="X21" s="91"/>
      <c r="Z21" s="60"/>
      <c r="AA21" s="130"/>
      <c r="AB21" s="130"/>
      <c r="AC21" s="131">
        <f t="shared" si="16"/>
        <v>0</v>
      </c>
      <c r="AD21" s="132"/>
      <c r="AE21" s="131">
        <f t="shared" si="17"/>
        <v>0</v>
      </c>
      <c r="AF21" s="91"/>
      <c r="AH21" s="60"/>
      <c r="AI21" s="130"/>
      <c r="AJ21" s="130"/>
      <c r="AK21" s="131">
        <f t="shared" si="18"/>
        <v>0</v>
      </c>
      <c r="AL21" s="132"/>
      <c r="AM21" s="131">
        <f t="shared" si="19"/>
        <v>0</v>
      </c>
      <c r="AN21" s="91"/>
      <c r="AP21" s="60"/>
      <c r="AQ21" s="130"/>
      <c r="AR21" s="130"/>
      <c r="AS21" s="131">
        <f t="shared" si="20"/>
        <v>0</v>
      </c>
      <c r="AT21" s="132"/>
      <c r="AU21" s="131">
        <f t="shared" si="21"/>
        <v>0</v>
      </c>
      <c r="AV21" s="91"/>
    </row>
    <row r="22" spans="2:48" s="24" customFormat="1" ht="15">
      <c r="B22" s="60"/>
      <c r="C22" s="130"/>
      <c r="D22" s="130"/>
      <c r="E22" s="131">
        <f t="shared" si="2"/>
        <v>0</v>
      </c>
      <c r="F22" s="132"/>
      <c r="G22" s="131">
        <f t="shared" si="12"/>
        <v>0</v>
      </c>
      <c r="H22" s="91"/>
      <c r="J22" s="60"/>
      <c r="K22" s="130"/>
      <c r="L22" s="130"/>
      <c r="M22" s="131">
        <f t="shared" si="4"/>
        <v>0</v>
      </c>
      <c r="N22" s="132"/>
      <c r="O22" s="131">
        <f t="shared" si="13"/>
        <v>0</v>
      </c>
      <c r="P22" s="91"/>
      <c r="R22" s="60"/>
      <c r="S22" s="130"/>
      <c r="T22" s="130"/>
      <c r="U22" s="131">
        <f t="shared" si="14"/>
        <v>0</v>
      </c>
      <c r="V22" s="132"/>
      <c r="W22" s="131">
        <f t="shared" si="15"/>
        <v>0</v>
      </c>
      <c r="X22" s="91"/>
      <c r="Z22" s="60"/>
      <c r="AA22" s="130"/>
      <c r="AB22" s="130"/>
      <c r="AC22" s="131">
        <f t="shared" si="16"/>
        <v>0</v>
      </c>
      <c r="AD22" s="132"/>
      <c r="AE22" s="131">
        <f t="shared" si="17"/>
        <v>0</v>
      </c>
      <c r="AF22" s="91"/>
      <c r="AH22" s="60"/>
      <c r="AI22" s="130"/>
      <c r="AJ22" s="130"/>
      <c r="AK22" s="131">
        <f t="shared" si="18"/>
        <v>0</v>
      </c>
      <c r="AL22" s="132"/>
      <c r="AM22" s="131">
        <f t="shared" si="19"/>
        <v>0</v>
      </c>
      <c r="AN22" s="91"/>
      <c r="AP22" s="60"/>
      <c r="AQ22" s="130"/>
      <c r="AR22" s="130"/>
      <c r="AS22" s="131">
        <f t="shared" si="20"/>
        <v>0</v>
      </c>
      <c r="AT22" s="132"/>
      <c r="AU22" s="131">
        <f t="shared" si="21"/>
        <v>0</v>
      </c>
      <c r="AV22" s="91"/>
    </row>
    <row r="23" spans="2:48" s="24" customFormat="1" ht="15">
      <c r="B23" s="60"/>
      <c r="C23" s="130"/>
      <c r="D23" s="130"/>
      <c r="E23" s="131">
        <f t="shared" si="2"/>
        <v>0</v>
      </c>
      <c r="F23" s="132"/>
      <c r="G23" s="131">
        <f t="shared" si="12"/>
        <v>0</v>
      </c>
      <c r="H23" s="91"/>
      <c r="J23" s="60"/>
      <c r="K23" s="130"/>
      <c r="L23" s="130"/>
      <c r="M23" s="131">
        <f t="shared" si="4"/>
        <v>0</v>
      </c>
      <c r="N23" s="132"/>
      <c r="O23" s="131">
        <f t="shared" si="13"/>
        <v>0</v>
      </c>
      <c r="P23" s="91"/>
      <c r="R23" s="60"/>
      <c r="S23" s="130"/>
      <c r="T23" s="130"/>
      <c r="U23" s="131">
        <f t="shared" si="14"/>
        <v>0</v>
      </c>
      <c r="V23" s="132"/>
      <c r="W23" s="131">
        <f t="shared" si="15"/>
        <v>0</v>
      </c>
      <c r="X23" s="91"/>
      <c r="Z23" s="60"/>
      <c r="AA23" s="130"/>
      <c r="AB23" s="130"/>
      <c r="AC23" s="131">
        <f t="shared" si="16"/>
        <v>0</v>
      </c>
      <c r="AD23" s="132"/>
      <c r="AE23" s="131">
        <f t="shared" si="17"/>
        <v>0</v>
      </c>
      <c r="AF23" s="91"/>
      <c r="AH23" s="60"/>
      <c r="AI23" s="130"/>
      <c r="AJ23" s="130"/>
      <c r="AK23" s="131">
        <f t="shared" si="18"/>
        <v>0</v>
      </c>
      <c r="AL23" s="132"/>
      <c r="AM23" s="131">
        <f t="shared" si="19"/>
        <v>0</v>
      </c>
      <c r="AN23" s="91"/>
      <c r="AP23" s="60"/>
      <c r="AQ23" s="130"/>
      <c r="AR23" s="130"/>
      <c r="AS23" s="131">
        <f t="shared" si="20"/>
        <v>0</v>
      </c>
      <c r="AT23" s="132"/>
      <c r="AU23" s="131">
        <f t="shared" si="21"/>
        <v>0</v>
      </c>
      <c r="AV23" s="91"/>
    </row>
    <row r="24" spans="2:48" s="24" customFormat="1" ht="15">
      <c r="B24" s="60"/>
      <c r="C24" s="130"/>
      <c r="D24" s="130"/>
      <c r="E24" s="131">
        <f t="shared" si="2"/>
        <v>0</v>
      </c>
      <c r="F24" s="132"/>
      <c r="G24" s="131">
        <f t="shared" si="12"/>
        <v>0</v>
      </c>
      <c r="H24" s="91"/>
      <c r="J24" s="60"/>
      <c r="K24" s="130"/>
      <c r="L24" s="130"/>
      <c r="M24" s="131">
        <f t="shared" si="4"/>
        <v>0</v>
      </c>
      <c r="N24" s="132"/>
      <c r="O24" s="131">
        <f t="shared" si="13"/>
        <v>0</v>
      </c>
      <c r="P24" s="91"/>
      <c r="R24" s="60"/>
      <c r="S24" s="130"/>
      <c r="T24" s="130"/>
      <c r="U24" s="131">
        <f t="shared" si="14"/>
        <v>0</v>
      </c>
      <c r="V24" s="132"/>
      <c r="W24" s="131">
        <f t="shared" si="15"/>
        <v>0</v>
      </c>
      <c r="X24" s="91"/>
      <c r="Z24" s="60"/>
      <c r="AA24" s="130"/>
      <c r="AB24" s="130"/>
      <c r="AC24" s="131">
        <f t="shared" si="16"/>
        <v>0</v>
      </c>
      <c r="AD24" s="132"/>
      <c r="AE24" s="131">
        <f t="shared" si="17"/>
        <v>0</v>
      </c>
      <c r="AF24" s="91"/>
      <c r="AH24" s="60"/>
      <c r="AI24" s="130"/>
      <c r="AJ24" s="130"/>
      <c r="AK24" s="131">
        <f t="shared" si="18"/>
        <v>0</v>
      </c>
      <c r="AL24" s="132"/>
      <c r="AM24" s="131">
        <f t="shared" si="19"/>
        <v>0</v>
      </c>
      <c r="AN24" s="91"/>
      <c r="AP24" s="60"/>
      <c r="AQ24" s="130"/>
      <c r="AR24" s="130"/>
      <c r="AS24" s="131">
        <f t="shared" si="20"/>
        <v>0</v>
      </c>
      <c r="AT24" s="132"/>
      <c r="AU24" s="131">
        <f t="shared" si="21"/>
        <v>0</v>
      </c>
      <c r="AV24" s="91"/>
    </row>
    <row r="25" spans="2:48" s="24" customFormat="1" ht="30">
      <c r="B25" s="135" t="s">
        <v>140</v>
      </c>
      <c r="C25" s="136">
        <f>SUM(C17:C24)</f>
        <v>0</v>
      </c>
      <c r="D25" s="145">
        <f>SUM(D17:D24)</f>
        <v>0</v>
      </c>
      <c r="E25" s="137">
        <f>SUM(E17:E24)</f>
        <v>0</v>
      </c>
      <c r="F25" s="138"/>
      <c r="G25" s="137">
        <f>SUM(G17:G24)</f>
        <v>0</v>
      </c>
      <c r="H25" s="135"/>
      <c r="J25" s="135" t="s">
        <v>140</v>
      </c>
      <c r="K25" s="136">
        <f>SUM(K17:K24)</f>
        <v>0</v>
      </c>
      <c r="L25" s="145">
        <f>SUM(L17:L24)</f>
        <v>0</v>
      </c>
      <c r="M25" s="137">
        <f>SUM(M17:M24)</f>
        <v>0</v>
      </c>
      <c r="N25" s="138"/>
      <c r="O25" s="137">
        <f>SUM(O17:O24)</f>
        <v>0</v>
      </c>
      <c r="P25" s="135"/>
      <c r="R25" s="135" t="s">
        <v>140</v>
      </c>
      <c r="S25" s="136">
        <f>SUM(S17:S24)</f>
        <v>0</v>
      </c>
      <c r="T25" s="145">
        <f>SUM(T17:T24)</f>
        <v>0</v>
      </c>
      <c r="U25" s="137">
        <f>SUM(U17:U24)</f>
        <v>0</v>
      </c>
      <c r="V25" s="138"/>
      <c r="W25" s="137">
        <f>SUM(W17:W24)</f>
        <v>0</v>
      </c>
      <c r="X25" s="135"/>
      <c r="Z25" s="135" t="s">
        <v>140</v>
      </c>
      <c r="AA25" s="136">
        <f>SUM(AA17:AA24)</f>
        <v>0</v>
      </c>
      <c r="AB25" s="145">
        <f>SUM(AB17:AB24)</f>
        <v>0</v>
      </c>
      <c r="AC25" s="137">
        <f>SUM(AC17:AC24)</f>
        <v>0</v>
      </c>
      <c r="AD25" s="138"/>
      <c r="AE25" s="137">
        <f>SUM(AE17:AE24)</f>
        <v>0</v>
      </c>
      <c r="AF25" s="135"/>
      <c r="AH25" s="135" t="s">
        <v>140</v>
      </c>
      <c r="AI25" s="136">
        <f>SUM(AI17:AI24)</f>
        <v>0</v>
      </c>
      <c r="AJ25" s="145">
        <f>SUM(AJ17:AJ24)</f>
        <v>0</v>
      </c>
      <c r="AK25" s="137">
        <f>SUM(AK17:AK24)</f>
        <v>0</v>
      </c>
      <c r="AL25" s="138"/>
      <c r="AM25" s="137">
        <f>SUM(AM17:AM24)</f>
        <v>0</v>
      </c>
      <c r="AN25" s="135"/>
      <c r="AP25" s="135" t="s">
        <v>140</v>
      </c>
      <c r="AQ25" s="136">
        <f>SUM(AQ17:AQ24)</f>
        <v>0</v>
      </c>
      <c r="AR25" s="145">
        <f>SUM(AR17:AR24)</f>
        <v>0</v>
      </c>
      <c r="AS25" s="137">
        <f>SUM(AS17:AS24)</f>
        <v>0</v>
      </c>
      <c r="AT25" s="138"/>
      <c r="AU25" s="137">
        <f>SUM(AU17:AU24)</f>
        <v>0</v>
      </c>
      <c r="AV25" s="135"/>
    </row>
    <row r="26" spans="2:48" s="24" customFormat="1" ht="60">
      <c r="B26" s="71" t="s">
        <v>286</v>
      </c>
      <c r="C26" s="128" t="s">
        <v>265</v>
      </c>
      <c r="D26" s="127" t="s">
        <v>109</v>
      </c>
      <c r="E26" s="127" t="s">
        <v>110</v>
      </c>
      <c r="F26" s="128" t="s">
        <v>111</v>
      </c>
      <c r="G26" s="128" t="s">
        <v>112</v>
      </c>
      <c r="H26" s="129"/>
      <c r="J26" s="71" t="s">
        <v>286</v>
      </c>
      <c r="K26" s="128" t="s">
        <v>265</v>
      </c>
      <c r="L26" s="127" t="s">
        <v>109</v>
      </c>
      <c r="M26" s="127" t="s">
        <v>110</v>
      </c>
      <c r="N26" s="128" t="s">
        <v>111</v>
      </c>
      <c r="O26" s="128" t="s">
        <v>112</v>
      </c>
      <c r="P26" s="129"/>
      <c r="R26" s="71" t="s">
        <v>286</v>
      </c>
      <c r="S26" s="128" t="s">
        <v>265</v>
      </c>
      <c r="T26" s="127" t="s">
        <v>109</v>
      </c>
      <c r="U26" s="127" t="s">
        <v>110</v>
      </c>
      <c r="V26" s="128" t="s">
        <v>111</v>
      </c>
      <c r="W26" s="128" t="s">
        <v>112</v>
      </c>
      <c r="X26" s="129"/>
      <c r="Z26" s="71" t="s">
        <v>286</v>
      </c>
      <c r="AA26" s="128" t="s">
        <v>265</v>
      </c>
      <c r="AB26" s="127" t="s">
        <v>109</v>
      </c>
      <c r="AC26" s="127" t="s">
        <v>110</v>
      </c>
      <c r="AD26" s="128" t="s">
        <v>111</v>
      </c>
      <c r="AE26" s="128" t="s">
        <v>112</v>
      </c>
      <c r="AF26" s="129"/>
      <c r="AH26" s="71" t="s">
        <v>286</v>
      </c>
      <c r="AI26" s="128" t="s">
        <v>265</v>
      </c>
      <c r="AJ26" s="127" t="s">
        <v>109</v>
      </c>
      <c r="AK26" s="127" t="s">
        <v>110</v>
      </c>
      <c r="AL26" s="128" t="s">
        <v>111</v>
      </c>
      <c r="AM26" s="128" t="s">
        <v>112</v>
      </c>
      <c r="AN26" s="129"/>
      <c r="AP26" s="71" t="s">
        <v>286</v>
      </c>
      <c r="AQ26" s="128" t="s">
        <v>265</v>
      </c>
      <c r="AR26" s="127" t="s">
        <v>109</v>
      </c>
      <c r="AS26" s="127" t="s">
        <v>110</v>
      </c>
      <c r="AT26" s="128" t="s">
        <v>111</v>
      </c>
      <c r="AU26" s="128" t="s">
        <v>112</v>
      </c>
      <c r="AV26" s="129"/>
    </row>
    <row r="27" spans="2:48" ht="15">
      <c r="B27" s="60" t="s">
        <v>68</v>
      </c>
      <c r="C27" s="130"/>
      <c r="D27" s="130"/>
      <c r="E27" s="131">
        <f t="shared" si="2"/>
        <v>0</v>
      </c>
      <c r="F27" s="132"/>
      <c r="G27" s="131">
        <f t="shared" ref="G27:G30" si="22">E27*(1-F27)</f>
        <v>0</v>
      </c>
      <c r="H27" s="91"/>
      <c r="J27" s="60" t="s">
        <v>68</v>
      </c>
      <c r="K27" s="130"/>
      <c r="L27" s="130"/>
      <c r="M27" s="131">
        <f t="shared" si="4"/>
        <v>0</v>
      </c>
      <c r="N27" s="132"/>
      <c r="O27" s="131">
        <f t="shared" ref="O27:O30" si="23">M27*(1-N27)</f>
        <v>0</v>
      </c>
      <c r="P27" s="91"/>
      <c r="R27" s="60" t="s">
        <v>68</v>
      </c>
      <c r="S27" s="130"/>
      <c r="T27" s="130"/>
      <c r="U27" s="131">
        <f t="shared" ref="U27:U30" si="24">S27*T27</f>
        <v>0</v>
      </c>
      <c r="V27" s="132"/>
      <c r="W27" s="131">
        <f t="shared" ref="W27:W30" si="25">U27*(1-V27)</f>
        <v>0</v>
      </c>
      <c r="X27" s="91"/>
      <c r="Z27" s="60" t="s">
        <v>68</v>
      </c>
      <c r="AA27" s="130"/>
      <c r="AB27" s="130"/>
      <c r="AC27" s="131">
        <f>AA27*AB27</f>
        <v>0</v>
      </c>
      <c r="AD27" s="132"/>
      <c r="AE27" s="131">
        <f t="shared" ref="AE27:AE30" si="26">AC27*(1-AD27)</f>
        <v>0</v>
      </c>
      <c r="AF27" s="91"/>
      <c r="AH27" s="60" t="s">
        <v>68</v>
      </c>
      <c r="AI27" s="130"/>
      <c r="AJ27" s="130"/>
      <c r="AK27" s="131">
        <f>AI27*AJ27</f>
        <v>0</v>
      </c>
      <c r="AL27" s="132"/>
      <c r="AM27" s="131">
        <f t="shared" ref="AM27:AM30" si="27">AK27*(1-AL27)</f>
        <v>0</v>
      </c>
      <c r="AN27" s="91"/>
      <c r="AP27" s="60" t="s">
        <v>68</v>
      </c>
      <c r="AQ27" s="130"/>
      <c r="AR27" s="130"/>
      <c r="AS27" s="131">
        <f t="shared" ref="AS27:AS30" si="28">AQ27*AR27</f>
        <v>0</v>
      </c>
      <c r="AT27" s="132"/>
      <c r="AU27" s="131">
        <f>AS27*(1-AT27)</f>
        <v>0</v>
      </c>
      <c r="AV27" s="91"/>
    </row>
    <row r="28" spans="2:48" ht="15">
      <c r="B28" s="60" t="s">
        <v>287</v>
      </c>
      <c r="C28" s="130"/>
      <c r="D28" s="130"/>
      <c r="E28" s="131">
        <f t="shared" si="2"/>
        <v>0</v>
      </c>
      <c r="F28" s="132"/>
      <c r="G28" s="131">
        <f t="shared" si="22"/>
        <v>0</v>
      </c>
      <c r="H28" s="91"/>
      <c r="J28" s="60" t="s">
        <v>287</v>
      </c>
      <c r="K28" s="130"/>
      <c r="L28" s="130"/>
      <c r="M28" s="131">
        <f t="shared" si="4"/>
        <v>0</v>
      </c>
      <c r="N28" s="132"/>
      <c r="O28" s="131">
        <f t="shared" si="23"/>
        <v>0</v>
      </c>
      <c r="P28" s="91"/>
      <c r="R28" s="60" t="s">
        <v>287</v>
      </c>
      <c r="S28" s="130"/>
      <c r="T28" s="130"/>
      <c r="U28" s="131">
        <f t="shared" si="24"/>
        <v>0</v>
      </c>
      <c r="V28" s="132"/>
      <c r="W28" s="131">
        <f t="shared" si="25"/>
        <v>0</v>
      </c>
      <c r="X28" s="91"/>
      <c r="Z28" s="60" t="s">
        <v>287</v>
      </c>
      <c r="AA28" s="130"/>
      <c r="AB28" s="130"/>
      <c r="AC28" s="131">
        <f>AA28*AB28</f>
        <v>0</v>
      </c>
      <c r="AD28" s="132"/>
      <c r="AE28" s="131">
        <f t="shared" si="26"/>
        <v>0</v>
      </c>
      <c r="AF28" s="91"/>
      <c r="AH28" s="60" t="s">
        <v>287</v>
      </c>
      <c r="AI28" s="130"/>
      <c r="AJ28" s="130"/>
      <c r="AK28" s="131">
        <f>AI28*AJ28</f>
        <v>0</v>
      </c>
      <c r="AL28" s="132"/>
      <c r="AM28" s="131">
        <f t="shared" si="27"/>
        <v>0</v>
      </c>
      <c r="AN28" s="91"/>
      <c r="AP28" s="60" t="s">
        <v>287</v>
      </c>
      <c r="AQ28" s="130"/>
      <c r="AR28" s="130"/>
      <c r="AS28" s="131">
        <f t="shared" si="28"/>
        <v>0</v>
      </c>
      <c r="AT28" s="132"/>
      <c r="AU28" s="131">
        <f>AS28*(1-AT28)</f>
        <v>0</v>
      </c>
      <c r="AV28" s="91"/>
    </row>
    <row r="29" spans="2:48" ht="15">
      <c r="B29" s="60" t="s">
        <v>267</v>
      </c>
      <c r="C29" s="130"/>
      <c r="D29" s="130"/>
      <c r="E29" s="131">
        <f t="shared" si="2"/>
        <v>0</v>
      </c>
      <c r="F29" s="132"/>
      <c r="G29" s="131">
        <f t="shared" si="22"/>
        <v>0</v>
      </c>
      <c r="H29" s="91"/>
      <c r="J29" s="60" t="s">
        <v>267</v>
      </c>
      <c r="K29" s="130"/>
      <c r="L29" s="130"/>
      <c r="M29" s="131">
        <f t="shared" si="4"/>
        <v>0</v>
      </c>
      <c r="N29" s="132"/>
      <c r="O29" s="131">
        <f t="shared" si="23"/>
        <v>0</v>
      </c>
      <c r="P29" s="91"/>
      <c r="R29" s="60" t="s">
        <v>267</v>
      </c>
      <c r="S29" s="130"/>
      <c r="T29" s="130"/>
      <c r="U29" s="131">
        <f t="shared" si="24"/>
        <v>0</v>
      </c>
      <c r="V29" s="132"/>
      <c r="W29" s="131">
        <f t="shared" si="25"/>
        <v>0</v>
      </c>
      <c r="X29" s="91"/>
      <c r="Z29" s="60" t="s">
        <v>267</v>
      </c>
      <c r="AA29" s="130"/>
      <c r="AB29" s="130"/>
      <c r="AC29" s="131">
        <f>AA29*AB29</f>
        <v>0</v>
      </c>
      <c r="AD29" s="132"/>
      <c r="AE29" s="131">
        <f t="shared" si="26"/>
        <v>0</v>
      </c>
      <c r="AF29" s="91"/>
      <c r="AH29" s="60" t="s">
        <v>267</v>
      </c>
      <c r="AI29" s="130"/>
      <c r="AJ29" s="130"/>
      <c r="AK29" s="131">
        <f>AI29*AJ29</f>
        <v>0</v>
      </c>
      <c r="AL29" s="132"/>
      <c r="AM29" s="131">
        <f t="shared" si="27"/>
        <v>0</v>
      </c>
      <c r="AN29" s="91"/>
      <c r="AP29" s="60" t="s">
        <v>267</v>
      </c>
      <c r="AQ29" s="130"/>
      <c r="AR29" s="130"/>
      <c r="AS29" s="131">
        <f t="shared" si="28"/>
        <v>0</v>
      </c>
      <c r="AT29" s="132"/>
      <c r="AU29" s="131">
        <f>AS29*(1-AT29)</f>
        <v>0</v>
      </c>
      <c r="AV29" s="91"/>
    </row>
    <row r="30" spans="2:48" ht="15">
      <c r="B30" s="60" t="s">
        <v>267</v>
      </c>
      <c r="C30" s="130"/>
      <c r="D30" s="130"/>
      <c r="E30" s="131">
        <f t="shared" si="2"/>
        <v>0</v>
      </c>
      <c r="F30" s="132"/>
      <c r="G30" s="131">
        <f t="shared" si="22"/>
        <v>0</v>
      </c>
      <c r="H30" s="91"/>
      <c r="J30" s="60" t="s">
        <v>267</v>
      </c>
      <c r="K30" s="130"/>
      <c r="L30" s="130"/>
      <c r="M30" s="131">
        <f t="shared" si="4"/>
        <v>0</v>
      </c>
      <c r="N30" s="132"/>
      <c r="O30" s="131">
        <f t="shared" si="23"/>
        <v>0</v>
      </c>
      <c r="P30" s="91"/>
      <c r="R30" s="60" t="s">
        <v>267</v>
      </c>
      <c r="S30" s="130"/>
      <c r="T30" s="130"/>
      <c r="U30" s="131">
        <f t="shared" si="24"/>
        <v>0</v>
      </c>
      <c r="V30" s="132"/>
      <c r="W30" s="131">
        <f t="shared" si="25"/>
        <v>0</v>
      </c>
      <c r="X30" s="91"/>
      <c r="Z30" s="60" t="s">
        <v>267</v>
      </c>
      <c r="AA30" s="130"/>
      <c r="AB30" s="130"/>
      <c r="AC30" s="131">
        <f>AA30*AB30</f>
        <v>0</v>
      </c>
      <c r="AD30" s="132"/>
      <c r="AE30" s="131">
        <f t="shared" si="26"/>
        <v>0</v>
      </c>
      <c r="AF30" s="91"/>
      <c r="AH30" s="60" t="s">
        <v>267</v>
      </c>
      <c r="AI30" s="130"/>
      <c r="AJ30" s="130"/>
      <c r="AK30" s="131">
        <f>AI30*AJ30</f>
        <v>0</v>
      </c>
      <c r="AL30" s="132"/>
      <c r="AM30" s="131">
        <f t="shared" si="27"/>
        <v>0</v>
      </c>
      <c r="AN30" s="91"/>
      <c r="AP30" s="60" t="s">
        <v>267</v>
      </c>
      <c r="AQ30" s="130"/>
      <c r="AR30" s="130"/>
      <c r="AS30" s="131">
        <f t="shared" si="28"/>
        <v>0</v>
      </c>
      <c r="AT30" s="132"/>
      <c r="AU30" s="131">
        <f>AS30*(1-AT30)</f>
        <v>0</v>
      </c>
      <c r="AV30" s="91"/>
    </row>
    <row r="31" spans="2:48" ht="15">
      <c r="B31" s="135" t="s">
        <v>146</v>
      </c>
      <c r="C31" s="136">
        <f>SUM(C27:C30)</f>
        <v>0</v>
      </c>
      <c r="D31" s="145">
        <f>SUM(D27:D30)</f>
        <v>0</v>
      </c>
      <c r="E31" s="137">
        <f>SUM(E27:E30)</f>
        <v>0</v>
      </c>
      <c r="F31" s="138"/>
      <c r="G31" s="137">
        <f>SUM(G27:G30)</f>
        <v>0</v>
      </c>
      <c r="H31" s="135"/>
      <c r="J31" s="135" t="s">
        <v>146</v>
      </c>
      <c r="K31" s="136">
        <f>SUM(K27:K30)</f>
        <v>0</v>
      </c>
      <c r="L31" s="145">
        <f>SUM(L27:L30)</f>
        <v>0</v>
      </c>
      <c r="M31" s="137">
        <f>SUM(M27:M30)</f>
        <v>0</v>
      </c>
      <c r="N31" s="138"/>
      <c r="O31" s="137">
        <f>SUM(O27:O30)</f>
        <v>0</v>
      </c>
      <c r="P31" s="135"/>
      <c r="R31" s="135" t="s">
        <v>146</v>
      </c>
      <c r="S31" s="136">
        <f>SUM(S27:S30)</f>
        <v>0</v>
      </c>
      <c r="T31" s="145">
        <f>SUM(T27:T30)</f>
        <v>0</v>
      </c>
      <c r="U31" s="137">
        <f>SUM(U27:U30)</f>
        <v>0</v>
      </c>
      <c r="V31" s="138"/>
      <c r="W31" s="137">
        <f>SUM(W27:W30)</f>
        <v>0</v>
      </c>
      <c r="X31" s="135"/>
      <c r="Z31" s="135" t="s">
        <v>146</v>
      </c>
      <c r="AA31" s="136">
        <f>SUM(AA27:AA30)</f>
        <v>0</v>
      </c>
      <c r="AB31" s="145">
        <f>SUM(AB27:AB30)</f>
        <v>0</v>
      </c>
      <c r="AC31" s="137">
        <f>SUM(AC27:AC30)</f>
        <v>0</v>
      </c>
      <c r="AD31" s="138"/>
      <c r="AE31" s="137">
        <f>SUM(AE27:AE30)</f>
        <v>0</v>
      </c>
      <c r="AF31" s="135"/>
      <c r="AH31" s="135" t="s">
        <v>146</v>
      </c>
      <c r="AI31" s="136">
        <f>SUM(AI27:AI30)</f>
        <v>0</v>
      </c>
      <c r="AJ31" s="145">
        <f>SUM(AJ27:AJ30)</f>
        <v>0</v>
      </c>
      <c r="AK31" s="137">
        <f>SUM(AK27:AK30)</f>
        <v>0</v>
      </c>
      <c r="AL31" s="138"/>
      <c r="AM31" s="137">
        <f>SUM(AM27:AM30)</f>
        <v>0</v>
      </c>
      <c r="AN31" s="135"/>
      <c r="AP31" s="135" t="s">
        <v>146</v>
      </c>
      <c r="AQ31" s="136">
        <f>SUM(AQ27:AQ30)</f>
        <v>0</v>
      </c>
      <c r="AR31" s="145">
        <f>SUM(AR27:AR30)</f>
        <v>0</v>
      </c>
      <c r="AS31" s="137">
        <f>SUM(AS27:AS30)</f>
        <v>0</v>
      </c>
      <c r="AT31" s="138"/>
      <c r="AU31" s="137">
        <f>SUM(AU27:AU30)</f>
        <v>0</v>
      </c>
      <c r="AV31" s="135"/>
    </row>
    <row r="32" spans="2:48" ht="60">
      <c r="B32" s="71" t="s">
        <v>147</v>
      </c>
      <c r="C32" s="128" t="s">
        <v>101</v>
      </c>
      <c r="D32" s="127" t="s">
        <v>109</v>
      </c>
      <c r="E32" s="127" t="s">
        <v>112</v>
      </c>
      <c r="F32" s="128" t="s">
        <v>111</v>
      </c>
      <c r="G32" s="128" t="s">
        <v>112</v>
      </c>
      <c r="H32" s="129"/>
      <c r="J32" s="71" t="s">
        <v>147</v>
      </c>
      <c r="K32" s="128" t="s">
        <v>101</v>
      </c>
      <c r="L32" s="127" t="s">
        <v>109</v>
      </c>
      <c r="M32" s="127" t="s">
        <v>112</v>
      </c>
      <c r="N32" s="128" t="s">
        <v>111</v>
      </c>
      <c r="O32" s="128" t="s">
        <v>112</v>
      </c>
      <c r="P32" s="129"/>
      <c r="R32" s="71" t="s">
        <v>147</v>
      </c>
      <c r="S32" s="128" t="s">
        <v>101</v>
      </c>
      <c r="T32" s="127" t="s">
        <v>109</v>
      </c>
      <c r="U32" s="127" t="s">
        <v>112</v>
      </c>
      <c r="V32" s="128" t="s">
        <v>111</v>
      </c>
      <c r="W32" s="128" t="s">
        <v>112</v>
      </c>
      <c r="X32" s="129"/>
      <c r="Z32" s="71" t="s">
        <v>147</v>
      </c>
      <c r="AA32" s="128" t="s">
        <v>101</v>
      </c>
      <c r="AB32" s="127" t="s">
        <v>109</v>
      </c>
      <c r="AC32" s="127" t="s">
        <v>112</v>
      </c>
      <c r="AD32" s="128" t="s">
        <v>111</v>
      </c>
      <c r="AE32" s="128" t="s">
        <v>112</v>
      </c>
      <c r="AF32" s="129"/>
      <c r="AH32" s="71" t="s">
        <v>147</v>
      </c>
      <c r="AI32" s="128" t="s">
        <v>101</v>
      </c>
      <c r="AJ32" s="127" t="s">
        <v>109</v>
      </c>
      <c r="AK32" s="127" t="s">
        <v>112</v>
      </c>
      <c r="AL32" s="128" t="s">
        <v>111</v>
      </c>
      <c r="AM32" s="128" t="s">
        <v>112</v>
      </c>
      <c r="AN32" s="129"/>
      <c r="AP32" s="71" t="s">
        <v>147</v>
      </c>
      <c r="AQ32" s="128" t="s">
        <v>101</v>
      </c>
      <c r="AR32" s="127" t="s">
        <v>109</v>
      </c>
      <c r="AS32" s="127" t="s">
        <v>112</v>
      </c>
      <c r="AT32" s="128" t="s">
        <v>111</v>
      </c>
      <c r="AU32" s="128" t="s">
        <v>112</v>
      </c>
      <c r="AV32" s="129"/>
    </row>
    <row r="33" spans="2:48" ht="15">
      <c r="B33" s="60" t="s">
        <v>65</v>
      </c>
      <c r="C33" s="130"/>
      <c r="D33" s="130"/>
      <c r="E33" s="131">
        <f t="shared" ref="E33:E36" si="29">C33*D33</f>
        <v>0</v>
      </c>
      <c r="F33" s="132"/>
      <c r="G33" s="131">
        <f>E33*(1-F33)</f>
        <v>0</v>
      </c>
      <c r="H33" s="91"/>
      <c r="J33" s="60" t="s">
        <v>65</v>
      </c>
      <c r="K33" s="130"/>
      <c r="L33" s="130"/>
      <c r="M33" s="131">
        <f t="shared" ref="M33:M36" si="30">K33*L33</f>
        <v>0</v>
      </c>
      <c r="N33" s="132"/>
      <c r="O33" s="131">
        <f>M33*(1-N33)</f>
        <v>0</v>
      </c>
      <c r="P33" s="91"/>
      <c r="R33" s="60" t="s">
        <v>65</v>
      </c>
      <c r="S33" s="130"/>
      <c r="T33" s="130"/>
      <c r="U33" s="131">
        <f t="shared" ref="U33:U36" si="31">S33*T33</f>
        <v>0</v>
      </c>
      <c r="V33" s="132"/>
      <c r="W33" s="131">
        <f>U33*(1-V33)</f>
        <v>0</v>
      </c>
      <c r="X33" s="91"/>
      <c r="Z33" s="60" t="s">
        <v>65</v>
      </c>
      <c r="AA33" s="130"/>
      <c r="AB33" s="130"/>
      <c r="AC33" s="131">
        <f>AA33*AB33</f>
        <v>0</v>
      </c>
      <c r="AD33" s="132"/>
      <c r="AE33" s="131">
        <f>AC33*(1-AD33)</f>
        <v>0</v>
      </c>
      <c r="AF33" s="91"/>
      <c r="AH33" s="60" t="s">
        <v>65</v>
      </c>
      <c r="AI33" s="130"/>
      <c r="AJ33" s="130"/>
      <c r="AK33" s="131">
        <f>AI33*AJ33</f>
        <v>0</v>
      </c>
      <c r="AL33" s="132"/>
      <c r="AM33" s="131">
        <f>AK33*(1-AL33)</f>
        <v>0</v>
      </c>
      <c r="AN33" s="91"/>
      <c r="AP33" s="60" t="s">
        <v>65</v>
      </c>
      <c r="AQ33" s="130"/>
      <c r="AR33" s="130"/>
      <c r="AS33" s="131">
        <f t="shared" ref="AS33:AS36" si="32">AQ33*AR33</f>
        <v>0</v>
      </c>
      <c r="AT33" s="132"/>
      <c r="AU33" s="131">
        <f>AS33*(1-AT33)</f>
        <v>0</v>
      </c>
      <c r="AV33" s="91"/>
    </row>
    <row r="34" spans="2:48" ht="42.75">
      <c r="B34" s="60" t="s">
        <v>268</v>
      </c>
      <c r="C34" s="130"/>
      <c r="D34" s="130"/>
      <c r="E34" s="131">
        <f t="shared" si="29"/>
        <v>0</v>
      </c>
      <c r="F34" s="132"/>
      <c r="G34" s="131">
        <f t="shared" ref="G34:G36" si="33">E34*(1-F34)</f>
        <v>0</v>
      </c>
      <c r="H34" s="91"/>
      <c r="J34" s="60" t="s">
        <v>268</v>
      </c>
      <c r="K34" s="130"/>
      <c r="L34" s="130"/>
      <c r="M34" s="131">
        <f t="shared" si="30"/>
        <v>0</v>
      </c>
      <c r="N34" s="132"/>
      <c r="O34" s="131">
        <f t="shared" ref="O34:O36" si="34">M34*(1-N34)</f>
        <v>0</v>
      </c>
      <c r="P34" s="91"/>
      <c r="R34" s="60" t="s">
        <v>268</v>
      </c>
      <c r="S34" s="130"/>
      <c r="T34" s="130"/>
      <c r="U34" s="131">
        <f t="shared" si="31"/>
        <v>0</v>
      </c>
      <c r="V34" s="132"/>
      <c r="W34" s="131">
        <f t="shared" ref="W34:W36" si="35">U34*(1-V34)</f>
        <v>0</v>
      </c>
      <c r="X34" s="91"/>
      <c r="Z34" s="60" t="s">
        <v>268</v>
      </c>
      <c r="AA34" s="130"/>
      <c r="AB34" s="130"/>
      <c r="AC34" s="131">
        <f>AA34*AB34</f>
        <v>0</v>
      </c>
      <c r="AD34" s="132"/>
      <c r="AE34" s="131">
        <f t="shared" ref="AE34:AE36" si="36">AC34*(1-AD34)</f>
        <v>0</v>
      </c>
      <c r="AF34" s="91"/>
      <c r="AH34" s="60" t="s">
        <v>268</v>
      </c>
      <c r="AI34" s="130"/>
      <c r="AJ34" s="130"/>
      <c r="AK34" s="131">
        <f>AI34*AJ34</f>
        <v>0</v>
      </c>
      <c r="AL34" s="132"/>
      <c r="AM34" s="131">
        <f t="shared" ref="AM34:AM36" si="37">AK34*(1-AL34)</f>
        <v>0</v>
      </c>
      <c r="AN34" s="91"/>
      <c r="AP34" s="60" t="s">
        <v>268</v>
      </c>
      <c r="AQ34" s="130"/>
      <c r="AR34" s="130"/>
      <c r="AS34" s="131">
        <f t="shared" si="32"/>
        <v>0</v>
      </c>
      <c r="AT34" s="132"/>
      <c r="AU34" s="131">
        <f>AS34*(1-AT34)</f>
        <v>0</v>
      </c>
      <c r="AV34" s="91"/>
    </row>
    <row r="35" spans="2:48" ht="42.75">
      <c r="B35" s="60" t="s">
        <v>268</v>
      </c>
      <c r="C35" s="130"/>
      <c r="D35" s="130"/>
      <c r="E35" s="131">
        <f t="shared" si="29"/>
        <v>0</v>
      </c>
      <c r="F35" s="132"/>
      <c r="G35" s="131">
        <f t="shared" si="33"/>
        <v>0</v>
      </c>
      <c r="H35" s="91"/>
      <c r="J35" s="60" t="s">
        <v>268</v>
      </c>
      <c r="K35" s="130"/>
      <c r="L35" s="130"/>
      <c r="M35" s="131">
        <f t="shared" si="30"/>
        <v>0</v>
      </c>
      <c r="N35" s="132"/>
      <c r="O35" s="131">
        <f t="shared" si="34"/>
        <v>0</v>
      </c>
      <c r="P35" s="91"/>
      <c r="R35" s="60" t="s">
        <v>268</v>
      </c>
      <c r="S35" s="130"/>
      <c r="T35" s="130"/>
      <c r="U35" s="131">
        <f t="shared" si="31"/>
        <v>0</v>
      </c>
      <c r="V35" s="132"/>
      <c r="W35" s="131">
        <f t="shared" si="35"/>
        <v>0</v>
      </c>
      <c r="X35" s="91"/>
      <c r="Z35" s="60" t="s">
        <v>268</v>
      </c>
      <c r="AA35" s="130"/>
      <c r="AB35" s="130"/>
      <c r="AC35" s="131">
        <f>AA35*AB35</f>
        <v>0</v>
      </c>
      <c r="AD35" s="132"/>
      <c r="AE35" s="131">
        <f t="shared" si="36"/>
        <v>0</v>
      </c>
      <c r="AF35" s="91"/>
      <c r="AH35" s="60" t="s">
        <v>268</v>
      </c>
      <c r="AI35" s="130"/>
      <c r="AJ35" s="130"/>
      <c r="AK35" s="131">
        <f>AI35*AJ35</f>
        <v>0</v>
      </c>
      <c r="AL35" s="132"/>
      <c r="AM35" s="131">
        <f t="shared" si="37"/>
        <v>0</v>
      </c>
      <c r="AN35" s="91"/>
      <c r="AP35" s="60" t="s">
        <v>268</v>
      </c>
      <c r="AQ35" s="130"/>
      <c r="AR35" s="130"/>
      <c r="AS35" s="131">
        <f t="shared" si="32"/>
        <v>0</v>
      </c>
      <c r="AT35" s="132"/>
      <c r="AU35" s="131">
        <f>AS35*(1-AT35)</f>
        <v>0</v>
      </c>
      <c r="AV35" s="91"/>
    </row>
    <row r="36" spans="2:48" ht="42.75">
      <c r="B36" s="60" t="s">
        <v>268</v>
      </c>
      <c r="C36" s="130"/>
      <c r="D36" s="130"/>
      <c r="E36" s="131">
        <f t="shared" si="29"/>
        <v>0</v>
      </c>
      <c r="F36" s="132"/>
      <c r="G36" s="131">
        <f t="shared" si="33"/>
        <v>0</v>
      </c>
      <c r="H36" s="91"/>
      <c r="J36" s="60" t="s">
        <v>268</v>
      </c>
      <c r="K36" s="130"/>
      <c r="L36" s="130"/>
      <c r="M36" s="131">
        <f t="shared" si="30"/>
        <v>0</v>
      </c>
      <c r="N36" s="132"/>
      <c r="O36" s="131">
        <f t="shared" si="34"/>
        <v>0</v>
      </c>
      <c r="P36" s="91"/>
      <c r="R36" s="60" t="s">
        <v>268</v>
      </c>
      <c r="S36" s="130"/>
      <c r="T36" s="130"/>
      <c r="U36" s="131">
        <f t="shared" si="31"/>
        <v>0</v>
      </c>
      <c r="V36" s="132"/>
      <c r="W36" s="131">
        <f t="shared" si="35"/>
        <v>0</v>
      </c>
      <c r="X36" s="91"/>
      <c r="Z36" s="60" t="s">
        <v>268</v>
      </c>
      <c r="AA36" s="130"/>
      <c r="AB36" s="130"/>
      <c r="AC36" s="131">
        <f>AA36*AB36</f>
        <v>0</v>
      </c>
      <c r="AD36" s="132"/>
      <c r="AE36" s="131">
        <f t="shared" si="36"/>
        <v>0</v>
      </c>
      <c r="AF36" s="91"/>
      <c r="AH36" s="60" t="s">
        <v>268</v>
      </c>
      <c r="AI36" s="130"/>
      <c r="AJ36" s="130"/>
      <c r="AK36" s="131">
        <f>AI36*AJ36</f>
        <v>0</v>
      </c>
      <c r="AL36" s="132"/>
      <c r="AM36" s="131">
        <f t="shared" si="37"/>
        <v>0</v>
      </c>
      <c r="AN36" s="91"/>
      <c r="AP36" s="60" t="s">
        <v>268</v>
      </c>
      <c r="AQ36" s="130"/>
      <c r="AR36" s="130"/>
      <c r="AS36" s="131">
        <f t="shared" si="32"/>
        <v>0</v>
      </c>
      <c r="AT36" s="132"/>
      <c r="AU36" s="131">
        <f>AS36*(1-AT36)</f>
        <v>0</v>
      </c>
      <c r="AV36" s="91"/>
    </row>
    <row r="37" spans="2:48" ht="15">
      <c r="B37" s="135" t="s">
        <v>151</v>
      </c>
      <c r="C37" s="136">
        <f>SUM(C33:C36)</f>
        <v>0</v>
      </c>
      <c r="D37" s="145">
        <f>SUM(D33:D36)</f>
        <v>0</v>
      </c>
      <c r="E37" s="137">
        <f>SUM(E33:E36)</f>
        <v>0</v>
      </c>
      <c r="F37" s="138"/>
      <c r="G37" s="137">
        <f>SUM(G33:G36)</f>
        <v>0</v>
      </c>
      <c r="H37" s="135"/>
      <c r="J37" s="135" t="s">
        <v>151</v>
      </c>
      <c r="K37" s="136">
        <f>SUM(K33:K36)</f>
        <v>0</v>
      </c>
      <c r="L37" s="145">
        <f>SUM(L33:L36)</f>
        <v>0</v>
      </c>
      <c r="M37" s="137">
        <f>SUM(M33:M36)</f>
        <v>0</v>
      </c>
      <c r="N37" s="138"/>
      <c r="O37" s="137">
        <f>SUM(O33:O36)</f>
        <v>0</v>
      </c>
      <c r="P37" s="135"/>
      <c r="R37" s="135" t="s">
        <v>151</v>
      </c>
      <c r="S37" s="136">
        <f>SUM(S33:S36)</f>
        <v>0</v>
      </c>
      <c r="T37" s="145">
        <f>SUM(T33:T36)</f>
        <v>0</v>
      </c>
      <c r="U37" s="137">
        <f>SUM(U33:U36)</f>
        <v>0</v>
      </c>
      <c r="V37" s="138"/>
      <c r="W37" s="137">
        <f>SUM(W33:W36)</f>
        <v>0</v>
      </c>
      <c r="X37" s="135"/>
      <c r="Z37" s="135" t="s">
        <v>151</v>
      </c>
      <c r="AA37" s="136">
        <f>SUM(AA33:AA36)</f>
        <v>0</v>
      </c>
      <c r="AB37" s="145">
        <f>SUM(AB33:AB36)</f>
        <v>0</v>
      </c>
      <c r="AC37" s="137">
        <f>SUM(AC33:AC36)</f>
        <v>0</v>
      </c>
      <c r="AD37" s="138"/>
      <c r="AE37" s="137">
        <f>SUM(AE33:AE36)</f>
        <v>0</v>
      </c>
      <c r="AF37" s="135"/>
      <c r="AH37" s="135" t="s">
        <v>151</v>
      </c>
      <c r="AI37" s="136">
        <f>SUM(AI33:AI36)</f>
        <v>0</v>
      </c>
      <c r="AJ37" s="145">
        <f>SUM(AJ33:AJ36)</f>
        <v>0</v>
      </c>
      <c r="AK37" s="137">
        <f>SUM(AK33:AK36)</f>
        <v>0</v>
      </c>
      <c r="AL37" s="138"/>
      <c r="AM37" s="137">
        <f>SUM(AM33:AM36)</f>
        <v>0</v>
      </c>
      <c r="AN37" s="135"/>
      <c r="AP37" s="135" t="s">
        <v>151</v>
      </c>
      <c r="AQ37" s="136">
        <f>SUM(AQ33:AQ36)</f>
        <v>0</v>
      </c>
      <c r="AR37" s="145">
        <f>SUM(AR33:AR36)</f>
        <v>0</v>
      </c>
      <c r="AS37" s="137">
        <f>SUM(AS33:AS36)</f>
        <v>0</v>
      </c>
      <c r="AT37" s="138"/>
      <c r="AU37" s="137">
        <f>SUM(AU33:AU36)</f>
        <v>0</v>
      </c>
      <c r="AV37" s="135"/>
    </row>
    <row r="38" spans="2:48">
      <c r="B38" s="40"/>
      <c r="C38" s="140"/>
      <c r="D38" s="24"/>
      <c r="E38" s="24"/>
      <c r="F38" s="24"/>
      <c r="G38" s="24"/>
      <c r="H38" s="140"/>
      <c r="J38" s="40"/>
      <c r="K38" s="140"/>
      <c r="L38" s="24"/>
      <c r="M38" s="24"/>
      <c r="N38" s="24"/>
      <c r="O38" s="24"/>
      <c r="P38" s="140"/>
      <c r="R38" s="40"/>
      <c r="S38" s="140"/>
      <c r="T38" s="24"/>
      <c r="U38" s="24"/>
      <c r="V38" s="24"/>
      <c r="W38" s="24"/>
      <c r="X38" s="140"/>
      <c r="Z38" s="40"/>
      <c r="AA38" s="140"/>
      <c r="AB38" s="24"/>
      <c r="AC38" s="24"/>
      <c r="AD38" s="24"/>
      <c r="AE38" s="24"/>
      <c r="AF38" s="140"/>
      <c r="AH38" s="40"/>
      <c r="AI38" s="140"/>
      <c r="AJ38" s="24"/>
      <c r="AK38" s="24"/>
      <c r="AL38" s="24"/>
      <c r="AM38" s="24"/>
      <c r="AN38" s="140"/>
      <c r="AP38" s="40"/>
      <c r="AQ38" s="140"/>
      <c r="AR38" s="24"/>
      <c r="AS38" s="24"/>
      <c r="AT38" s="24"/>
      <c r="AU38" s="24"/>
      <c r="AV38" s="140"/>
    </row>
    <row r="39" spans="2:48" ht="15">
      <c r="B39" s="24"/>
      <c r="C39" s="141" t="s">
        <v>35</v>
      </c>
      <c r="D39" s="142"/>
      <c r="E39" s="142"/>
      <c r="F39" s="142"/>
      <c r="G39" s="143">
        <f>G15+G25+G31+G37</f>
        <v>0</v>
      </c>
      <c r="H39" s="144"/>
      <c r="J39" s="24"/>
      <c r="K39" s="141" t="s">
        <v>35</v>
      </c>
      <c r="L39" s="142"/>
      <c r="M39" s="142"/>
      <c r="N39" s="142"/>
      <c r="O39" s="143">
        <f>O15+O25+O31+O37</f>
        <v>0</v>
      </c>
      <c r="P39" s="144"/>
      <c r="R39" s="24"/>
      <c r="S39" s="141" t="s">
        <v>35</v>
      </c>
      <c r="T39" s="142"/>
      <c r="U39" s="142"/>
      <c r="V39" s="142"/>
      <c r="W39" s="143">
        <f>W15+W25+W31+W37</f>
        <v>0</v>
      </c>
      <c r="X39" s="144"/>
      <c r="Z39" s="24"/>
      <c r="AA39" s="141" t="s">
        <v>35</v>
      </c>
      <c r="AB39" s="142"/>
      <c r="AC39" s="142"/>
      <c r="AD39" s="142"/>
      <c r="AE39" s="143">
        <f>AE15+AE25+AE31+AE37</f>
        <v>0</v>
      </c>
      <c r="AF39" s="144"/>
      <c r="AH39" s="24"/>
      <c r="AI39" s="141" t="s">
        <v>35</v>
      </c>
      <c r="AJ39" s="142"/>
      <c r="AK39" s="142"/>
      <c r="AL39" s="142"/>
      <c r="AM39" s="143">
        <f>AM15+AM25+AM31+AM37</f>
        <v>0</v>
      </c>
      <c r="AN39" s="144"/>
      <c r="AP39" s="24"/>
      <c r="AQ39" s="141" t="s">
        <v>35</v>
      </c>
      <c r="AR39" s="142"/>
      <c r="AS39" s="142"/>
      <c r="AT39" s="142"/>
      <c r="AU39" s="143">
        <f>AU15+AU25+AU31+AU37</f>
        <v>0</v>
      </c>
      <c r="AV39" s="144"/>
    </row>
  </sheetData>
  <mergeCells count="18">
    <mergeCell ref="E6:G6"/>
    <mergeCell ref="E3:H3"/>
    <mergeCell ref="E4:H4"/>
    <mergeCell ref="U6:W6"/>
    <mergeCell ref="AC6:AE6"/>
    <mergeCell ref="M6:O6"/>
    <mergeCell ref="U3:X3"/>
    <mergeCell ref="U4:X4"/>
    <mergeCell ref="AC3:AF3"/>
    <mergeCell ref="AC4:AF4"/>
    <mergeCell ref="M3:P3"/>
    <mergeCell ref="M4:P4"/>
    <mergeCell ref="AK3:AN3"/>
    <mergeCell ref="AK4:AN4"/>
    <mergeCell ref="AK6:AM6"/>
    <mergeCell ref="AS6:AU6"/>
    <mergeCell ref="AS3:AV3"/>
    <mergeCell ref="AS4:AV4"/>
  </mergeCells>
  <phoneticPr fontId="17" type="noConversion"/>
  <pageMargins left="0.7" right="0.7" top="0.75" bottom="0.75" header="0.3" footer="0.3"/>
  <pageSetup paperSize="9" orientation="portrait" r:id="rId1"/>
  <customProperties>
    <customPr name="OrphanNamesChecked" r:id="rId2"/>
  </customPropertie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61C5-C4DB-46AE-A126-C645CF8C3BE5}">
  <dimension ref="A1:DV196"/>
  <sheetViews>
    <sheetView workbookViewId="0"/>
  </sheetViews>
  <sheetFormatPr defaultColWidth="11.42578125" defaultRowHeight="14.25"/>
  <cols>
    <col min="1" max="1" width="3.42578125" style="53" customWidth="1"/>
    <col min="2" max="2" width="67.42578125" style="53" customWidth="1"/>
    <col min="3" max="3" width="18.28515625" style="53" customWidth="1"/>
    <col min="4" max="4" width="13.28515625" style="53" customWidth="1"/>
    <col min="5" max="5" width="16.28515625" style="53" customWidth="1"/>
    <col min="6" max="6" width="16.7109375" style="53" customWidth="1"/>
    <col min="7" max="7" width="19.28515625" style="122" customWidth="1"/>
    <col min="8" max="8" width="15.7109375" style="123" customWidth="1"/>
    <col min="9" max="10" width="10.28515625" style="53" customWidth="1"/>
    <col min="11" max="11" width="15.42578125" style="54" customWidth="1"/>
    <col min="12" max="12" width="15.42578125" style="55" customWidth="1"/>
    <col min="13" max="13" width="13.28515625" style="53" customWidth="1"/>
    <col min="14" max="14" width="7" style="53" customWidth="1"/>
    <col min="15" max="15" width="12.28515625" style="53" customWidth="1"/>
    <col min="16" max="16" width="8.28515625" style="53" customWidth="1"/>
    <col min="17" max="17" width="20.28515625" style="53" customWidth="1"/>
    <col min="18" max="18" width="10.28515625" style="53" customWidth="1"/>
    <col min="19" max="19" width="11" style="53" customWidth="1"/>
    <col min="20" max="20" width="8.28515625" style="53" customWidth="1"/>
    <col min="21" max="21" width="15.42578125" style="53" customWidth="1"/>
    <col min="22" max="22" width="4.28515625" style="53" customWidth="1"/>
    <col min="23" max="23" width="67.42578125" style="53" customWidth="1"/>
    <col min="24" max="25" width="11.7109375" style="53" customWidth="1"/>
    <col min="26" max="26" width="13.42578125" style="53" customWidth="1"/>
    <col min="27" max="27" width="14.42578125" style="53" customWidth="1"/>
    <col min="28" max="28" width="10.42578125" style="53" customWidth="1"/>
    <col min="29" max="29" width="12.28515625" style="53" customWidth="1"/>
    <col min="30" max="30" width="11" style="53" customWidth="1"/>
    <col min="31" max="31" width="11.42578125" style="53"/>
    <col min="32" max="33" width="15.42578125" style="53" customWidth="1"/>
    <col min="34" max="34" width="10.7109375" style="53" customWidth="1"/>
    <col min="35" max="35" width="7" style="53" customWidth="1"/>
    <col min="36" max="36" width="7.42578125" style="53" customWidth="1"/>
    <col min="37" max="37" width="8.28515625" style="53" customWidth="1"/>
    <col min="38" max="38" width="20.28515625" style="53" customWidth="1"/>
    <col min="39" max="40" width="11" style="53" customWidth="1"/>
    <col min="41" max="41" width="8.28515625" style="53" customWidth="1"/>
    <col min="42" max="42" width="15.42578125" style="53" customWidth="1"/>
    <col min="43" max="43" width="11.42578125" style="53"/>
    <col min="44" max="44" width="67.42578125" style="53" customWidth="1"/>
    <col min="45" max="45" width="11.7109375" style="53" customWidth="1"/>
    <col min="46" max="46" width="16.28515625" style="53" customWidth="1"/>
    <col min="47" max="47" width="13.42578125" style="53" customWidth="1"/>
    <col min="48" max="48" width="14.42578125" style="53" customWidth="1"/>
    <col min="49" max="49" width="10.42578125" style="53" customWidth="1"/>
    <col min="50" max="50" width="12.28515625" style="53" customWidth="1"/>
    <col min="51" max="51" width="11" style="53" customWidth="1"/>
    <col min="52" max="52" width="11.42578125" style="53"/>
    <col min="53" max="54" width="15.42578125" style="53" customWidth="1"/>
    <col min="55" max="55" width="10.7109375" style="53" customWidth="1"/>
    <col min="56" max="56" width="7" style="53" customWidth="1"/>
    <col min="57" max="57" width="7.42578125" style="53" customWidth="1"/>
    <col min="58" max="58" width="8.28515625" style="53" customWidth="1"/>
    <col min="59" max="59" width="20.28515625" style="53" customWidth="1"/>
    <col min="60" max="61" width="11" style="53" customWidth="1"/>
    <col min="62" max="62" width="8.28515625" style="53" customWidth="1"/>
    <col min="63" max="63" width="15.42578125" style="53" customWidth="1"/>
    <col min="64" max="64" width="11.42578125" style="53"/>
    <col min="65" max="65" width="67.42578125" style="53" customWidth="1"/>
    <col min="66" max="67" width="11.7109375" style="53" customWidth="1"/>
    <col min="68" max="68" width="13.42578125" style="53" customWidth="1"/>
    <col min="69" max="69" width="14.42578125" style="53" customWidth="1"/>
    <col min="70" max="70" width="10.42578125" style="53" customWidth="1"/>
    <col min="71" max="71" width="12.28515625" style="53" customWidth="1"/>
    <col min="72" max="72" width="11" style="53" customWidth="1"/>
    <col min="73" max="73" width="11.42578125" style="53"/>
    <col min="74" max="75" width="15.42578125" style="53" customWidth="1"/>
    <col min="76" max="76" width="10.7109375" style="53" customWidth="1"/>
    <col min="77" max="77" width="7" style="53" customWidth="1"/>
    <col min="78" max="78" width="7.42578125" style="53" customWidth="1"/>
    <col min="79" max="79" width="8.28515625" style="53" customWidth="1"/>
    <col min="80" max="80" width="20.28515625" style="53" customWidth="1"/>
    <col min="81" max="82" width="11" style="53" customWidth="1"/>
    <col min="83" max="83" width="12.28515625" style="53" customWidth="1"/>
    <col min="84" max="84" width="15.42578125" style="53" customWidth="1"/>
    <col min="85" max="85" width="11.42578125" style="53"/>
    <col min="86" max="86" width="67.42578125" style="53" customWidth="1"/>
    <col min="87" max="88" width="11.7109375" style="53" customWidth="1"/>
    <col min="89" max="89" width="13.42578125" style="53" customWidth="1"/>
    <col min="90" max="90" width="14.42578125" style="53" customWidth="1"/>
    <col min="91" max="91" width="10.42578125" style="53" customWidth="1"/>
    <col min="92" max="92" width="12.28515625" style="53" customWidth="1"/>
    <col min="93" max="93" width="11" style="53" customWidth="1"/>
    <col min="94" max="94" width="11.42578125" style="53"/>
    <col min="95" max="96" width="15.42578125" style="53" customWidth="1"/>
    <col min="97" max="97" width="10.7109375" style="53" customWidth="1"/>
    <col min="98" max="98" width="7" style="53" customWidth="1"/>
    <col min="99" max="99" width="7.42578125" style="53" customWidth="1"/>
    <col min="100" max="100" width="8.28515625" style="53" customWidth="1"/>
    <col min="101" max="101" width="20.28515625" style="53" customWidth="1"/>
    <col min="102" max="103" width="11" style="53" customWidth="1"/>
    <col min="104" max="104" width="8.28515625" style="53" customWidth="1"/>
    <col min="105" max="105" width="15.42578125" style="53" customWidth="1"/>
    <col min="106" max="106" width="11.42578125" style="53"/>
    <col min="107" max="107" width="67.42578125" style="53" customWidth="1"/>
    <col min="108" max="109" width="11.7109375" style="53" customWidth="1"/>
    <col min="110" max="110" width="13.42578125" style="53" customWidth="1"/>
    <col min="111" max="111" width="14.42578125" style="53" customWidth="1"/>
    <col min="112" max="112" width="10.42578125" style="53" customWidth="1"/>
    <col min="113" max="113" width="12.28515625" style="53" customWidth="1"/>
    <col min="114" max="114" width="11" style="53" customWidth="1"/>
    <col min="115" max="115" width="11.42578125" style="53"/>
    <col min="116" max="117" width="15.42578125" style="53" customWidth="1"/>
    <col min="118" max="118" width="10.7109375" style="53" customWidth="1"/>
    <col min="119" max="119" width="7" style="53" customWidth="1"/>
    <col min="120" max="120" width="7.42578125" style="53" customWidth="1"/>
    <col min="121" max="121" width="8.28515625" style="53" customWidth="1"/>
    <col min="122" max="122" width="20.28515625" style="53" customWidth="1"/>
    <col min="123" max="124" width="11" style="53" customWidth="1"/>
    <col min="125" max="125" width="8.28515625" style="53" customWidth="1"/>
    <col min="126" max="126" width="15.42578125" style="53" customWidth="1"/>
    <col min="127" max="333" width="11.42578125" style="53"/>
    <col min="334" max="334" width="0" style="53" hidden="1" customWidth="1"/>
    <col min="335" max="335" width="68.42578125" style="53" customWidth="1"/>
    <col min="336" max="338" width="16.42578125" style="53" customWidth="1"/>
    <col min="339" max="339" width="42.7109375" style="53" customWidth="1"/>
    <col min="340" max="589" width="11.42578125" style="53"/>
    <col min="590" max="590" width="0" style="53" hidden="1" customWidth="1"/>
    <col min="591" max="591" width="68.42578125" style="53" customWidth="1"/>
    <col min="592" max="594" width="16.42578125" style="53" customWidth="1"/>
    <col min="595" max="595" width="42.7109375" style="53" customWidth="1"/>
    <col min="596" max="845" width="11.42578125" style="53"/>
    <col min="846" max="846" width="0" style="53" hidden="1" customWidth="1"/>
    <col min="847" max="847" width="68.42578125" style="53" customWidth="1"/>
    <col min="848" max="850" width="16.42578125" style="53" customWidth="1"/>
    <col min="851" max="851" width="42.7109375" style="53" customWidth="1"/>
    <col min="852" max="1101" width="11.42578125" style="53"/>
    <col min="1102" max="1102" width="0" style="53" hidden="1" customWidth="1"/>
    <col min="1103" max="1103" width="68.42578125" style="53" customWidth="1"/>
    <col min="1104" max="1106" width="16.42578125" style="53" customWidth="1"/>
    <col min="1107" max="1107" width="42.7109375" style="53" customWidth="1"/>
    <col min="1108" max="1357" width="11.42578125" style="53"/>
    <col min="1358" max="1358" width="0" style="53" hidden="1" customWidth="1"/>
    <col min="1359" max="1359" width="68.42578125" style="53" customWidth="1"/>
    <col min="1360" max="1362" width="16.42578125" style="53" customWidth="1"/>
    <col min="1363" max="1363" width="42.7109375" style="53" customWidth="1"/>
    <col min="1364" max="1613" width="11.42578125" style="53"/>
    <col min="1614" max="1614" width="0" style="53" hidden="1" customWidth="1"/>
    <col min="1615" max="1615" width="68.42578125" style="53" customWidth="1"/>
    <col min="1616" max="1618" width="16.42578125" style="53" customWidth="1"/>
    <col min="1619" max="1619" width="42.7109375" style="53" customWidth="1"/>
    <col min="1620" max="1869" width="11.42578125" style="53"/>
    <col min="1870" max="1870" width="0" style="53" hidden="1" customWidth="1"/>
    <col min="1871" max="1871" width="68.42578125" style="53" customWidth="1"/>
    <col min="1872" max="1874" width="16.42578125" style="53" customWidth="1"/>
    <col min="1875" max="1875" width="42.7109375" style="53" customWidth="1"/>
    <col min="1876" max="2125" width="11.42578125" style="53"/>
    <col min="2126" max="2126" width="0" style="53" hidden="1" customWidth="1"/>
    <col min="2127" max="2127" width="68.42578125" style="53" customWidth="1"/>
    <col min="2128" max="2130" width="16.42578125" style="53" customWidth="1"/>
    <col min="2131" max="2131" width="42.7109375" style="53" customWidth="1"/>
    <col min="2132" max="2381" width="11.42578125" style="53"/>
    <col min="2382" max="2382" width="0" style="53" hidden="1" customWidth="1"/>
    <col min="2383" max="2383" width="68.42578125" style="53" customWidth="1"/>
    <col min="2384" max="2386" width="16.42578125" style="53" customWidth="1"/>
    <col min="2387" max="2387" width="42.7109375" style="53" customWidth="1"/>
    <col min="2388" max="2637" width="11.42578125" style="53"/>
    <col min="2638" max="2638" width="0" style="53" hidden="1" customWidth="1"/>
    <col min="2639" max="2639" width="68.42578125" style="53" customWidth="1"/>
    <col min="2640" max="2642" width="16.42578125" style="53" customWidth="1"/>
    <col min="2643" max="2643" width="42.7109375" style="53" customWidth="1"/>
    <col min="2644" max="2893" width="11.42578125" style="53"/>
    <col min="2894" max="2894" width="0" style="53" hidden="1" customWidth="1"/>
    <col min="2895" max="2895" width="68.42578125" style="53" customWidth="1"/>
    <col min="2896" max="2898" width="16.42578125" style="53" customWidth="1"/>
    <col min="2899" max="2899" width="42.7109375" style="53" customWidth="1"/>
    <col min="2900" max="3149" width="11.42578125" style="53"/>
    <col min="3150" max="3150" width="0" style="53" hidden="1" customWidth="1"/>
    <col min="3151" max="3151" width="68.42578125" style="53" customWidth="1"/>
    <col min="3152" max="3154" width="16.42578125" style="53" customWidth="1"/>
    <col min="3155" max="3155" width="42.7109375" style="53" customWidth="1"/>
    <col min="3156" max="3405" width="11.42578125" style="53"/>
    <col min="3406" max="3406" width="0" style="53" hidden="1" customWidth="1"/>
    <col min="3407" max="3407" width="68.42578125" style="53" customWidth="1"/>
    <col min="3408" max="3410" width="16.42578125" style="53" customWidth="1"/>
    <col min="3411" max="3411" width="42.7109375" style="53" customWidth="1"/>
    <col min="3412" max="3661" width="11.42578125" style="53"/>
    <col min="3662" max="3662" width="0" style="53" hidden="1" customWidth="1"/>
    <col min="3663" max="3663" width="68.42578125" style="53" customWidth="1"/>
    <col min="3664" max="3666" width="16.42578125" style="53" customWidth="1"/>
    <col min="3667" max="3667" width="42.7109375" style="53" customWidth="1"/>
    <col min="3668" max="3917" width="11.42578125" style="53"/>
    <col min="3918" max="3918" width="0" style="53" hidden="1" customWidth="1"/>
    <col min="3919" max="3919" width="68.42578125" style="53" customWidth="1"/>
    <col min="3920" max="3922" width="16.42578125" style="53" customWidth="1"/>
    <col min="3923" max="3923" width="42.7109375" style="53" customWidth="1"/>
    <col min="3924" max="4173" width="11.42578125" style="53"/>
    <col min="4174" max="4174" width="0" style="53" hidden="1" customWidth="1"/>
    <col min="4175" max="4175" width="68.42578125" style="53" customWidth="1"/>
    <col min="4176" max="4178" width="16.42578125" style="53" customWidth="1"/>
    <col min="4179" max="4179" width="42.7109375" style="53" customWidth="1"/>
    <col min="4180" max="4429" width="11.42578125" style="53"/>
    <col min="4430" max="4430" width="0" style="53" hidden="1" customWidth="1"/>
    <col min="4431" max="4431" width="68.42578125" style="53" customWidth="1"/>
    <col min="4432" max="4434" width="16.42578125" style="53" customWidth="1"/>
    <col min="4435" max="4435" width="42.7109375" style="53" customWidth="1"/>
    <col min="4436" max="4685" width="11.42578125" style="53"/>
    <col min="4686" max="4686" width="0" style="53" hidden="1" customWidth="1"/>
    <col min="4687" max="4687" width="68.42578125" style="53" customWidth="1"/>
    <col min="4688" max="4690" width="16.42578125" style="53" customWidth="1"/>
    <col min="4691" max="4691" width="42.7109375" style="53" customWidth="1"/>
    <col min="4692" max="4941" width="11.42578125" style="53"/>
    <col min="4942" max="4942" width="0" style="53" hidden="1" customWidth="1"/>
    <col min="4943" max="4943" width="68.42578125" style="53" customWidth="1"/>
    <col min="4944" max="4946" width="16.42578125" style="53" customWidth="1"/>
    <col min="4947" max="4947" width="42.7109375" style="53" customWidth="1"/>
    <col min="4948" max="5197" width="11.42578125" style="53"/>
    <col min="5198" max="5198" width="0" style="53" hidden="1" customWidth="1"/>
    <col min="5199" max="5199" width="68.42578125" style="53" customWidth="1"/>
    <col min="5200" max="5202" width="16.42578125" style="53" customWidth="1"/>
    <col min="5203" max="5203" width="42.7109375" style="53" customWidth="1"/>
    <col min="5204" max="5453" width="11.42578125" style="53"/>
    <col min="5454" max="5454" width="0" style="53" hidden="1" customWidth="1"/>
    <col min="5455" max="5455" width="68.42578125" style="53" customWidth="1"/>
    <col min="5456" max="5458" width="16.42578125" style="53" customWidth="1"/>
    <col min="5459" max="5459" width="42.7109375" style="53" customWidth="1"/>
    <col min="5460" max="5709" width="11.42578125" style="53"/>
    <col min="5710" max="5710" width="0" style="53" hidden="1" customWidth="1"/>
    <col min="5711" max="5711" width="68.42578125" style="53" customWidth="1"/>
    <col min="5712" max="5714" width="16.42578125" style="53" customWidth="1"/>
    <col min="5715" max="5715" width="42.7109375" style="53" customWidth="1"/>
    <col min="5716" max="5965" width="11.42578125" style="53"/>
    <col min="5966" max="5966" width="0" style="53" hidden="1" customWidth="1"/>
    <col min="5967" max="5967" width="68.42578125" style="53" customWidth="1"/>
    <col min="5968" max="5970" width="16.42578125" style="53" customWidth="1"/>
    <col min="5971" max="5971" width="42.7109375" style="53" customWidth="1"/>
    <col min="5972" max="6221" width="11.42578125" style="53"/>
    <col min="6222" max="6222" width="0" style="53" hidden="1" customWidth="1"/>
    <col min="6223" max="6223" width="68.42578125" style="53" customWidth="1"/>
    <col min="6224" max="6226" width="16.42578125" style="53" customWidth="1"/>
    <col min="6227" max="6227" width="42.7109375" style="53" customWidth="1"/>
    <col min="6228" max="6477" width="11.42578125" style="53"/>
    <col min="6478" max="6478" width="0" style="53" hidden="1" customWidth="1"/>
    <col min="6479" max="6479" width="68.42578125" style="53" customWidth="1"/>
    <col min="6480" max="6482" width="16.42578125" style="53" customWidth="1"/>
    <col min="6483" max="6483" width="42.7109375" style="53" customWidth="1"/>
    <col min="6484" max="6733" width="11.42578125" style="53"/>
    <col min="6734" max="6734" width="0" style="53" hidden="1" customWidth="1"/>
    <col min="6735" max="6735" width="68.42578125" style="53" customWidth="1"/>
    <col min="6736" max="6738" width="16.42578125" style="53" customWidth="1"/>
    <col min="6739" max="6739" width="42.7109375" style="53" customWidth="1"/>
    <col min="6740" max="6989" width="11.42578125" style="53"/>
    <col min="6990" max="6990" width="0" style="53" hidden="1" customWidth="1"/>
    <col min="6991" max="6991" width="68.42578125" style="53" customWidth="1"/>
    <col min="6992" max="6994" width="16.42578125" style="53" customWidth="1"/>
    <col min="6995" max="6995" width="42.7109375" style="53" customWidth="1"/>
    <col min="6996" max="7245" width="11.42578125" style="53"/>
    <col min="7246" max="7246" width="0" style="53" hidden="1" customWidth="1"/>
    <col min="7247" max="7247" width="68.42578125" style="53" customWidth="1"/>
    <col min="7248" max="7250" width="16.42578125" style="53" customWidth="1"/>
    <col min="7251" max="7251" width="42.7109375" style="53" customWidth="1"/>
    <col min="7252" max="7501" width="11.42578125" style="53"/>
    <col min="7502" max="7502" width="0" style="53" hidden="1" customWidth="1"/>
    <col min="7503" max="7503" width="68.42578125" style="53" customWidth="1"/>
    <col min="7504" max="7506" width="16.42578125" style="53" customWidth="1"/>
    <col min="7507" max="7507" width="42.7109375" style="53" customWidth="1"/>
    <col min="7508" max="7757" width="11.42578125" style="53"/>
    <col min="7758" max="7758" width="0" style="53" hidden="1" customWidth="1"/>
    <col min="7759" max="7759" width="68.42578125" style="53" customWidth="1"/>
    <col min="7760" max="7762" width="16.42578125" style="53" customWidth="1"/>
    <col min="7763" max="7763" width="42.7109375" style="53" customWidth="1"/>
    <col min="7764" max="8013" width="11.42578125" style="53"/>
    <col min="8014" max="8014" width="0" style="53" hidden="1" customWidth="1"/>
    <col min="8015" max="8015" width="68.42578125" style="53" customWidth="1"/>
    <col min="8016" max="8018" width="16.42578125" style="53" customWidth="1"/>
    <col min="8019" max="8019" width="42.7109375" style="53" customWidth="1"/>
    <col min="8020" max="8269" width="11.42578125" style="53"/>
    <col min="8270" max="8270" width="0" style="53" hidden="1" customWidth="1"/>
    <col min="8271" max="8271" width="68.42578125" style="53" customWidth="1"/>
    <col min="8272" max="8274" width="16.42578125" style="53" customWidth="1"/>
    <col min="8275" max="8275" width="42.7109375" style="53" customWidth="1"/>
    <col min="8276" max="8525" width="11.42578125" style="53"/>
    <col min="8526" max="8526" width="0" style="53" hidden="1" customWidth="1"/>
    <col min="8527" max="8527" width="68.42578125" style="53" customWidth="1"/>
    <col min="8528" max="8530" width="16.42578125" style="53" customWidth="1"/>
    <col min="8531" max="8531" width="42.7109375" style="53" customWidth="1"/>
    <col min="8532" max="8781" width="11.42578125" style="53"/>
    <col min="8782" max="8782" width="0" style="53" hidden="1" customWidth="1"/>
    <col min="8783" max="8783" width="68.42578125" style="53" customWidth="1"/>
    <col min="8784" max="8786" width="16.42578125" style="53" customWidth="1"/>
    <col min="8787" max="8787" width="42.7109375" style="53" customWidth="1"/>
    <col min="8788" max="9037" width="11.42578125" style="53"/>
    <col min="9038" max="9038" width="0" style="53" hidden="1" customWidth="1"/>
    <col min="9039" max="9039" width="68.42578125" style="53" customWidth="1"/>
    <col min="9040" max="9042" width="16.42578125" style="53" customWidth="1"/>
    <col min="9043" max="9043" width="42.7109375" style="53" customWidth="1"/>
    <col min="9044" max="9293" width="11.42578125" style="53"/>
    <col min="9294" max="9294" width="0" style="53" hidden="1" customWidth="1"/>
    <col min="9295" max="9295" width="68.42578125" style="53" customWidth="1"/>
    <col min="9296" max="9298" width="16.42578125" style="53" customWidth="1"/>
    <col min="9299" max="9299" width="42.7109375" style="53" customWidth="1"/>
    <col min="9300" max="9549" width="11.42578125" style="53"/>
    <col min="9550" max="9550" width="0" style="53" hidden="1" customWidth="1"/>
    <col min="9551" max="9551" width="68.42578125" style="53" customWidth="1"/>
    <col min="9552" max="9554" width="16.42578125" style="53" customWidth="1"/>
    <col min="9555" max="9555" width="42.7109375" style="53" customWidth="1"/>
    <col min="9556" max="9805" width="11.42578125" style="53"/>
    <col min="9806" max="9806" width="0" style="53" hidden="1" customWidth="1"/>
    <col min="9807" max="9807" width="68.42578125" style="53" customWidth="1"/>
    <col min="9808" max="9810" width="16.42578125" style="53" customWidth="1"/>
    <col min="9811" max="9811" width="42.7109375" style="53" customWidth="1"/>
    <col min="9812" max="10061" width="11.42578125" style="53"/>
    <col min="10062" max="10062" width="0" style="53" hidden="1" customWidth="1"/>
    <col min="10063" max="10063" width="68.42578125" style="53" customWidth="1"/>
    <col min="10064" max="10066" width="16.42578125" style="53" customWidth="1"/>
    <col min="10067" max="10067" width="42.7109375" style="53" customWidth="1"/>
    <col min="10068" max="10317" width="11.42578125" style="53"/>
    <col min="10318" max="10318" width="0" style="53" hidden="1" customWidth="1"/>
    <col min="10319" max="10319" width="68.42578125" style="53" customWidth="1"/>
    <col min="10320" max="10322" width="16.42578125" style="53" customWidth="1"/>
    <col min="10323" max="10323" width="42.7109375" style="53" customWidth="1"/>
    <col min="10324" max="10573" width="11.42578125" style="53"/>
    <col min="10574" max="10574" width="0" style="53" hidden="1" customWidth="1"/>
    <col min="10575" max="10575" width="68.42578125" style="53" customWidth="1"/>
    <col min="10576" max="10578" width="16.42578125" style="53" customWidth="1"/>
    <col min="10579" max="10579" width="42.7109375" style="53" customWidth="1"/>
    <col min="10580" max="10829" width="11.42578125" style="53"/>
    <col min="10830" max="10830" width="0" style="53" hidden="1" customWidth="1"/>
    <col min="10831" max="10831" width="68.42578125" style="53" customWidth="1"/>
    <col min="10832" max="10834" width="16.42578125" style="53" customWidth="1"/>
    <col min="10835" max="10835" width="42.7109375" style="53" customWidth="1"/>
    <col min="10836" max="11085" width="11.42578125" style="53"/>
    <col min="11086" max="11086" width="0" style="53" hidden="1" customWidth="1"/>
    <col min="11087" max="11087" width="68.42578125" style="53" customWidth="1"/>
    <col min="11088" max="11090" width="16.42578125" style="53" customWidth="1"/>
    <col min="11091" max="11091" width="42.7109375" style="53" customWidth="1"/>
    <col min="11092" max="11341" width="11.42578125" style="53"/>
    <col min="11342" max="11342" width="0" style="53" hidden="1" customWidth="1"/>
    <col min="11343" max="11343" width="68.42578125" style="53" customWidth="1"/>
    <col min="11344" max="11346" width="16.42578125" style="53" customWidth="1"/>
    <col min="11347" max="11347" width="42.7109375" style="53" customWidth="1"/>
    <col min="11348" max="11597" width="11.42578125" style="53"/>
    <col min="11598" max="11598" width="0" style="53" hidden="1" customWidth="1"/>
    <col min="11599" max="11599" width="68.42578125" style="53" customWidth="1"/>
    <col min="11600" max="11602" width="16.42578125" style="53" customWidth="1"/>
    <col min="11603" max="11603" width="42.7109375" style="53" customWidth="1"/>
    <col min="11604" max="11853" width="11.42578125" style="53"/>
    <col min="11854" max="11854" width="0" style="53" hidden="1" customWidth="1"/>
    <col min="11855" max="11855" width="68.42578125" style="53" customWidth="1"/>
    <col min="11856" max="11858" width="16.42578125" style="53" customWidth="1"/>
    <col min="11859" max="11859" width="42.7109375" style="53" customWidth="1"/>
    <col min="11860" max="12109" width="11.42578125" style="53"/>
    <col min="12110" max="12110" width="0" style="53" hidden="1" customWidth="1"/>
    <col min="12111" max="12111" width="68.42578125" style="53" customWidth="1"/>
    <col min="12112" max="12114" width="16.42578125" style="53" customWidth="1"/>
    <col min="12115" max="12115" width="42.7109375" style="53" customWidth="1"/>
    <col min="12116" max="12365" width="11.42578125" style="53"/>
    <col min="12366" max="12366" width="0" style="53" hidden="1" customWidth="1"/>
    <col min="12367" max="12367" width="68.42578125" style="53" customWidth="1"/>
    <col min="12368" max="12370" width="16.42578125" style="53" customWidth="1"/>
    <col min="12371" max="12371" width="42.7109375" style="53" customWidth="1"/>
    <col min="12372" max="12621" width="11.42578125" style="53"/>
    <col min="12622" max="12622" width="0" style="53" hidden="1" customWidth="1"/>
    <col min="12623" max="12623" width="68.42578125" style="53" customWidth="1"/>
    <col min="12624" max="12626" width="16.42578125" style="53" customWidth="1"/>
    <col min="12627" max="12627" width="42.7109375" style="53" customWidth="1"/>
    <col min="12628" max="12877" width="11.42578125" style="53"/>
    <col min="12878" max="12878" width="0" style="53" hidden="1" customWidth="1"/>
    <col min="12879" max="12879" width="68.42578125" style="53" customWidth="1"/>
    <col min="12880" max="12882" width="16.42578125" style="53" customWidth="1"/>
    <col min="12883" max="12883" width="42.7109375" style="53" customWidth="1"/>
    <col min="12884" max="13133" width="11.42578125" style="53"/>
    <col min="13134" max="13134" width="0" style="53" hidden="1" customWidth="1"/>
    <col min="13135" max="13135" width="68.42578125" style="53" customWidth="1"/>
    <col min="13136" max="13138" width="16.42578125" style="53" customWidth="1"/>
    <col min="13139" max="13139" width="42.7109375" style="53" customWidth="1"/>
    <col min="13140" max="13389" width="11.42578125" style="53"/>
    <col min="13390" max="13390" width="0" style="53" hidden="1" customWidth="1"/>
    <col min="13391" max="13391" width="68.42578125" style="53" customWidth="1"/>
    <col min="13392" max="13394" width="16.42578125" style="53" customWidth="1"/>
    <col min="13395" max="13395" width="42.7109375" style="53" customWidth="1"/>
    <col min="13396" max="13645" width="11.42578125" style="53"/>
    <col min="13646" max="13646" width="0" style="53" hidden="1" customWidth="1"/>
    <col min="13647" max="13647" width="68.42578125" style="53" customWidth="1"/>
    <col min="13648" max="13650" width="16.42578125" style="53" customWidth="1"/>
    <col min="13651" max="13651" width="42.7109375" style="53" customWidth="1"/>
    <col min="13652" max="13901" width="11.42578125" style="53"/>
    <col min="13902" max="13902" width="0" style="53" hidden="1" customWidth="1"/>
    <col min="13903" max="13903" width="68.42578125" style="53" customWidth="1"/>
    <col min="13904" max="13906" width="16.42578125" style="53" customWidth="1"/>
    <col min="13907" max="13907" width="42.7109375" style="53" customWidth="1"/>
    <col min="13908" max="14157" width="11.42578125" style="53"/>
    <col min="14158" max="14158" width="0" style="53" hidden="1" customWidth="1"/>
    <col min="14159" max="14159" width="68.42578125" style="53" customWidth="1"/>
    <col min="14160" max="14162" width="16.42578125" style="53" customWidth="1"/>
    <col min="14163" max="14163" width="42.7109375" style="53" customWidth="1"/>
    <col min="14164" max="14413" width="11.42578125" style="53"/>
    <col min="14414" max="14414" width="0" style="53" hidden="1" customWidth="1"/>
    <col min="14415" max="14415" width="68.42578125" style="53" customWidth="1"/>
    <col min="14416" max="14418" width="16.42578125" style="53" customWidth="1"/>
    <col min="14419" max="14419" width="42.7109375" style="53" customWidth="1"/>
    <col min="14420" max="14669" width="11.42578125" style="53"/>
    <col min="14670" max="14670" width="0" style="53" hidden="1" customWidth="1"/>
    <col min="14671" max="14671" width="68.42578125" style="53" customWidth="1"/>
    <col min="14672" max="14674" width="16.42578125" style="53" customWidth="1"/>
    <col min="14675" max="14675" width="42.7109375" style="53" customWidth="1"/>
    <col min="14676" max="14925" width="11.42578125" style="53"/>
    <col min="14926" max="14926" width="0" style="53" hidden="1" customWidth="1"/>
    <col min="14927" max="14927" width="68.42578125" style="53" customWidth="1"/>
    <col min="14928" max="14930" width="16.42578125" style="53" customWidth="1"/>
    <col min="14931" max="14931" width="42.7109375" style="53" customWidth="1"/>
    <col min="14932" max="15181" width="11.42578125" style="53"/>
    <col min="15182" max="15182" width="0" style="53" hidden="1" customWidth="1"/>
    <col min="15183" max="15183" width="68.42578125" style="53" customWidth="1"/>
    <col min="15184" max="15186" width="16.42578125" style="53" customWidth="1"/>
    <col min="15187" max="15187" width="42.7109375" style="53" customWidth="1"/>
    <col min="15188" max="15437" width="11.42578125" style="53"/>
    <col min="15438" max="15438" width="0" style="53" hidden="1" customWidth="1"/>
    <col min="15439" max="15439" width="68.42578125" style="53" customWidth="1"/>
    <col min="15440" max="15442" width="16.42578125" style="53" customWidth="1"/>
    <col min="15443" max="15443" width="42.7109375" style="53" customWidth="1"/>
    <col min="15444" max="15693" width="11.42578125" style="53"/>
    <col min="15694" max="15694" width="0" style="53" hidden="1" customWidth="1"/>
    <col min="15695" max="15695" width="68.42578125" style="53" customWidth="1"/>
    <col min="15696" max="15698" width="16.42578125" style="53" customWidth="1"/>
    <col min="15699" max="15699" width="42.7109375" style="53" customWidth="1"/>
    <col min="15700" max="15949" width="11.42578125" style="53"/>
    <col min="15950" max="15950" width="0" style="53" hidden="1" customWidth="1"/>
    <col min="15951" max="15951" width="68.42578125" style="53" customWidth="1"/>
    <col min="15952" max="15954" width="16.42578125" style="53" customWidth="1"/>
    <col min="15955" max="15955" width="42.7109375" style="53" customWidth="1"/>
    <col min="15956" max="16384" width="11.42578125" style="53"/>
  </cols>
  <sheetData>
    <row r="1" spans="1:126" s="37" customFormat="1" ht="14.25" customHeight="1">
      <c r="A1" s="36"/>
      <c r="B1" s="468" t="s">
        <v>288</v>
      </c>
      <c r="C1" s="468"/>
      <c r="D1" s="468"/>
      <c r="E1" s="468"/>
      <c r="F1" s="468"/>
      <c r="G1" s="468"/>
      <c r="H1" s="468"/>
      <c r="I1" s="468"/>
      <c r="J1" s="468"/>
      <c r="K1" s="468"/>
      <c r="L1" s="468"/>
      <c r="M1" s="468"/>
      <c r="N1" s="468"/>
      <c r="O1" s="468"/>
      <c r="P1" s="468"/>
      <c r="Q1" s="468"/>
      <c r="R1" s="468"/>
      <c r="S1" s="468"/>
      <c r="T1" s="468"/>
      <c r="U1" s="468"/>
      <c r="V1" s="36"/>
    </row>
    <row r="2" spans="1:126" s="37" customFormat="1" ht="14.25" customHeight="1">
      <c r="A2" s="36"/>
      <c r="B2" s="468"/>
      <c r="C2" s="468"/>
      <c r="D2" s="468"/>
      <c r="E2" s="468"/>
      <c r="F2" s="468"/>
      <c r="G2" s="468"/>
      <c r="H2" s="468"/>
      <c r="I2" s="468"/>
      <c r="J2" s="468"/>
      <c r="K2" s="468"/>
      <c r="L2" s="468"/>
      <c r="M2" s="468"/>
      <c r="N2" s="468"/>
      <c r="O2" s="468"/>
      <c r="P2" s="468"/>
      <c r="Q2" s="468"/>
      <c r="R2" s="468"/>
      <c r="S2" s="468"/>
      <c r="T2" s="468"/>
      <c r="U2" s="468"/>
      <c r="V2" s="36"/>
    </row>
    <row r="3" spans="1:126" s="37" customFormat="1" ht="14.25" customHeight="1">
      <c r="A3" s="36"/>
      <c r="B3" s="468"/>
      <c r="C3" s="468"/>
      <c r="D3" s="468"/>
      <c r="E3" s="468"/>
      <c r="F3" s="468"/>
      <c r="G3" s="468"/>
      <c r="H3" s="468"/>
      <c r="I3" s="468"/>
      <c r="J3" s="468"/>
      <c r="K3" s="468"/>
      <c r="L3" s="468"/>
      <c r="M3" s="468"/>
      <c r="N3" s="468"/>
      <c r="O3" s="468"/>
      <c r="P3" s="468"/>
      <c r="Q3" s="468"/>
      <c r="R3" s="468"/>
      <c r="S3" s="468"/>
      <c r="T3" s="468"/>
      <c r="U3" s="468"/>
      <c r="V3" s="36"/>
    </row>
    <row r="4" spans="1:126" s="36" customFormat="1" ht="15">
      <c r="B4" s="44" t="s">
        <v>154</v>
      </c>
      <c r="C4" s="45"/>
      <c r="D4" s="45"/>
      <c r="E4" s="45"/>
      <c r="F4" s="45"/>
      <c r="G4" s="45"/>
      <c r="K4" s="38"/>
      <c r="L4" s="39"/>
      <c r="W4" s="44" t="s">
        <v>154</v>
      </c>
      <c r="X4" s="45"/>
      <c r="Y4" s="45"/>
      <c r="Z4" s="45"/>
      <c r="AA4" s="45"/>
      <c r="AB4" s="45"/>
      <c r="AF4" s="38"/>
      <c r="AG4" s="39"/>
      <c r="AR4" s="44" t="s">
        <v>154</v>
      </c>
      <c r="AS4" s="45"/>
      <c r="AT4" s="45"/>
      <c r="AU4" s="45"/>
      <c r="AV4" s="45"/>
      <c r="AW4" s="45"/>
      <c r="BA4" s="38"/>
      <c r="BB4" s="39"/>
      <c r="BM4" s="44" t="s">
        <v>154</v>
      </c>
      <c r="BN4" s="45"/>
      <c r="BO4" s="45"/>
      <c r="BP4" s="45"/>
      <c r="BQ4" s="45"/>
      <c r="BR4" s="45"/>
      <c r="BV4" s="38"/>
      <c r="BW4" s="39"/>
      <c r="CH4" s="44" t="s">
        <v>154</v>
      </c>
      <c r="CI4" s="45"/>
      <c r="CJ4" s="45"/>
      <c r="CK4" s="45"/>
      <c r="CL4" s="45"/>
      <c r="CM4" s="45"/>
      <c r="CQ4" s="38"/>
      <c r="CR4" s="39"/>
      <c r="DC4" s="44" t="s">
        <v>154</v>
      </c>
      <c r="DD4" s="45"/>
      <c r="DE4" s="45"/>
      <c r="DF4" s="45"/>
      <c r="DG4" s="45"/>
      <c r="DH4" s="45"/>
      <c r="DL4" s="38"/>
      <c r="DM4" s="39"/>
      <c r="DR4" s="46"/>
    </row>
    <row r="5" spans="1:126" ht="15">
      <c r="A5" s="46"/>
      <c r="B5" s="464" t="s">
        <v>98</v>
      </c>
      <c r="C5" s="464"/>
      <c r="D5" s="47" t="s">
        <v>289</v>
      </c>
      <c r="E5" s="48"/>
      <c r="F5" s="49"/>
      <c r="G5" s="50"/>
      <c r="H5" s="51"/>
      <c r="I5" s="52"/>
      <c r="M5" s="46"/>
      <c r="N5" s="46"/>
      <c r="O5" s="46"/>
      <c r="P5" s="46"/>
      <c r="Q5" s="46"/>
      <c r="R5" s="46"/>
      <c r="S5" s="46"/>
      <c r="V5" s="46"/>
      <c r="W5" s="464" t="s">
        <v>98</v>
      </c>
      <c r="X5" s="464"/>
      <c r="Y5" s="47" t="s">
        <v>290</v>
      </c>
      <c r="Z5" s="48"/>
      <c r="AA5" s="49"/>
      <c r="AB5" s="50"/>
      <c r="AC5" s="51"/>
      <c r="AD5" s="52"/>
      <c r="AF5" s="54"/>
      <c r="AG5" s="55"/>
      <c r="AH5" s="46"/>
      <c r="AI5" s="46"/>
      <c r="AJ5" s="46"/>
      <c r="AK5" s="46"/>
      <c r="AL5" s="46"/>
      <c r="AM5" s="46"/>
      <c r="AN5" s="46"/>
      <c r="AR5" s="464" t="s">
        <v>98</v>
      </c>
      <c r="AS5" s="464"/>
      <c r="AT5" s="47" t="s">
        <v>291</v>
      </c>
      <c r="AU5" s="48"/>
      <c r="AV5" s="49"/>
      <c r="AW5" s="50"/>
      <c r="AX5" s="51"/>
      <c r="AY5" s="52"/>
      <c r="BA5" s="54"/>
      <c r="BB5" s="55"/>
      <c r="BC5" s="46"/>
      <c r="BD5" s="46"/>
      <c r="BE5" s="46"/>
      <c r="BF5" s="46"/>
      <c r="BG5" s="46"/>
      <c r="BH5" s="46"/>
      <c r="BI5" s="46"/>
      <c r="BM5" s="464" t="s">
        <v>98</v>
      </c>
      <c r="BN5" s="464"/>
      <c r="BO5" s="47" t="s">
        <v>292</v>
      </c>
      <c r="BP5" s="48"/>
      <c r="BQ5" s="49"/>
      <c r="BR5" s="50"/>
      <c r="BS5" s="51"/>
      <c r="BT5" s="52"/>
      <c r="BV5" s="54"/>
      <c r="BW5" s="55"/>
      <c r="BX5" s="46"/>
      <c r="BY5" s="46"/>
      <c r="BZ5" s="46"/>
      <c r="CA5" s="46"/>
      <c r="CB5" s="46"/>
      <c r="CC5" s="46"/>
      <c r="CD5" s="46"/>
      <c r="CH5" s="464" t="s">
        <v>98</v>
      </c>
      <c r="CI5" s="464"/>
      <c r="CJ5" s="47" t="s">
        <v>293</v>
      </c>
      <c r="CK5" s="48"/>
      <c r="CL5" s="49"/>
      <c r="CM5" s="50"/>
      <c r="CN5" s="51"/>
      <c r="CO5" s="52"/>
      <c r="CQ5" s="54"/>
      <c r="CR5" s="55"/>
      <c r="CS5" s="46"/>
      <c r="CT5" s="46"/>
      <c r="CU5" s="46"/>
      <c r="CV5" s="46"/>
      <c r="CW5" s="46"/>
      <c r="CX5" s="46"/>
      <c r="CY5" s="46"/>
      <c r="DC5" s="464" t="s">
        <v>98</v>
      </c>
      <c r="DD5" s="464"/>
      <c r="DE5" s="47" t="s">
        <v>294</v>
      </c>
      <c r="DF5" s="48"/>
      <c r="DG5" s="49"/>
      <c r="DH5" s="50"/>
      <c r="DI5" s="51"/>
      <c r="DJ5" s="52"/>
      <c r="DL5" s="54"/>
      <c r="DM5" s="55"/>
      <c r="DN5" s="46"/>
      <c r="DO5" s="46"/>
      <c r="DP5" s="46"/>
      <c r="DQ5" s="46"/>
      <c r="DR5" s="46"/>
      <c r="DS5" s="46"/>
      <c r="DT5" s="46"/>
    </row>
    <row r="6" spans="1:126" s="37" customFormat="1" ht="30">
      <c r="A6" s="36"/>
      <c r="B6" s="465" t="s">
        <v>155</v>
      </c>
      <c r="C6" s="465" t="s">
        <v>156</v>
      </c>
      <c r="D6" s="462"/>
      <c r="E6" s="462"/>
      <c r="F6" s="462"/>
      <c r="G6" s="462"/>
      <c r="H6" s="462"/>
      <c r="I6" s="462"/>
      <c r="J6" s="462"/>
      <c r="K6" s="56"/>
      <c r="L6" s="57"/>
      <c r="M6" s="466" t="s">
        <v>157</v>
      </c>
      <c r="N6" s="466"/>
      <c r="O6" s="466"/>
      <c r="P6" s="466"/>
      <c r="Q6" s="466"/>
      <c r="R6" s="466"/>
      <c r="S6" s="466"/>
      <c r="T6" s="43"/>
      <c r="U6" s="58" t="s">
        <v>158</v>
      </c>
      <c r="V6" s="36"/>
      <c r="W6" s="465" t="s">
        <v>155</v>
      </c>
      <c r="X6" s="465" t="s">
        <v>156</v>
      </c>
      <c r="Y6" s="462"/>
      <c r="Z6" s="462"/>
      <c r="AA6" s="462"/>
      <c r="AB6" s="462"/>
      <c r="AC6" s="462"/>
      <c r="AD6" s="462"/>
      <c r="AE6" s="462"/>
      <c r="AF6" s="56"/>
      <c r="AG6" s="57"/>
      <c r="AH6" s="466" t="s">
        <v>157</v>
      </c>
      <c r="AI6" s="466"/>
      <c r="AJ6" s="466"/>
      <c r="AK6" s="466"/>
      <c r="AL6" s="466"/>
      <c r="AM6" s="466"/>
      <c r="AN6" s="466"/>
      <c r="AO6" s="43"/>
      <c r="AP6" s="58" t="s">
        <v>158</v>
      </c>
      <c r="AR6" s="465" t="s">
        <v>155</v>
      </c>
      <c r="AS6" s="465" t="s">
        <v>156</v>
      </c>
      <c r="AT6" s="462"/>
      <c r="AU6" s="462"/>
      <c r="AV6" s="462"/>
      <c r="AW6" s="462"/>
      <c r="AX6" s="462"/>
      <c r="AY6" s="462"/>
      <c r="AZ6" s="462"/>
      <c r="BA6" s="56"/>
      <c r="BB6" s="57"/>
      <c r="BC6" s="466" t="s">
        <v>157</v>
      </c>
      <c r="BD6" s="466"/>
      <c r="BE6" s="466"/>
      <c r="BF6" s="466"/>
      <c r="BG6" s="466"/>
      <c r="BH6" s="466"/>
      <c r="BI6" s="466"/>
      <c r="BJ6" s="43"/>
      <c r="BK6" s="58" t="s">
        <v>158</v>
      </c>
      <c r="BM6" s="465" t="s">
        <v>155</v>
      </c>
      <c r="BN6" s="465" t="s">
        <v>156</v>
      </c>
      <c r="BO6" s="462"/>
      <c r="BP6" s="462"/>
      <c r="BQ6" s="462"/>
      <c r="BR6" s="462"/>
      <c r="BS6" s="462"/>
      <c r="BT6" s="462"/>
      <c r="BU6" s="462"/>
      <c r="BV6" s="56"/>
      <c r="BW6" s="57"/>
      <c r="BX6" s="466" t="s">
        <v>157</v>
      </c>
      <c r="BY6" s="466"/>
      <c r="BZ6" s="466"/>
      <c r="CA6" s="466"/>
      <c r="CB6" s="466"/>
      <c r="CC6" s="466"/>
      <c r="CD6" s="466"/>
      <c r="CE6" s="43"/>
      <c r="CF6" s="58" t="s">
        <v>158</v>
      </c>
      <c r="CH6" s="465" t="s">
        <v>155</v>
      </c>
      <c r="CI6" s="465" t="s">
        <v>156</v>
      </c>
      <c r="CJ6" s="462"/>
      <c r="CK6" s="462"/>
      <c r="CL6" s="462"/>
      <c r="CM6" s="462"/>
      <c r="CN6" s="462"/>
      <c r="CO6" s="462"/>
      <c r="CP6" s="462"/>
      <c r="CQ6" s="56"/>
      <c r="CR6" s="57"/>
      <c r="CS6" s="466" t="s">
        <v>157</v>
      </c>
      <c r="CT6" s="466"/>
      <c r="CU6" s="466"/>
      <c r="CV6" s="466"/>
      <c r="CW6" s="466"/>
      <c r="CX6" s="466"/>
      <c r="CY6" s="466"/>
      <c r="CZ6" s="43"/>
      <c r="DA6" s="58" t="s">
        <v>158</v>
      </c>
      <c r="DC6" s="465" t="s">
        <v>155</v>
      </c>
      <c r="DD6" s="465" t="s">
        <v>156</v>
      </c>
      <c r="DE6" s="462"/>
      <c r="DF6" s="462"/>
      <c r="DG6" s="462"/>
      <c r="DH6" s="462"/>
      <c r="DI6" s="462"/>
      <c r="DJ6" s="462"/>
      <c r="DK6" s="462"/>
      <c r="DL6" s="56"/>
      <c r="DM6" s="57"/>
      <c r="DN6" s="466" t="s">
        <v>157</v>
      </c>
      <c r="DO6" s="466"/>
      <c r="DP6" s="466"/>
      <c r="DQ6" s="466"/>
      <c r="DR6" s="466"/>
      <c r="DS6" s="466"/>
      <c r="DT6" s="466"/>
      <c r="DU6" s="43"/>
      <c r="DV6" s="58" t="s">
        <v>158</v>
      </c>
    </row>
    <row r="7" spans="1:126" s="41" customFormat="1" ht="45">
      <c r="A7" s="40"/>
      <c r="B7" s="462"/>
      <c r="C7" s="58" t="s">
        <v>159</v>
      </c>
      <c r="D7" s="58" t="s">
        <v>160</v>
      </c>
      <c r="E7" s="58" t="s">
        <v>161</v>
      </c>
      <c r="F7" s="58" t="s">
        <v>162</v>
      </c>
      <c r="G7" s="58" t="s">
        <v>163</v>
      </c>
      <c r="H7" s="58" t="s">
        <v>164</v>
      </c>
      <c r="I7" s="58" t="s">
        <v>165</v>
      </c>
      <c r="J7" s="58" t="s">
        <v>166</v>
      </c>
      <c r="K7" s="463" t="s">
        <v>167</v>
      </c>
      <c r="L7" s="461" t="s">
        <v>168</v>
      </c>
      <c r="M7" s="58" t="s">
        <v>169</v>
      </c>
      <c r="N7" s="58" t="s">
        <v>170</v>
      </c>
      <c r="O7" s="58" t="s">
        <v>171</v>
      </c>
      <c r="P7" s="58" t="s">
        <v>172</v>
      </c>
      <c r="Q7" s="58" t="s">
        <v>173</v>
      </c>
      <c r="R7" s="58" t="s">
        <v>165</v>
      </c>
      <c r="S7" s="58" t="s">
        <v>165</v>
      </c>
      <c r="T7" s="467" t="s">
        <v>174</v>
      </c>
      <c r="U7" s="461" t="s">
        <v>168</v>
      </c>
      <c r="V7" s="40"/>
      <c r="W7" s="462"/>
      <c r="X7" s="58" t="s">
        <v>159</v>
      </c>
      <c r="Y7" s="58" t="s">
        <v>160</v>
      </c>
      <c r="Z7" s="58" t="s">
        <v>161</v>
      </c>
      <c r="AA7" s="58" t="s">
        <v>162</v>
      </c>
      <c r="AB7" s="58" t="s">
        <v>163</v>
      </c>
      <c r="AC7" s="58" t="s">
        <v>164</v>
      </c>
      <c r="AD7" s="58" t="s">
        <v>165</v>
      </c>
      <c r="AE7" s="58" t="s">
        <v>166</v>
      </c>
      <c r="AF7" s="463" t="s">
        <v>167</v>
      </c>
      <c r="AG7" s="461" t="s">
        <v>168</v>
      </c>
      <c r="AH7" s="58" t="s">
        <v>169</v>
      </c>
      <c r="AI7" s="58" t="s">
        <v>170</v>
      </c>
      <c r="AJ7" s="58" t="s">
        <v>171</v>
      </c>
      <c r="AK7" s="58" t="s">
        <v>172</v>
      </c>
      <c r="AL7" s="58" t="s">
        <v>173</v>
      </c>
      <c r="AM7" s="58" t="s">
        <v>165</v>
      </c>
      <c r="AN7" s="58" t="s">
        <v>165</v>
      </c>
      <c r="AO7" s="467" t="s">
        <v>174</v>
      </c>
      <c r="AP7" s="461" t="s">
        <v>168</v>
      </c>
      <c r="AR7" s="462"/>
      <c r="AS7" s="58" t="s">
        <v>159</v>
      </c>
      <c r="AT7" s="58" t="s">
        <v>160</v>
      </c>
      <c r="AU7" s="58" t="s">
        <v>161</v>
      </c>
      <c r="AV7" s="58" t="s">
        <v>162</v>
      </c>
      <c r="AW7" s="58" t="s">
        <v>163</v>
      </c>
      <c r="AX7" s="58" t="s">
        <v>164</v>
      </c>
      <c r="AY7" s="58" t="s">
        <v>165</v>
      </c>
      <c r="AZ7" s="58" t="s">
        <v>166</v>
      </c>
      <c r="BA7" s="463" t="s">
        <v>167</v>
      </c>
      <c r="BB7" s="461" t="s">
        <v>168</v>
      </c>
      <c r="BC7" s="58" t="s">
        <v>169</v>
      </c>
      <c r="BD7" s="58" t="s">
        <v>170</v>
      </c>
      <c r="BE7" s="58" t="s">
        <v>171</v>
      </c>
      <c r="BF7" s="58" t="s">
        <v>172</v>
      </c>
      <c r="BG7" s="58" t="s">
        <v>173</v>
      </c>
      <c r="BH7" s="58" t="s">
        <v>165</v>
      </c>
      <c r="BI7" s="58" t="s">
        <v>165</v>
      </c>
      <c r="BJ7" s="467" t="s">
        <v>174</v>
      </c>
      <c r="BK7" s="461" t="s">
        <v>168</v>
      </c>
      <c r="BM7" s="462"/>
      <c r="BN7" s="58" t="s">
        <v>159</v>
      </c>
      <c r="BO7" s="58" t="s">
        <v>160</v>
      </c>
      <c r="BP7" s="58" t="s">
        <v>161</v>
      </c>
      <c r="BQ7" s="58" t="s">
        <v>162</v>
      </c>
      <c r="BR7" s="58" t="s">
        <v>163</v>
      </c>
      <c r="BS7" s="58" t="s">
        <v>164</v>
      </c>
      <c r="BT7" s="58" t="s">
        <v>165</v>
      </c>
      <c r="BU7" s="58" t="s">
        <v>166</v>
      </c>
      <c r="BV7" s="463" t="s">
        <v>167</v>
      </c>
      <c r="BW7" s="461" t="s">
        <v>168</v>
      </c>
      <c r="BX7" s="58" t="s">
        <v>169</v>
      </c>
      <c r="BY7" s="58" t="s">
        <v>170</v>
      </c>
      <c r="BZ7" s="58" t="s">
        <v>171</v>
      </c>
      <c r="CA7" s="58" t="s">
        <v>172</v>
      </c>
      <c r="CB7" s="58" t="s">
        <v>173</v>
      </c>
      <c r="CC7" s="58" t="s">
        <v>165</v>
      </c>
      <c r="CD7" s="58" t="s">
        <v>165</v>
      </c>
      <c r="CE7" s="467" t="s">
        <v>174</v>
      </c>
      <c r="CF7" s="461" t="s">
        <v>168</v>
      </c>
      <c r="CH7" s="462"/>
      <c r="CI7" s="58" t="s">
        <v>159</v>
      </c>
      <c r="CJ7" s="58" t="s">
        <v>160</v>
      </c>
      <c r="CK7" s="58" t="s">
        <v>161</v>
      </c>
      <c r="CL7" s="58" t="s">
        <v>162</v>
      </c>
      <c r="CM7" s="58" t="s">
        <v>163</v>
      </c>
      <c r="CN7" s="58" t="s">
        <v>164</v>
      </c>
      <c r="CO7" s="58" t="s">
        <v>165</v>
      </c>
      <c r="CP7" s="58" t="s">
        <v>166</v>
      </c>
      <c r="CQ7" s="463" t="s">
        <v>167</v>
      </c>
      <c r="CR7" s="461" t="s">
        <v>168</v>
      </c>
      <c r="CS7" s="58" t="s">
        <v>169</v>
      </c>
      <c r="CT7" s="58" t="s">
        <v>170</v>
      </c>
      <c r="CU7" s="58" t="s">
        <v>171</v>
      </c>
      <c r="CV7" s="58" t="s">
        <v>172</v>
      </c>
      <c r="CW7" s="58" t="s">
        <v>173</v>
      </c>
      <c r="CX7" s="58" t="s">
        <v>165</v>
      </c>
      <c r="CY7" s="58" t="s">
        <v>165</v>
      </c>
      <c r="CZ7" s="467" t="s">
        <v>174</v>
      </c>
      <c r="DA7" s="461" t="s">
        <v>168</v>
      </c>
      <c r="DC7" s="462"/>
      <c r="DD7" s="58" t="s">
        <v>159</v>
      </c>
      <c r="DE7" s="58" t="s">
        <v>160</v>
      </c>
      <c r="DF7" s="58" t="s">
        <v>161</v>
      </c>
      <c r="DG7" s="58" t="s">
        <v>162</v>
      </c>
      <c r="DH7" s="58" t="s">
        <v>163</v>
      </c>
      <c r="DI7" s="58" t="s">
        <v>164</v>
      </c>
      <c r="DJ7" s="58" t="s">
        <v>165</v>
      </c>
      <c r="DK7" s="58" t="s">
        <v>166</v>
      </c>
      <c r="DL7" s="463" t="s">
        <v>167</v>
      </c>
      <c r="DM7" s="461" t="s">
        <v>168</v>
      </c>
      <c r="DN7" s="58" t="s">
        <v>169</v>
      </c>
      <c r="DO7" s="58" t="s">
        <v>170</v>
      </c>
      <c r="DP7" s="58" t="s">
        <v>171</v>
      </c>
      <c r="DQ7" s="58" t="s">
        <v>172</v>
      </c>
      <c r="DR7" s="58" t="s">
        <v>173</v>
      </c>
      <c r="DS7" s="58" t="s">
        <v>165</v>
      </c>
      <c r="DT7" s="58" t="s">
        <v>165</v>
      </c>
      <c r="DU7" s="467" t="s">
        <v>174</v>
      </c>
      <c r="DV7" s="461" t="s">
        <v>168</v>
      </c>
    </row>
    <row r="8" spans="1:126" s="37" customFormat="1" ht="15">
      <c r="A8" s="36"/>
      <c r="B8" s="59" t="s">
        <v>175</v>
      </c>
      <c r="C8" s="60"/>
      <c r="D8" s="60"/>
      <c r="E8" s="60"/>
      <c r="F8" s="60"/>
      <c r="G8" s="60"/>
      <c r="H8" s="60"/>
      <c r="I8" s="60"/>
      <c r="J8" s="60"/>
      <c r="K8" s="463"/>
      <c r="L8" s="461"/>
      <c r="M8" s="60"/>
      <c r="N8" s="60"/>
      <c r="O8" s="60"/>
      <c r="P8" s="60"/>
      <c r="Q8" s="60"/>
      <c r="R8" s="60"/>
      <c r="S8" s="60"/>
      <c r="T8" s="467"/>
      <c r="U8" s="461"/>
      <c r="V8" s="40"/>
      <c r="W8" s="59" t="s">
        <v>175</v>
      </c>
      <c r="X8" s="60"/>
      <c r="Y8" s="60"/>
      <c r="Z8" s="60"/>
      <c r="AA8" s="60"/>
      <c r="AB8" s="60"/>
      <c r="AC8" s="60"/>
      <c r="AD8" s="60"/>
      <c r="AE8" s="60"/>
      <c r="AF8" s="463"/>
      <c r="AG8" s="461"/>
      <c r="AH8" s="60"/>
      <c r="AI8" s="60"/>
      <c r="AJ8" s="60"/>
      <c r="AK8" s="60"/>
      <c r="AL8" s="60"/>
      <c r="AM8" s="60"/>
      <c r="AN8" s="60"/>
      <c r="AO8" s="467"/>
      <c r="AP8" s="461"/>
      <c r="AR8" s="59" t="s">
        <v>175</v>
      </c>
      <c r="AS8" s="60"/>
      <c r="AT8" s="60"/>
      <c r="AU8" s="60"/>
      <c r="AV8" s="60"/>
      <c r="AW8" s="60"/>
      <c r="AX8" s="60"/>
      <c r="AY8" s="60"/>
      <c r="AZ8" s="60"/>
      <c r="BA8" s="463"/>
      <c r="BB8" s="461"/>
      <c r="BC8" s="60"/>
      <c r="BD8" s="60"/>
      <c r="BE8" s="60"/>
      <c r="BF8" s="60"/>
      <c r="BG8" s="60"/>
      <c r="BH8" s="60"/>
      <c r="BI8" s="60"/>
      <c r="BJ8" s="467"/>
      <c r="BK8" s="461"/>
      <c r="BM8" s="59" t="s">
        <v>175</v>
      </c>
      <c r="BN8" s="60"/>
      <c r="BO8" s="60"/>
      <c r="BP8" s="60"/>
      <c r="BQ8" s="60"/>
      <c r="BR8" s="60"/>
      <c r="BS8" s="60"/>
      <c r="BT8" s="60"/>
      <c r="BU8" s="60"/>
      <c r="BV8" s="463"/>
      <c r="BW8" s="461"/>
      <c r="BX8" s="60"/>
      <c r="BY8" s="60"/>
      <c r="BZ8" s="60"/>
      <c r="CA8" s="60"/>
      <c r="CB8" s="60"/>
      <c r="CC8" s="60"/>
      <c r="CD8" s="60"/>
      <c r="CE8" s="467"/>
      <c r="CF8" s="461"/>
      <c r="CH8" s="59" t="s">
        <v>175</v>
      </c>
      <c r="CI8" s="60"/>
      <c r="CJ8" s="60"/>
      <c r="CK8" s="60"/>
      <c r="CL8" s="60"/>
      <c r="CM8" s="60"/>
      <c r="CN8" s="60"/>
      <c r="CO8" s="60"/>
      <c r="CP8" s="60"/>
      <c r="CQ8" s="463"/>
      <c r="CR8" s="461"/>
      <c r="CS8" s="60"/>
      <c r="CT8" s="60"/>
      <c r="CU8" s="60"/>
      <c r="CV8" s="60"/>
      <c r="CW8" s="60"/>
      <c r="CX8" s="60"/>
      <c r="CY8" s="60"/>
      <c r="CZ8" s="467"/>
      <c r="DA8" s="461"/>
      <c r="DC8" s="59" t="s">
        <v>175</v>
      </c>
      <c r="DD8" s="60"/>
      <c r="DE8" s="60"/>
      <c r="DF8" s="60"/>
      <c r="DG8" s="60"/>
      <c r="DH8" s="60"/>
      <c r="DI8" s="60"/>
      <c r="DJ8" s="60"/>
      <c r="DK8" s="60"/>
      <c r="DL8" s="463"/>
      <c r="DM8" s="461"/>
      <c r="DN8" s="60"/>
      <c r="DO8" s="60"/>
      <c r="DP8" s="60"/>
      <c r="DQ8" s="60"/>
      <c r="DR8" s="60"/>
      <c r="DS8" s="60"/>
      <c r="DT8" s="60"/>
      <c r="DU8" s="467"/>
      <c r="DV8" s="461"/>
    </row>
    <row r="9" spans="1:126" s="37" customFormat="1" ht="15">
      <c r="A9" s="42"/>
      <c r="B9" s="58"/>
      <c r="C9" s="462" t="s">
        <v>176</v>
      </c>
      <c r="D9" s="462"/>
      <c r="E9" s="462"/>
      <c r="F9" s="462"/>
      <c r="G9" s="462"/>
      <c r="H9" s="462"/>
      <c r="I9" s="462"/>
      <c r="J9" s="462"/>
      <c r="K9" s="463"/>
      <c r="L9" s="461"/>
      <c r="M9" s="462" t="s">
        <v>176</v>
      </c>
      <c r="N9" s="462"/>
      <c r="O9" s="462"/>
      <c r="P9" s="462"/>
      <c r="Q9" s="462"/>
      <c r="R9" s="462"/>
      <c r="S9" s="462"/>
      <c r="T9" s="467"/>
      <c r="U9" s="461"/>
      <c r="V9" s="36"/>
      <c r="W9" s="58"/>
      <c r="X9" s="462" t="s">
        <v>176</v>
      </c>
      <c r="Y9" s="462"/>
      <c r="Z9" s="462"/>
      <c r="AA9" s="462"/>
      <c r="AB9" s="462"/>
      <c r="AC9" s="462"/>
      <c r="AD9" s="462"/>
      <c r="AE9" s="462"/>
      <c r="AF9" s="463"/>
      <c r="AG9" s="461"/>
      <c r="AH9" s="462" t="s">
        <v>176</v>
      </c>
      <c r="AI9" s="462"/>
      <c r="AJ9" s="462"/>
      <c r="AK9" s="462"/>
      <c r="AL9" s="462"/>
      <c r="AM9" s="462"/>
      <c r="AN9" s="462"/>
      <c r="AO9" s="467"/>
      <c r="AP9" s="461"/>
      <c r="AR9" s="58"/>
      <c r="AS9" s="462" t="s">
        <v>176</v>
      </c>
      <c r="AT9" s="462"/>
      <c r="AU9" s="462"/>
      <c r="AV9" s="462"/>
      <c r="AW9" s="462"/>
      <c r="AX9" s="462"/>
      <c r="AY9" s="462"/>
      <c r="AZ9" s="462"/>
      <c r="BA9" s="463"/>
      <c r="BB9" s="461"/>
      <c r="BC9" s="462" t="s">
        <v>176</v>
      </c>
      <c r="BD9" s="462"/>
      <c r="BE9" s="462"/>
      <c r="BF9" s="462"/>
      <c r="BG9" s="462"/>
      <c r="BH9" s="462"/>
      <c r="BI9" s="462"/>
      <c r="BJ9" s="467"/>
      <c r="BK9" s="461"/>
      <c r="BM9" s="58"/>
      <c r="BN9" s="462" t="s">
        <v>176</v>
      </c>
      <c r="BO9" s="462"/>
      <c r="BP9" s="462"/>
      <c r="BQ9" s="462"/>
      <c r="BR9" s="462"/>
      <c r="BS9" s="462"/>
      <c r="BT9" s="462"/>
      <c r="BU9" s="462"/>
      <c r="BV9" s="463"/>
      <c r="BW9" s="461"/>
      <c r="BX9" s="462" t="s">
        <v>176</v>
      </c>
      <c r="BY9" s="462"/>
      <c r="BZ9" s="462"/>
      <c r="CA9" s="462"/>
      <c r="CB9" s="462"/>
      <c r="CC9" s="462"/>
      <c r="CD9" s="462"/>
      <c r="CE9" s="467"/>
      <c r="CF9" s="461"/>
      <c r="CH9" s="58"/>
      <c r="CI9" s="462" t="s">
        <v>176</v>
      </c>
      <c r="CJ9" s="462"/>
      <c r="CK9" s="462"/>
      <c r="CL9" s="462"/>
      <c r="CM9" s="462"/>
      <c r="CN9" s="462"/>
      <c r="CO9" s="462"/>
      <c r="CP9" s="462"/>
      <c r="CQ9" s="463"/>
      <c r="CR9" s="461"/>
      <c r="CS9" s="462" t="s">
        <v>176</v>
      </c>
      <c r="CT9" s="462"/>
      <c r="CU9" s="462"/>
      <c r="CV9" s="462"/>
      <c r="CW9" s="462"/>
      <c r="CX9" s="462"/>
      <c r="CY9" s="462"/>
      <c r="CZ9" s="467"/>
      <c r="DA9" s="461"/>
      <c r="DC9" s="58"/>
      <c r="DD9" s="462" t="s">
        <v>176</v>
      </c>
      <c r="DE9" s="462"/>
      <c r="DF9" s="462"/>
      <c r="DG9" s="462"/>
      <c r="DH9" s="462"/>
      <c r="DI9" s="462"/>
      <c r="DJ9" s="462"/>
      <c r="DK9" s="462"/>
      <c r="DL9" s="463"/>
      <c r="DM9" s="461"/>
      <c r="DN9" s="462" t="s">
        <v>176</v>
      </c>
      <c r="DO9" s="462"/>
      <c r="DP9" s="462"/>
      <c r="DQ9" s="462"/>
      <c r="DR9" s="462"/>
      <c r="DS9" s="462"/>
      <c r="DT9" s="462"/>
      <c r="DU9" s="467"/>
      <c r="DV9" s="461"/>
    </row>
    <row r="10" spans="1:126" ht="15">
      <c r="A10" s="61"/>
      <c r="B10" s="62" t="s">
        <v>46</v>
      </c>
      <c r="C10" s="63">
        <f>SUM(C11)</f>
        <v>0</v>
      </c>
      <c r="D10" s="63">
        <f t="shared" ref="D10:I10" si="0">SUM(D11)</f>
        <v>0</v>
      </c>
      <c r="E10" s="63">
        <f>SUM(E11)</f>
        <v>0</v>
      </c>
      <c r="F10" s="63">
        <f t="shared" si="0"/>
        <v>0</v>
      </c>
      <c r="G10" s="63">
        <f t="shared" si="0"/>
        <v>0</v>
      </c>
      <c r="H10" s="63">
        <f t="shared" si="0"/>
        <v>0</v>
      </c>
      <c r="I10" s="63">
        <f t="shared" si="0"/>
        <v>0</v>
      </c>
      <c r="J10" s="63">
        <f>SUM(J11)</f>
        <v>0</v>
      </c>
      <c r="K10" s="64">
        <f>SUM(C10:J10)</f>
        <v>0</v>
      </c>
      <c r="L10" s="65">
        <f t="shared" ref="L10:L48" si="1">SUMPRODUCT(C10:J10,$C$8:$J$8)</f>
        <v>0</v>
      </c>
      <c r="M10" s="63">
        <f>M11</f>
        <v>0</v>
      </c>
      <c r="N10" s="63">
        <f t="shared" ref="N10:R10" si="2">N11</f>
        <v>0</v>
      </c>
      <c r="O10" s="63">
        <f t="shared" si="2"/>
        <v>0</v>
      </c>
      <c r="P10" s="63">
        <f t="shared" si="2"/>
        <v>0</v>
      </c>
      <c r="Q10" s="63">
        <f t="shared" si="2"/>
        <v>0</v>
      </c>
      <c r="R10" s="63">
        <f t="shared" si="2"/>
        <v>0</v>
      </c>
      <c r="S10" s="63">
        <f>S11</f>
        <v>0</v>
      </c>
      <c r="T10" s="66">
        <f>SUM(M10:S10)</f>
        <v>0</v>
      </c>
      <c r="U10" s="60"/>
      <c r="V10" s="46"/>
      <c r="W10" s="62" t="s">
        <v>46</v>
      </c>
      <c r="X10" s="63">
        <f>SUM(X11)</f>
        <v>0</v>
      </c>
      <c r="Y10" s="63">
        <f t="shared" ref="Y10:AD10" si="3">SUM(Y11)</f>
        <v>0</v>
      </c>
      <c r="Z10" s="63">
        <f>SUM(Z11)</f>
        <v>0</v>
      </c>
      <c r="AA10" s="63">
        <f t="shared" si="3"/>
        <v>0</v>
      </c>
      <c r="AB10" s="63">
        <f t="shared" si="3"/>
        <v>0</v>
      </c>
      <c r="AC10" s="63">
        <f t="shared" si="3"/>
        <v>0</v>
      </c>
      <c r="AD10" s="63">
        <f t="shared" si="3"/>
        <v>0</v>
      </c>
      <c r="AE10" s="63">
        <f>SUM(AE11)</f>
        <v>0</v>
      </c>
      <c r="AF10" s="64">
        <f>SUM(X10:AE10)</f>
        <v>0</v>
      </c>
      <c r="AG10" s="65">
        <f t="shared" ref="AG10:AG48" si="4">SUMPRODUCT(X10:AE10,$C$8:$J$8)</f>
        <v>0</v>
      </c>
      <c r="AH10" s="63">
        <f>AH11</f>
        <v>0</v>
      </c>
      <c r="AI10" s="63">
        <f t="shared" ref="AI10:AM10" si="5">AI11</f>
        <v>0</v>
      </c>
      <c r="AJ10" s="63">
        <f t="shared" si="5"/>
        <v>0</v>
      </c>
      <c r="AK10" s="63">
        <f t="shared" si="5"/>
        <v>0</v>
      </c>
      <c r="AL10" s="63">
        <f t="shared" si="5"/>
        <v>0</v>
      </c>
      <c r="AM10" s="63">
        <f t="shared" si="5"/>
        <v>0</v>
      </c>
      <c r="AN10" s="63">
        <f>AN11</f>
        <v>0</v>
      </c>
      <c r="AO10" s="66">
        <f>SUM(AH10:AN10)</f>
        <v>0</v>
      </c>
      <c r="AP10" s="60"/>
      <c r="AR10" s="62" t="s">
        <v>46</v>
      </c>
      <c r="AS10" s="63">
        <f>SUM(AS11)</f>
        <v>0</v>
      </c>
      <c r="AT10" s="63">
        <f t="shared" ref="AT10:AY10" si="6">SUM(AT11)</f>
        <v>0</v>
      </c>
      <c r="AU10" s="63">
        <f>SUM(AU11)</f>
        <v>0</v>
      </c>
      <c r="AV10" s="63">
        <f t="shared" si="6"/>
        <v>0</v>
      </c>
      <c r="AW10" s="63">
        <f t="shared" si="6"/>
        <v>0</v>
      </c>
      <c r="AX10" s="63">
        <f t="shared" si="6"/>
        <v>0</v>
      </c>
      <c r="AY10" s="63">
        <f t="shared" si="6"/>
        <v>0</v>
      </c>
      <c r="AZ10" s="63">
        <f>SUM(AZ11)</f>
        <v>0</v>
      </c>
      <c r="BA10" s="64">
        <f>SUM(AS10:AZ10)</f>
        <v>0</v>
      </c>
      <c r="BB10" s="65">
        <f t="shared" ref="BB10:BB48" si="7">SUMPRODUCT(AS10:AZ10,$C$8:$J$8)</f>
        <v>0</v>
      </c>
      <c r="BC10" s="63">
        <f>BC11</f>
        <v>0</v>
      </c>
      <c r="BD10" s="63">
        <f t="shared" ref="BD10:BH10" si="8">BD11</f>
        <v>0</v>
      </c>
      <c r="BE10" s="63">
        <f t="shared" si="8"/>
        <v>0</v>
      </c>
      <c r="BF10" s="63">
        <f t="shared" si="8"/>
        <v>0</v>
      </c>
      <c r="BG10" s="63">
        <f t="shared" si="8"/>
        <v>0</v>
      </c>
      <c r="BH10" s="63">
        <f t="shared" si="8"/>
        <v>0</v>
      </c>
      <c r="BI10" s="63">
        <f>BI11</f>
        <v>0</v>
      </c>
      <c r="BJ10" s="66">
        <f>SUM(BC10:BI10)</f>
        <v>0</v>
      </c>
      <c r="BK10" s="60"/>
      <c r="BM10" s="62" t="s">
        <v>46</v>
      </c>
      <c r="BN10" s="63">
        <f>SUM(BN11)</f>
        <v>0</v>
      </c>
      <c r="BO10" s="63">
        <f t="shared" ref="BO10:BT10" si="9">SUM(BO11)</f>
        <v>0</v>
      </c>
      <c r="BP10" s="63">
        <f>SUM(BP11)</f>
        <v>0</v>
      </c>
      <c r="BQ10" s="63">
        <f t="shared" si="9"/>
        <v>0</v>
      </c>
      <c r="BR10" s="63">
        <f t="shared" si="9"/>
        <v>0</v>
      </c>
      <c r="BS10" s="63">
        <f t="shared" si="9"/>
        <v>0</v>
      </c>
      <c r="BT10" s="63">
        <f t="shared" si="9"/>
        <v>0</v>
      </c>
      <c r="BU10" s="63">
        <f>SUM(BU11)</f>
        <v>0</v>
      </c>
      <c r="BV10" s="64">
        <f>SUM(BN10:BU10)</f>
        <v>0</v>
      </c>
      <c r="BW10" s="65">
        <f t="shared" ref="BW10:BW48" si="10">SUMPRODUCT(BN10:BU10,$C$8:$J$8)</f>
        <v>0</v>
      </c>
      <c r="BX10" s="63">
        <f>BX11</f>
        <v>0</v>
      </c>
      <c r="BY10" s="63">
        <f t="shared" ref="BY10:CC10" si="11">BY11</f>
        <v>0</v>
      </c>
      <c r="BZ10" s="63">
        <f t="shared" si="11"/>
        <v>0</v>
      </c>
      <c r="CA10" s="63">
        <f t="shared" si="11"/>
        <v>0</v>
      </c>
      <c r="CB10" s="63">
        <f t="shared" si="11"/>
        <v>0</v>
      </c>
      <c r="CC10" s="63">
        <f t="shared" si="11"/>
        <v>0</v>
      </c>
      <c r="CD10" s="63">
        <f>CD11</f>
        <v>0</v>
      </c>
      <c r="CE10" s="66">
        <f>SUM(BX10:CD10)</f>
        <v>0</v>
      </c>
      <c r="CF10" s="60"/>
      <c r="CH10" s="62" t="s">
        <v>46</v>
      </c>
      <c r="CI10" s="63">
        <f>SUM(CI11)</f>
        <v>0</v>
      </c>
      <c r="CJ10" s="63">
        <f t="shared" ref="CJ10:CO10" si="12">SUM(CJ11)</f>
        <v>0</v>
      </c>
      <c r="CK10" s="63">
        <f>SUM(CK11)</f>
        <v>0</v>
      </c>
      <c r="CL10" s="63">
        <f t="shared" si="12"/>
        <v>0</v>
      </c>
      <c r="CM10" s="63">
        <f t="shared" si="12"/>
        <v>0</v>
      </c>
      <c r="CN10" s="63">
        <f t="shared" si="12"/>
        <v>0</v>
      </c>
      <c r="CO10" s="63">
        <f t="shared" si="12"/>
        <v>0</v>
      </c>
      <c r="CP10" s="63">
        <f>SUM(CP11)</f>
        <v>0</v>
      </c>
      <c r="CQ10" s="64">
        <f>SUM(CI10:CP10)</f>
        <v>0</v>
      </c>
      <c r="CR10" s="65">
        <f t="shared" ref="CR10:CR48" si="13">SUMPRODUCT(CI10:CP10,$C$8:$J$8)</f>
        <v>0</v>
      </c>
      <c r="CS10" s="63">
        <f>CS11</f>
        <v>0</v>
      </c>
      <c r="CT10" s="63">
        <f t="shared" ref="CT10:CX10" si="14">CT11</f>
        <v>0</v>
      </c>
      <c r="CU10" s="63">
        <f t="shared" si="14"/>
        <v>0</v>
      </c>
      <c r="CV10" s="63">
        <f t="shared" si="14"/>
        <v>0</v>
      </c>
      <c r="CW10" s="63">
        <f t="shared" si="14"/>
        <v>0</v>
      </c>
      <c r="CX10" s="63">
        <f t="shared" si="14"/>
        <v>0</v>
      </c>
      <c r="CY10" s="63">
        <f>CY11</f>
        <v>0</v>
      </c>
      <c r="CZ10" s="66">
        <f>SUM(CS10:CY10)</f>
        <v>0</v>
      </c>
      <c r="DA10" s="60"/>
      <c r="DC10" s="62" t="s">
        <v>46</v>
      </c>
      <c r="DD10" s="63">
        <f>SUM(DD11)</f>
        <v>0</v>
      </c>
      <c r="DE10" s="63">
        <f t="shared" ref="DE10:DJ10" si="15">SUM(DE11)</f>
        <v>0</v>
      </c>
      <c r="DF10" s="63">
        <f>SUM(DF11)</f>
        <v>0</v>
      </c>
      <c r="DG10" s="63">
        <f t="shared" si="15"/>
        <v>0</v>
      </c>
      <c r="DH10" s="63">
        <f t="shared" si="15"/>
        <v>0</v>
      </c>
      <c r="DI10" s="63">
        <f t="shared" si="15"/>
        <v>0</v>
      </c>
      <c r="DJ10" s="63">
        <f t="shared" si="15"/>
        <v>0</v>
      </c>
      <c r="DK10" s="63">
        <f>SUM(DK11)</f>
        <v>0</v>
      </c>
      <c r="DL10" s="64">
        <f>SUM(DD10:DK10)</f>
        <v>0</v>
      </c>
      <c r="DM10" s="65">
        <f t="shared" ref="DM10:DM48" si="16">SUMPRODUCT(DD10:DK10,$C$8:$J$8)</f>
        <v>0</v>
      </c>
      <c r="DN10" s="63">
        <f>DN11</f>
        <v>0</v>
      </c>
      <c r="DO10" s="63">
        <f t="shared" ref="DO10:DS10" si="17">DO11</f>
        <v>0</v>
      </c>
      <c r="DP10" s="63">
        <f t="shared" si="17"/>
        <v>0</v>
      </c>
      <c r="DQ10" s="63">
        <f t="shared" si="17"/>
        <v>0</v>
      </c>
      <c r="DR10" s="63">
        <f t="shared" si="17"/>
        <v>0</v>
      </c>
      <c r="DS10" s="63">
        <f t="shared" si="17"/>
        <v>0</v>
      </c>
      <c r="DT10" s="63">
        <f>DT11</f>
        <v>0</v>
      </c>
      <c r="DU10" s="66">
        <f>SUM(DN10:DT10)</f>
        <v>0</v>
      </c>
      <c r="DV10" s="60"/>
    </row>
    <row r="11" spans="1:126" ht="15">
      <c r="A11" s="61"/>
      <c r="B11" s="67" t="s">
        <v>177</v>
      </c>
      <c r="C11" s="60"/>
      <c r="D11" s="60"/>
      <c r="E11" s="60"/>
      <c r="F11" s="60"/>
      <c r="G11" s="60"/>
      <c r="H11" s="60"/>
      <c r="I11" s="60"/>
      <c r="J11" s="60"/>
      <c r="K11" s="68">
        <f t="shared" ref="K11:K20" si="18">SUM(C11:J11)</f>
        <v>0</v>
      </c>
      <c r="L11" s="69">
        <f>SUMPRODUCT(C11:J11,$C$8:$J$8)</f>
        <v>0</v>
      </c>
      <c r="M11" s="60"/>
      <c r="N11" s="60"/>
      <c r="O11" s="60"/>
      <c r="P11" s="60"/>
      <c r="Q11" s="60"/>
      <c r="R11" s="60"/>
      <c r="S11" s="60"/>
      <c r="T11" s="70">
        <f>SUM(M11:S11)</f>
        <v>0</v>
      </c>
      <c r="U11" s="60"/>
      <c r="V11" s="46"/>
      <c r="W11" s="67" t="s">
        <v>177</v>
      </c>
      <c r="X11" s="60"/>
      <c r="Y11" s="60"/>
      <c r="Z11" s="60"/>
      <c r="AA11" s="60"/>
      <c r="AB11" s="60"/>
      <c r="AC11" s="60"/>
      <c r="AD11" s="60"/>
      <c r="AE11" s="60"/>
      <c r="AF11" s="68">
        <f t="shared" ref="AF11:AF20" si="19">SUM(X11:AE11)</f>
        <v>0</v>
      </c>
      <c r="AG11" s="69">
        <f>SUMPRODUCT(X11:AE11,$C$8:$J$8)</f>
        <v>0</v>
      </c>
      <c r="AH11" s="60"/>
      <c r="AI11" s="60"/>
      <c r="AJ11" s="60"/>
      <c r="AK11" s="60"/>
      <c r="AL11" s="60"/>
      <c r="AM11" s="60"/>
      <c r="AN11" s="60"/>
      <c r="AO11" s="70">
        <f>SUM(AH11:AN11)</f>
        <v>0</v>
      </c>
      <c r="AP11" s="60"/>
      <c r="AR11" s="67" t="s">
        <v>177</v>
      </c>
      <c r="AS11" s="60"/>
      <c r="AT11" s="60"/>
      <c r="AU11" s="60"/>
      <c r="AV11" s="60"/>
      <c r="AW11" s="60"/>
      <c r="AX11" s="60"/>
      <c r="AY11" s="60"/>
      <c r="AZ11" s="60"/>
      <c r="BA11" s="68">
        <f t="shared" ref="BA11:BA20" si="20">SUM(AS11:AZ11)</f>
        <v>0</v>
      </c>
      <c r="BB11" s="69">
        <f>SUMPRODUCT(AS11:AZ11,$C$8:$J$8)</f>
        <v>0</v>
      </c>
      <c r="BC11" s="60"/>
      <c r="BD11" s="60"/>
      <c r="BE11" s="60"/>
      <c r="BF11" s="60"/>
      <c r="BG11" s="60"/>
      <c r="BH11" s="60"/>
      <c r="BI11" s="60"/>
      <c r="BJ11" s="70">
        <f>SUM(BC11:BI11)</f>
        <v>0</v>
      </c>
      <c r="BK11" s="60"/>
      <c r="BM11" s="67" t="s">
        <v>177</v>
      </c>
      <c r="BN11" s="60"/>
      <c r="BO11" s="60"/>
      <c r="BP11" s="60"/>
      <c r="BQ11" s="60"/>
      <c r="BR11" s="60"/>
      <c r="BS11" s="60"/>
      <c r="BT11" s="60"/>
      <c r="BU11" s="60"/>
      <c r="BV11" s="68">
        <f t="shared" ref="BV11:BV20" si="21">SUM(BN11:BU11)</f>
        <v>0</v>
      </c>
      <c r="BW11" s="69">
        <f>SUMPRODUCT(BN11:BU11,$C$8:$J$8)</f>
        <v>0</v>
      </c>
      <c r="BX11" s="60"/>
      <c r="BY11" s="60"/>
      <c r="BZ11" s="60"/>
      <c r="CA11" s="60"/>
      <c r="CB11" s="60"/>
      <c r="CC11" s="60"/>
      <c r="CD11" s="60"/>
      <c r="CE11" s="70">
        <f>SUM(BX11:CD11)</f>
        <v>0</v>
      </c>
      <c r="CF11" s="60"/>
      <c r="CH11" s="67" t="s">
        <v>177</v>
      </c>
      <c r="CI11" s="60"/>
      <c r="CJ11" s="60"/>
      <c r="CK11" s="60"/>
      <c r="CL11" s="60"/>
      <c r="CM11" s="60"/>
      <c r="CN11" s="60"/>
      <c r="CO11" s="60"/>
      <c r="CP11" s="60"/>
      <c r="CQ11" s="68">
        <f t="shared" ref="CQ11:CQ20" si="22">SUM(CI11:CP11)</f>
        <v>0</v>
      </c>
      <c r="CR11" s="69">
        <f>SUMPRODUCT(CI11:CP11,$C$8:$J$8)</f>
        <v>0</v>
      </c>
      <c r="CS11" s="60"/>
      <c r="CT11" s="60"/>
      <c r="CU11" s="60"/>
      <c r="CV11" s="60"/>
      <c r="CW11" s="60"/>
      <c r="CX11" s="60"/>
      <c r="CY11" s="60"/>
      <c r="CZ11" s="70">
        <f>SUM(CS11:CY11)</f>
        <v>0</v>
      </c>
      <c r="DA11" s="60"/>
      <c r="DC11" s="67" t="s">
        <v>177</v>
      </c>
      <c r="DD11" s="60"/>
      <c r="DE11" s="60"/>
      <c r="DF11" s="60"/>
      <c r="DG11" s="60"/>
      <c r="DH11" s="60"/>
      <c r="DI11" s="60"/>
      <c r="DJ11" s="60"/>
      <c r="DK11" s="60"/>
      <c r="DL11" s="68">
        <f t="shared" ref="DL11:DL20" si="23">SUM(DD11:DK11)</f>
        <v>0</v>
      </c>
      <c r="DM11" s="69">
        <f>SUMPRODUCT(DD11:DK11,$C$8:$J$8)</f>
        <v>0</v>
      </c>
      <c r="DN11" s="60"/>
      <c r="DO11" s="60"/>
      <c r="DP11" s="60"/>
      <c r="DQ11" s="60"/>
      <c r="DR11" s="60"/>
      <c r="DS11" s="60"/>
      <c r="DT11" s="60"/>
      <c r="DU11" s="70">
        <f>SUM(DN11:DT11)</f>
        <v>0</v>
      </c>
      <c r="DV11" s="60"/>
    </row>
    <row r="12" spans="1:126" ht="15">
      <c r="A12" s="61"/>
      <c r="B12" s="71" t="s">
        <v>47</v>
      </c>
      <c r="C12" s="63">
        <f t="shared" ref="C12:J12" si="24">SUM(C13:C17)</f>
        <v>0</v>
      </c>
      <c r="D12" s="63">
        <f t="shared" si="24"/>
        <v>0</v>
      </c>
      <c r="E12" s="63">
        <f t="shared" si="24"/>
        <v>0</v>
      </c>
      <c r="F12" s="63">
        <f t="shared" si="24"/>
        <v>0</v>
      </c>
      <c r="G12" s="63">
        <f t="shared" si="24"/>
        <v>0</v>
      </c>
      <c r="H12" s="63">
        <f t="shared" si="24"/>
        <v>0</v>
      </c>
      <c r="I12" s="63">
        <f t="shared" si="24"/>
        <v>0</v>
      </c>
      <c r="J12" s="63">
        <f t="shared" si="24"/>
        <v>0</v>
      </c>
      <c r="K12" s="64">
        <f>SUM(C12:J12)</f>
        <v>0</v>
      </c>
      <c r="L12" s="65">
        <f t="shared" si="1"/>
        <v>0</v>
      </c>
      <c r="M12" s="63">
        <f t="shared" ref="M12:S12" si="25">SUM(M13:M17)</f>
        <v>0</v>
      </c>
      <c r="N12" s="63">
        <f t="shared" si="25"/>
        <v>0</v>
      </c>
      <c r="O12" s="63">
        <f t="shared" si="25"/>
        <v>0</v>
      </c>
      <c r="P12" s="63">
        <f t="shared" si="25"/>
        <v>0</v>
      </c>
      <c r="Q12" s="63">
        <f t="shared" si="25"/>
        <v>0</v>
      </c>
      <c r="R12" s="63">
        <f t="shared" si="25"/>
        <v>0</v>
      </c>
      <c r="S12" s="63">
        <f t="shared" si="25"/>
        <v>0</v>
      </c>
      <c r="T12" s="66">
        <f>SUM(M12:S12)</f>
        <v>0</v>
      </c>
      <c r="U12" s="60"/>
      <c r="V12" s="46"/>
      <c r="W12" s="71" t="s">
        <v>47</v>
      </c>
      <c r="X12" s="63">
        <f t="shared" ref="X12:AE12" si="26">SUM(X13:X17)</f>
        <v>0</v>
      </c>
      <c r="Y12" s="63">
        <f t="shared" si="26"/>
        <v>0</v>
      </c>
      <c r="Z12" s="63">
        <f t="shared" si="26"/>
        <v>0</v>
      </c>
      <c r="AA12" s="63">
        <f t="shared" si="26"/>
        <v>0</v>
      </c>
      <c r="AB12" s="63">
        <f t="shared" si="26"/>
        <v>0</v>
      </c>
      <c r="AC12" s="63">
        <f t="shared" si="26"/>
        <v>0</v>
      </c>
      <c r="AD12" s="63">
        <f t="shared" si="26"/>
        <v>0</v>
      </c>
      <c r="AE12" s="63">
        <f t="shared" si="26"/>
        <v>0</v>
      </c>
      <c r="AF12" s="64">
        <f>SUM(X12:AE12)</f>
        <v>0</v>
      </c>
      <c r="AG12" s="65">
        <f t="shared" si="4"/>
        <v>0</v>
      </c>
      <c r="AH12" s="63">
        <f t="shared" ref="AH12:AN12" si="27">SUM(AH13:AH17)</f>
        <v>0</v>
      </c>
      <c r="AI12" s="63">
        <f t="shared" si="27"/>
        <v>0</v>
      </c>
      <c r="AJ12" s="63">
        <f t="shared" si="27"/>
        <v>0</v>
      </c>
      <c r="AK12" s="63">
        <f t="shared" si="27"/>
        <v>0</v>
      </c>
      <c r="AL12" s="63">
        <f t="shared" si="27"/>
        <v>0</v>
      </c>
      <c r="AM12" s="63">
        <f t="shared" si="27"/>
        <v>0</v>
      </c>
      <c r="AN12" s="63">
        <f t="shared" si="27"/>
        <v>0</v>
      </c>
      <c r="AO12" s="66">
        <f>SUM(AH12:AN12)</f>
        <v>0</v>
      </c>
      <c r="AP12" s="60"/>
      <c r="AR12" s="71" t="s">
        <v>47</v>
      </c>
      <c r="AS12" s="63">
        <f t="shared" ref="AS12:AZ12" si="28">SUM(AS13:AS17)</f>
        <v>0</v>
      </c>
      <c r="AT12" s="63">
        <f t="shared" si="28"/>
        <v>0</v>
      </c>
      <c r="AU12" s="63">
        <f t="shared" si="28"/>
        <v>0</v>
      </c>
      <c r="AV12" s="63">
        <f t="shared" si="28"/>
        <v>0</v>
      </c>
      <c r="AW12" s="63">
        <f t="shared" si="28"/>
        <v>0</v>
      </c>
      <c r="AX12" s="63">
        <f t="shared" si="28"/>
        <v>0</v>
      </c>
      <c r="AY12" s="63">
        <f t="shared" si="28"/>
        <v>0</v>
      </c>
      <c r="AZ12" s="63">
        <f t="shared" si="28"/>
        <v>0</v>
      </c>
      <c r="BA12" s="64">
        <f>SUM(AS12:AZ12)</f>
        <v>0</v>
      </c>
      <c r="BB12" s="65">
        <f t="shared" si="7"/>
        <v>0</v>
      </c>
      <c r="BC12" s="63">
        <f t="shared" ref="BC12:BI12" si="29">SUM(BC13:BC17)</f>
        <v>0</v>
      </c>
      <c r="BD12" s="63">
        <f t="shared" si="29"/>
        <v>0</v>
      </c>
      <c r="BE12" s="63">
        <f t="shared" si="29"/>
        <v>0</v>
      </c>
      <c r="BF12" s="63">
        <f t="shared" si="29"/>
        <v>0</v>
      </c>
      <c r="BG12" s="63">
        <f t="shared" si="29"/>
        <v>0</v>
      </c>
      <c r="BH12" s="63">
        <f t="shared" si="29"/>
        <v>0</v>
      </c>
      <c r="BI12" s="63">
        <f t="shared" si="29"/>
        <v>0</v>
      </c>
      <c r="BJ12" s="66">
        <f>SUM(BC12:BI12)</f>
        <v>0</v>
      </c>
      <c r="BK12" s="60"/>
      <c r="BM12" s="71" t="s">
        <v>47</v>
      </c>
      <c r="BN12" s="63">
        <f t="shared" ref="BN12:BU12" si="30">SUM(BN13:BN17)</f>
        <v>0</v>
      </c>
      <c r="BO12" s="63">
        <f t="shared" si="30"/>
        <v>0</v>
      </c>
      <c r="BP12" s="63">
        <f t="shared" si="30"/>
        <v>0</v>
      </c>
      <c r="BQ12" s="63">
        <f t="shared" si="30"/>
        <v>0</v>
      </c>
      <c r="BR12" s="63">
        <f t="shared" si="30"/>
        <v>0</v>
      </c>
      <c r="BS12" s="63">
        <f t="shared" si="30"/>
        <v>0</v>
      </c>
      <c r="BT12" s="63">
        <f t="shared" si="30"/>
        <v>0</v>
      </c>
      <c r="BU12" s="63">
        <f t="shared" si="30"/>
        <v>0</v>
      </c>
      <c r="BV12" s="64">
        <f>SUM(BN12:BU12)</f>
        <v>0</v>
      </c>
      <c r="BW12" s="65">
        <f t="shared" si="10"/>
        <v>0</v>
      </c>
      <c r="BX12" s="63">
        <f t="shared" ref="BX12:CD12" si="31">SUM(BX13:BX17)</f>
        <v>0</v>
      </c>
      <c r="BY12" s="63">
        <f t="shared" si="31"/>
        <v>0</v>
      </c>
      <c r="BZ12" s="63">
        <f t="shared" si="31"/>
        <v>0</v>
      </c>
      <c r="CA12" s="63">
        <f t="shared" si="31"/>
        <v>0</v>
      </c>
      <c r="CB12" s="63">
        <f t="shared" si="31"/>
        <v>0</v>
      </c>
      <c r="CC12" s="63">
        <f t="shared" si="31"/>
        <v>0</v>
      </c>
      <c r="CD12" s="63">
        <f t="shared" si="31"/>
        <v>0</v>
      </c>
      <c r="CE12" s="66">
        <f>SUM(BX12:CD12)</f>
        <v>0</v>
      </c>
      <c r="CF12" s="60"/>
      <c r="CH12" s="71" t="s">
        <v>47</v>
      </c>
      <c r="CI12" s="63">
        <f t="shared" ref="CI12:CP12" si="32">SUM(CI13:CI17)</f>
        <v>0</v>
      </c>
      <c r="CJ12" s="63">
        <f t="shared" si="32"/>
        <v>0</v>
      </c>
      <c r="CK12" s="63">
        <f t="shared" si="32"/>
        <v>0</v>
      </c>
      <c r="CL12" s="63">
        <f t="shared" si="32"/>
        <v>0</v>
      </c>
      <c r="CM12" s="63">
        <f t="shared" si="32"/>
        <v>0</v>
      </c>
      <c r="CN12" s="63">
        <f t="shared" si="32"/>
        <v>0</v>
      </c>
      <c r="CO12" s="63">
        <f t="shared" si="32"/>
        <v>0</v>
      </c>
      <c r="CP12" s="63">
        <f t="shared" si="32"/>
        <v>0</v>
      </c>
      <c r="CQ12" s="64">
        <f>SUM(CI12:CP12)</f>
        <v>0</v>
      </c>
      <c r="CR12" s="65">
        <f t="shared" si="13"/>
        <v>0</v>
      </c>
      <c r="CS12" s="63">
        <f t="shared" ref="CS12:CY12" si="33">SUM(CS13:CS17)</f>
        <v>0</v>
      </c>
      <c r="CT12" s="63">
        <f t="shared" si="33"/>
        <v>0</v>
      </c>
      <c r="CU12" s="63">
        <f t="shared" si="33"/>
        <v>0</v>
      </c>
      <c r="CV12" s="63">
        <f t="shared" si="33"/>
        <v>0</v>
      </c>
      <c r="CW12" s="63">
        <f t="shared" si="33"/>
        <v>0</v>
      </c>
      <c r="CX12" s="63">
        <f t="shared" si="33"/>
        <v>0</v>
      </c>
      <c r="CY12" s="63">
        <f t="shared" si="33"/>
        <v>0</v>
      </c>
      <c r="CZ12" s="66">
        <f>SUM(CS12:CY12)</f>
        <v>0</v>
      </c>
      <c r="DA12" s="60"/>
      <c r="DC12" s="71" t="s">
        <v>47</v>
      </c>
      <c r="DD12" s="63">
        <f t="shared" ref="DD12:DK12" si="34">SUM(DD13:DD17)</f>
        <v>0</v>
      </c>
      <c r="DE12" s="63">
        <f t="shared" si="34"/>
        <v>0</v>
      </c>
      <c r="DF12" s="63">
        <f t="shared" si="34"/>
        <v>0</v>
      </c>
      <c r="DG12" s="63">
        <f t="shared" si="34"/>
        <v>0</v>
      </c>
      <c r="DH12" s="63">
        <f t="shared" si="34"/>
        <v>0</v>
      </c>
      <c r="DI12" s="63">
        <f t="shared" si="34"/>
        <v>0</v>
      </c>
      <c r="DJ12" s="63">
        <f t="shared" si="34"/>
        <v>0</v>
      </c>
      <c r="DK12" s="63">
        <f t="shared" si="34"/>
        <v>0</v>
      </c>
      <c r="DL12" s="64">
        <f>SUM(DD12:DK12)</f>
        <v>0</v>
      </c>
      <c r="DM12" s="65">
        <f t="shared" si="16"/>
        <v>0</v>
      </c>
      <c r="DN12" s="63">
        <f t="shared" ref="DN12:DT12" si="35">SUM(DN13:DN17)</f>
        <v>0</v>
      </c>
      <c r="DO12" s="63">
        <f t="shared" si="35"/>
        <v>0</v>
      </c>
      <c r="DP12" s="63">
        <f t="shared" si="35"/>
        <v>0</v>
      </c>
      <c r="DQ12" s="63">
        <f t="shared" si="35"/>
        <v>0</v>
      </c>
      <c r="DR12" s="63">
        <f t="shared" si="35"/>
        <v>0</v>
      </c>
      <c r="DS12" s="63">
        <f t="shared" si="35"/>
        <v>0</v>
      </c>
      <c r="DT12" s="63">
        <f t="shared" si="35"/>
        <v>0</v>
      </c>
      <c r="DU12" s="66">
        <f>SUM(DN12:DT12)</f>
        <v>0</v>
      </c>
      <c r="DV12" s="60"/>
    </row>
    <row r="13" spans="1:126" ht="15">
      <c r="A13" s="61"/>
      <c r="B13" s="67" t="s">
        <v>178</v>
      </c>
      <c r="C13" s="60"/>
      <c r="D13" s="60"/>
      <c r="E13" s="60"/>
      <c r="F13" s="60"/>
      <c r="G13" s="60"/>
      <c r="H13" s="60"/>
      <c r="I13" s="60"/>
      <c r="J13" s="60"/>
      <c r="K13" s="68">
        <f t="shared" si="18"/>
        <v>0</v>
      </c>
      <c r="L13" s="69">
        <f>SUMPRODUCT(C13:J13,$C$8:$J$8)</f>
        <v>0</v>
      </c>
      <c r="M13" s="60"/>
      <c r="N13" s="60"/>
      <c r="O13" s="60"/>
      <c r="P13" s="60"/>
      <c r="Q13" s="60"/>
      <c r="R13" s="60"/>
      <c r="S13" s="60"/>
      <c r="T13" s="70">
        <f t="shared" ref="T13:T17" si="36">SUM(M13:S13)</f>
        <v>0</v>
      </c>
      <c r="U13" s="60"/>
      <c r="V13" s="46"/>
      <c r="W13" s="67" t="s">
        <v>178</v>
      </c>
      <c r="X13" s="60"/>
      <c r="Y13" s="60"/>
      <c r="Z13" s="60"/>
      <c r="AA13" s="60"/>
      <c r="AB13" s="60"/>
      <c r="AC13" s="60"/>
      <c r="AD13" s="60"/>
      <c r="AE13" s="60"/>
      <c r="AF13" s="68">
        <f t="shared" si="19"/>
        <v>0</v>
      </c>
      <c r="AG13" s="69">
        <f>SUMPRODUCT(X13:AE13,$C$8:$J$8)</f>
        <v>0</v>
      </c>
      <c r="AH13" s="60"/>
      <c r="AI13" s="60"/>
      <c r="AJ13" s="60"/>
      <c r="AK13" s="60"/>
      <c r="AL13" s="60"/>
      <c r="AM13" s="60"/>
      <c r="AN13" s="60"/>
      <c r="AO13" s="70">
        <f t="shared" ref="AO13:AO17" si="37">SUM(AH13:AN13)</f>
        <v>0</v>
      </c>
      <c r="AP13" s="60"/>
      <c r="AR13" s="67" t="s">
        <v>178</v>
      </c>
      <c r="AS13" s="60"/>
      <c r="AT13" s="60"/>
      <c r="AU13" s="60"/>
      <c r="AV13" s="60"/>
      <c r="AW13" s="60"/>
      <c r="AX13" s="60"/>
      <c r="AY13" s="60"/>
      <c r="AZ13" s="60"/>
      <c r="BA13" s="68">
        <f t="shared" si="20"/>
        <v>0</v>
      </c>
      <c r="BB13" s="69">
        <f>SUMPRODUCT(AS13:AZ13,$C$8:$J$8)</f>
        <v>0</v>
      </c>
      <c r="BC13" s="60"/>
      <c r="BD13" s="60"/>
      <c r="BE13" s="60"/>
      <c r="BF13" s="60"/>
      <c r="BG13" s="60"/>
      <c r="BH13" s="60"/>
      <c r="BI13" s="60"/>
      <c r="BJ13" s="70">
        <f t="shared" ref="BJ13:BJ17" si="38">SUM(BC13:BI13)</f>
        <v>0</v>
      </c>
      <c r="BK13" s="60"/>
      <c r="BM13" s="67" t="s">
        <v>178</v>
      </c>
      <c r="BN13" s="60"/>
      <c r="BO13" s="60"/>
      <c r="BP13" s="60"/>
      <c r="BQ13" s="60"/>
      <c r="BR13" s="60"/>
      <c r="BS13" s="60"/>
      <c r="BT13" s="60"/>
      <c r="BU13" s="60"/>
      <c r="BV13" s="68">
        <f t="shared" si="21"/>
        <v>0</v>
      </c>
      <c r="BW13" s="69">
        <f>SUMPRODUCT(BN13:BU13,$C$8:$J$8)</f>
        <v>0</v>
      </c>
      <c r="BX13" s="60"/>
      <c r="BY13" s="60"/>
      <c r="BZ13" s="60"/>
      <c r="CA13" s="60"/>
      <c r="CB13" s="60"/>
      <c r="CC13" s="60"/>
      <c r="CD13" s="60"/>
      <c r="CE13" s="70">
        <f t="shared" ref="CE13:CE17" si="39">SUM(BX13:CD13)</f>
        <v>0</v>
      </c>
      <c r="CF13" s="60"/>
      <c r="CH13" s="67" t="s">
        <v>178</v>
      </c>
      <c r="CI13" s="60"/>
      <c r="CJ13" s="60"/>
      <c r="CK13" s="60"/>
      <c r="CL13" s="60"/>
      <c r="CM13" s="60"/>
      <c r="CN13" s="60"/>
      <c r="CO13" s="60"/>
      <c r="CP13" s="60"/>
      <c r="CQ13" s="68">
        <f t="shared" si="22"/>
        <v>0</v>
      </c>
      <c r="CR13" s="69">
        <f>SUMPRODUCT(CI13:CP13,$C$8:$J$8)</f>
        <v>0</v>
      </c>
      <c r="CS13" s="60"/>
      <c r="CT13" s="60"/>
      <c r="CU13" s="60"/>
      <c r="CV13" s="60"/>
      <c r="CW13" s="60"/>
      <c r="CX13" s="60"/>
      <c r="CY13" s="60"/>
      <c r="CZ13" s="70">
        <f t="shared" ref="CZ13:CZ17" si="40">SUM(CS13:CY13)</f>
        <v>0</v>
      </c>
      <c r="DA13" s="60"/>
      <c r="DC13" s="67" t="s">
        <v>178</v>
      </c>
      <c r="DD13" s="60"/>
      <c r="DE13" s="60"/>
      <c r="DF13" s="60"/>
      <c r="DG13" s="60"/>
      <c r="DH13" s="60"/>
      <c r="DI13" s="60"/>
      <c r="DJ13" s="60"/>
      <c r="DK13" s="60"/>
      <c r="DL13" s="68">
        <f t="shared" si="23"/>
        <v>0</v>
      </c>
      <c r="DM13" s="69">
        <f>SUMPRODUCT(DD13:DK13,$C$8:$J$8)</f>
        <v>0</v>
      </c>
      <c r="DN13" s="60"/>
      <c r="DO13" s="60"/>
      <c r="DP13" s="60"/>
      <c r="DQ13" s="60"/>
      <c r="DR13" s="60"/>
      <c r="DS13" s="60"/>
      <c r="DT13" s="60"/>
      <c r="DU13" s="70">
        <f t="shared" ref="DU13:DU17" si="41">SUM(DN13:DT13)</f>
        <v>0</v>
      </c>
      <c r="DV13" s="60"/>
    </row>
    <row r="14" spans="1:126" ht="15">
      <c r="A14" s="61"/>
      <c r="B14" s="67" t="s">
        <v>179</v>
      </c>
      <c r="C14" s="60"/>
      <c r="D14" s="60"/>
      <c r="E14" s="60"/>
      <c r="F14" s="60"/>
      <c r="G14" s="60"/>
      <c r="H14" s="60"/>
      <c r="I14" s="60"/>
      <c r="J14" s="60"/>
      <c r="K14" s="68">
        <f t="shared" si="18"/>
        <v>0</v>
      </c>
      <c r="L14" s="69">
        <f t="shared" si="1"/>
        <v>0</v>
      </c>
      <c r="M14" s="60"/>
      <c r="N14" s="60"/>
      <c r="O14" s="60"/>
      <c r="P14" s="60"/>
      <c r="Q14" s="60"/>
      <c r="R14" s="60"/>
      <c r="S14" s="60"/>
      <c r="T14" s="70">
        <f t="shared" si="36"/>
        <v>0</v>
      </c>
      <c r="U14" s="60"/>
      <c r="V14" s="46"/>
      <c r="W14" s="67" t="s">
        <v>179</v>
      </c>
      <c r="X14" s="60"/>
      <c r="Y14" s="60"/>
      <c r="Z14" s="60"/>
      <c r="AA14" s="60"/>
      <c r="AB14" s="60"/>
      <c r="AC14" s="60"/>
      <c r="AD14" s="60"/>
      <c r="AE14" s="60"/>
      <c r="AF14" s="68">
        <f t="shared" si="19"/>
        <v>0</v>
      </c>
      <c r="AG14" s="69">
        <f t="shared" si="4"/>
        <v>0</v>
      </c>
      <c r="AH14" s="60"/>
      <c r="AI14" s="60"/>
      <c r="AJ14" s="60"/>
      <c r="AK14" s="60"/>
      <c r="AL14" s="60"/>
      <c r="AM14" s="60"/>
      <c r="AN14" s="60"/>
      <c r="AO14" s="70">
        <f t="shared" si="37"/>
        <v>0</v>
      </c>
      <c r="AP14" s="60"/>
      <c r="AR14" s="67" t="s">
        <v>179</v>
      </c>
      <c r="AS14" s="60"/>
      <c r="AT14" s="60"/>
      <c r="AU14" s="60"/>
      <c r="AV14" s="60"/>
      <c r="AW14" s="60"/>
      <c r="AX14" s="60"/>
      <c r="AY14" s="60"/>
      <c r="AZ14" s="60"/>
      <c r="BA14" s="68">
        <f t="shared" si="20"/>
        <v>0</v>
      </c>
      <c r="BB14" s="69">
        <f t="shared" si="7"/>
        <v>0</v>
      </c>
      <c r="BC14" s="60"/>
      <c r="BD14" s="60"/>
      <c r="BE14" s="60"/>
      <c r="BF14" s="60"/>
      <c r="BG14" s="60"/>
      <c r="BH14" s="60"/>
      <c r="BI14" s="60"/>
      <c r="BJ14" s="70">
        <f t="shared" si="38"/>
        <v>0</v>
      </c>
      <c r="BK14" s="60"/>
      <c r="BM14" s="67" t="s">
        <v>179</v>
      </c>
      <c r="BN14" s="60"/>
      <c r="BO14" s="60"/>
      <c r="BP14" s="60"/>
      <c r="BQ14" s="60"/>
      <c r="BR14" s="60"/>
      <c r="BS14" s="60"/>
      <c r="BT14" s="60"/>
      <c r="BU14" s="60"/>
      <c r="BV14" s="68">
        <f t="shared" si="21"/>
        <v>0</v>
      </c>
      <c r="BW14" s="69">
        <f t="shared" si="10"/>
        <v>0</v>
      </c>
      <c r="BX14" s="60"/>
      <c r="BY14" s="60"/>
      <c r="BZ14" s="60"/>
      <c r="CA14" s="60"/>
      <c r="CB14" s="60"/>
      <c r="CC14" s="60"/>
      <c r="CD14" s="60"/>
      <c r="CE14" s="70">
        <f t="shared" si="39"/>
        <v>0</v>
      </c>
      <c r="CF14" s="60"/>
      <c r="CH14" s="67" t="s">
        <v>179</v>
      </c>
      <c r="CI14" s="60"/>
      <c r="CJ14" s="60"/>
      <c r="CK14" s="60"/>
      <c r="CL14" s="60"/>
      <c r="CM14" s="60"/>
      <c r="CN14" s="60"/>
      <c r="CO14" s="60"/>
      <c r="CP14" s="60"/>
      <c r="CQ14" s="68">
        <f t="shared" si="22"/>
        <v>0</v>
      </c>
      <c r="CR14" s="69">
        <f t="shared" si="13"/>
        <v>0</v>
      </c>
      <c r="CS14" s="60"/>
      <c r="CT14" s="60"/>
      <c r="CU14" s="60"/>
      <c r="CV14" s="60"/>
      <c r="CW14" s="60"/>
      <c r="CX14" s="60"/>
      <c r="CY14" s="60"/>
      <c r="CZ14" s="70">
        <f t="shared" si="40"/>
        <v>0</v>
      </c>
      <c r="DA14" s="60"/>
      <c r="DC14" s="67" t="s">
        <v>179</v>
      </c>
      <c r="DD14" s="60"/>
      <c r="DE14" s="60"/>
      <c r="DF14" s="60"/>
      <c r="DG14" s="60"/>
      <c r="DH14" s="60"/>
      <c r="DI14" s="60"/>
      <c r="DJ14" s="60"/>
      <c r="DK14" s="60"/>
      <c r="DL14" s="68">
        <f t="shared" si="23"/>
        <v>0</v>
      </c>
      <c r="DM14" s="69">
        <f t="shared" si="16"/>
        <v>0</v>
      </c>
      <c r="DN14" s="60"/>
      <c r="DO14" s="60"/>
      <c r="DP14" s="60"/>
      <c r="DQ14" s="60"/>
      <c r="DR14" s="60"/>
      <c r="DS14" s="60"/>
      <c r="DT14" s="60"/>
      <c r="DU14" s="70">
        <f t="shared" si="41"/>
        <v>0</v>
      </c>
      <c r="DV14" s="60"/>
    </row>
    <row r="15" spans="1:126" ht="15">
      <c r="A15" s="61"/>
      <c r="B15" s="67" t="s">
        <v>180</v>
      </c>
      <c r="C15" s="60"/>
      <c r="D15" s="60"/>
      <c r="E15" s="60"/>
      <c r="F15" s="60"/>
      <c r="G15" s="60"/>
      <c r="H15" s="60"/>
      <c r="I15" s="60"/>
      <c r="J15" s="60"/>
      <c r="K15" s="68">
        <f t="shared" si="18"/>
        <v>0</v>
      </c>
      <c r="L15" s="69">
        <f t="shared" si="1"/>
        <v>0</v>
      </c>
      <c r="M15" s="60"/>
      <c r="N15" s="60"/>
      <c r="O15" s="60"/>
      <c r="P15" s="60"/>
      <c r="Q15" s="60"/>
      <c r="R15" s="60"/>
      <c r="S15" s="60"/>
      <c r="T15" s="70">
        <f t="shared" si="36"/>
        <v>0</v>
      </c>
      <c r="U15" s="60"/>
      <c r="V15" s="46"/>
      <c r="W15" s="67" t="s">
        <v>180</v>
      </c>
      <c r="X15" s="60"/>
      <c r="Y15" s="60"/>
      <c r="Z15" s="60"/>
      <c r="AA15" s="60"/>
      <c r="AB15" s="60"/>
      <c r="AC15" s="60"/>
      <c r="AD15" s="60"/>
      <c r="AE15" s="60"/>
      <c r="AF15" s="68">
        <f t="shared" si="19"/>
        <v>0</v>
      </c>
      <c r="AG15" s="69">
        <f t="shared" si="4"/>
        <v>0</v>
      </c>
      <c r="AH15" s="60"/>
      <c r="AI15" s="60"/>
      <c r="AJ15" s="60"/>
      <c r="AK15" s="60"/>
      <c r="AL15" s="60"/>
      <c r="AM15" s="60"/>
      <c r="AN15" s="60"/>
      <c r="AO15" s="70">
        <f t="shared" si="37"/>
        <v>0</v>
      </c>
      <c r="AP15" s="60"/>
      <c r="AR15" s="67" t="s">
        <v>180</v>
      </c>
      <c r="AS15" s="60"/>
      <c r="AT15" s="60"/>
      <c r="AU15" s="60"/>
      <c r="AV15" s="60"/>
      <c r="AW15" s="60"/>
      <c r="AX15" s="60"/>
      <c r="AY15" s="60"/>
      <c r="AZ15" s="60"/>
      <c r="BA15" s="68">
        <f t="shared" si="20"/>
        <v>0</v>
      </c>
      <c r="BB15" s="69">
        <f t="shared" si="7"/>
        <v>0</v>
      </c>
      <c r="BC15" s="60"/>
      <c r="BD15" s="60"/>
      <c r="BE15" s="60"/>
      <c r="BF15" s="60"/>
      <c r="BG15" s="60"/>
      <c r="BH15" s="60"/>
      <c r="BI15" s="60"/>
      <c r="BJ15" s="70">
        <f t="shared" si="38"/>
        <v>0</v>
      </c>
      <c r="BK15" s="60"/>
      <c r="BM15" s="67" t="s">
        <v>180</v>
      </c>
      <c r="BN15" s="60"/>
      <c r="BO15" s="60"/>
      <c r="BP15" s="60"/>
      <c r="BQ15" s="60"/>
      <c r="BR15" s="60"/>
      <c r="BS15" s="60"/>
      <c r="BT15" s="60"/>
      <c r="BU15" s="60"/>
      <c r="BV15" s="68">
        <f t="shared" si="21"/>
        <v>0</v>
      </c>
      <c r="BW15" s="69">
        <f t="shared" si="10"/>
        <v>0</v>
      </c>
      <c r="BX15" s="60"/>
      <c r="BY15" s="60"/>
      <c r="BZ15" s="60"/>
      <c r="CA15" s="60"/>
      <c r="CB15" s="60"/>
      <c r="CC15" s="60"/>
      <c r="CD15" s="60"/>
      <c r="CE15" s="70">
        <f t="shared" si="39"/>
        <v>0</v>
      </c>
      <c r="CF15" s="60"/>
      <c r="CH15" s="67" t="s">
        <v>180</v>
      </c>
      <c r="CI15" s="60"/>
      <c r="CJ15" s="60"/>
      <c r="CK15" s="60"/>
      <c r="CL15" s="60"/>
      <c r="CM15" s="60"/>
      <c r="CN15" s="60"/>
      <c r="CO15" s="60"/>
      <c r="CP15" s="60"/>
      <c r="CQ15" s="68">
        <f t="shared" si="22"/>
        <v>0</v>
      </c>
      <c r="CR15" s="69">
        <f t="shared" si="13"/>
        <v>0</v>
      </c>
      <c r="CS15" s="60"/>
      <c r="CT15" s="60"/>
      <c r="CU15" s="60"/>
      <c r="CV15" s="60"/>
      <c r="CW15" s="60"/>
      <c r="CX15" s="60"/>
      <c r="CY15" s="60"/>
      <c r="CZ15" s="70">
        <f t="shared" si="40"/>
        <v>0</v>
      </c>
      <c r="DA15" s="60"/>
      <c r="DC15" s="67" t="s">
        <v>180</v>
      </c>
      <c r="DD15" s="60"/>
      <c r="DE15" s="60"/>
      <c r="DF15" s="60"/>
      <c r="DG15" s="60"/>
      <c r="DH15" s="60"/>
      <c r="DI15" s="60"/>
      <c r="DJ15" s="60"/>
      <c r="DK15" s="60"/>
      <c r="DL15" s="68">
        <f t="shared" si="23"/>
        <v>0</v>
      </c>
      <c r="DM15" s="69">
        <f t="shared" si="16"/>
        <v>0</v>
      </c>
      <c r="DN15" s="60"/>
      <c r="DO15" s="60"/>
      <c r="DP15" s="60"/>
      <c r="DQ15" s="60"/>
      <c r="DR15" s="60"/>
      <c r="DS15" s="60"/>
      <c r="DT15" s="60"/>
      <c r="DU15" s="70">
        <f t="shared" si="41"/>
        <v>0</v>
      </c>
      <c r="DV15" s="60"/>
    </row>
    <row r="16" spans="1:126" ht="15">
      <c r="A16" s="61"/>
      <c r="B16" s="67" t="s">
        <v>181</v>
      </c>
      <c r="C16" s="60"/>
      <c r="D16" s="60"/>
      <c r="E16" s="60"/>
      <c r="F16" s="60"/>
      <c r="G16" s="60"/>
      <c r="H16" s="60"/>
      <c r="I16" s="60"/>
      <c r="J16" s="60"/>
      <c r="K16" s="68">
        <f t="shared" si="18"/>
        <v>0</v>
      </c>
      <c r="L16" s="69">
        <f t="shared" si="1"/>
        <v>0</v>
      </c>
      <c r="M16" s="60"/>
      <c r="N16" s="60"/>
      <c r="O16" s="60"/>
      <c r="P16" s="60"/>
      <c r="Q16" s="60"/>
      <c r="R16" s="60"/>
      <c r="S16" s="60"/>
      <c r="T16" s="70">
        <f t="shared" si="36"/>
        <v>0</v>
      </c>
      <c r="U16" s="60"/>
      <c r="V16" s="46"/>
      <c r="W16" s="67" t="s">
        <v>181</v>
      </c>
      <c r="X16" s="60"/>
      <c r="Y16" s="60"/>
      <c r="Z16" s="60"/>
      <c r="AA16" s="60"/>
      <c r="AB16" s="60"/>
      <c r="AC16" s="60"/>
      <c r="AD16" s="60"/>
      <c r="AE16" s="60"/>
      <c r="AF16" s="68">
        <f t="shared" si="19"/>
        <v>0</v>
      </c>
      <c r="AG16" s="69">
        <f t="shared" si="4"/>
        <v>0</v>
      </c>
      <c r="AH16" s="60"/>
      <c r="AI16" s="60"/>
      <c r="AJ16" s="60"/>
      <c r="AK16" s="60"/>
      <c r="AL16" s="60"/>
      <c r="AM16" s="60"/>
      <c r="AN16" s="60"/>
      <c r="AO16" s="70">
        <f t="shared" si="37"/>
        <v>0</v>
      </c>
      <c r="AP16" s="60"/>
      <c r="AR16" s="67" t="s">
        <v>181</v>
      </c>
      <c r="AS16" s="60"/>
      <c r="AT16" s="60"/>
      <c r="AU16" s="60"/>
      <c r="AV16" s="60"/>
      <c r="AW16" s="60"/>
      <c r="AX16" s="60"/>
      <c r="AY16" s="60"/>
      <c r="AZ16" s="60"/>
      <c r="BA16" s="68">
        <f t="shared" si="20"/>
        <v>0</v>
      </c>
      <c r="BB16" s="69">
        <f t="shared" si="7"/>
        <v>0</v>
      </c>
      <c r="BC16" s="60"/>
      <c r="BD16" s="60"/>
      <c r="BE16" s="60"/>
      <c r="BF16" s="60"/>
      <c r="BG16" s="60"/>
      <c r="BH16" s="60"/>
      <c r="BI16" s="60"/>
      <c r="BJ16" s="70">
        <f t="shared" si="38"/>
        <v>0</v>
      </c>
      <c r="BK16" s="60"/>
      <c r="BM16" s="67" t="s">
        <v>181</v>
      </c>
      <c r="BN16" s="60"/>
      <c r="BO16" s="60"/>
      <c r="BP16" s="60"/>
      <c r="BQ16" s="60"/>
      <c r="BR16" s="60"/>
      <c r="BS16" s="60"/>
      <c r="BT16" s="60"/>
      <c r="BU16" s="60"/>
      <c r="BV16" s="68">
        <f t="shared" si="21"/>
        <v>0</v>
      </c>
      <c r="BW16" s="69">
        <f t="shared" si="10"/>
        <v>0</v>
      </c>
      <c r="BX16" s="60"/>
      <c r="BY16" s="60"/>
      <c r="BZ16" s="60"/>
      <c r="CA16" s="60"/>
      <c r="CB16" s="60"/>
      <c r="CC16" s="60"/>
      <c r="CD16" s="60"/>
      <c r="CE16" s="70">
        <f t="shared" si="39"/>
        <v>0</v>
      </c>
      <c r="CF16" s="60"/>
      <c r="CH16" s="67" t="s">
        <v>181</v>
      </c>
      <c r="CI16" s="60"/>
      <c r="CJ16" s="60"/>
      <c r="CK16" s="60"/>
      <c r="CL16" s="60"/>
      <c r="CM16" s="60"/>
      <c r="CN16" s="60"/>
      <c r="CO16" s="60"/>
      <c r="CP16" s="60"/>
      <c r="CQ16" s="68">
        <f t="shared" si="22"/>
        <v>0</v>
      </c>
      <c r="CR16" s="69">
        <f t="shared" si="13"/>
        <v>0</v>
      </c>
      <c r="CS16" s="60"/>
      <c r="CT16" s="60"/>
      <c r="CU16" s="60"/>
      <c r="CV16" s="60"/>
      <c r="CW16" s="60"/>
      <c r="CX16" s="60"/>
      <c r="CY16" s="60"/>
      <c r="CZ16" s="70">
        <f t="shared" si="40"/>
        <v>0</v>
      </c>
      <c r="DA16" s="60"/>
      <c r="DC16" s="67" t="s">
        <v>181</v>
      </c>
      <c r="DD16" s="60"/>
      <c r="DE16" s="60"/>
      <c r="DF16" s="60"/>
      <c r="DG16" s="60"/>
      <c r="DH16" s="60"/>
      <c r="DI16" s="60"/>
      <c r="DJ16" s="60"/>
      <c r="DK16" s="60"/>
      <c r="DL16" s="68">
        <f t="shared" si="23"/>
        <v>0</v>
      </c>
      <c r="DM16" s="69">
        <f t="shared" si="16"/>
        <v>0</v>
      </c>
      <c r="DN16" s="60"/>
      <c r="DO16" s="60"/>
      <c r="DP16" s="60"/>
      <c r="DQ16" s="60"/>
      <c r="DR16" s="60"/>
      <c r="DS16" s="60"/>
      <c r="DT16" s="60"/>
      <c r="DU16" s="70">
        <f t="shared" si="41"/>
        <v>0</v>
      </c>
      <c r="DV16" s="60"/>
    </row>
    <row r="17" spans="1:126" ht="15">
      <c r="A17" s="61"/>
      <c r="B17" s="67" t="s">
        <v>182</v>
      </c>
      <c r="C17" s="60"/>
      <c r="D17" s="60"/>
      <c r="E17" s="60"/>
      <c r="F17" s="60"/>
      <c r="G17" s="60"/>
      <c r="H17" s="60"/>
      <c r="I17" s="60"/>
      <c r="J17" s="60"/>
      <c r="K17" s="68">
        <f>SUM(C17:J17)</f>
        <v>0</v>
      </c>
      <c r="L17" s="69">
        <f>SUMPRODUCT(C17:J17,$C$8:$J$8)</f>
        <v>0</v>
      </c>
      <c r="M17" s="60"/>
      <c r="N17" s="60"/>
      <c r="O17" s="60"/>
      <c r="P17" s="60"/>
      <c r="Q17" s="60"/>
      <c r="R17" s="60"/>
      <c r="S17" s="60"/>
      <c r="T17" s="70">
        <f t="shared" si="36"/>
        <v>0</v>
      </c>
      <c r="U17" s="60"/>
      <c r="V17" s="46"/>
      <c r="W17" s="67" t="s">
        <v>182</v>
      </c>
      <c r="X17" s="60"/>
      <c r="Y17" s="60"/>
      <c r="Z17" s="60"/>
      <c r="AA17" s="60"/>
      <c r="AB17" s="60"/>
      <c r="AC17" s="60"/>
      <c r="AD17" s="60"/>
      <c r="AE17" s="60"/>
      <c r="AF17" s="68">
        <f>SUM(X17:AE17)</f>
        <v>0</v>
      </c>
      <c r="AG17" s="69">
        <f>SUMPRODUCT(X17:AE17,$C$8:$J$8)</f>
        <v>0</v>
      </c>
      <c r="AH17" s="60"/>
      <c r="AI17" s="60"/>
      <c r="AJ17" s="60"/>
      <c r="AK17" s="60"/>
      <c r="AL17" s="60"/>
      <c r="AM17" s="60"/>
      <c r="AN17" s="60"/>
      <c r="AO17" s="70">
        <f t="shared" si="37"/>
        <v>0</v>
      </c>
      <c r="AP17" s="60"/>
      <c r="AR17" s="67" t="s">
        <v>182</v>
      </c>
      <c r="AS17" s="60"/>
      <c r="AT17" s="60"/>
      <c r="AU17" s="60"/>
      <c r="AV17" s="60"/>
      <c r="AW17" s="60"/>
      <c r="AX17" s="60"/>
      <c r="AY17" s="60"/>
      <c r="AZ17" s="60"/>
      <c r="BA17" s="68">
        <f>SUM(AS17:AZ17)</f>
        <v>0</v>
      </c>
      <c r="BB17" s="69">
        <f>SUMPRODUCT(AS17:AZ17,$C$8:$J$8)</f>
        <v>0</v>
      </c>
      <c r="BC17" s="60"/>
      <c r="BD17" s="60"/>
      <c r="BE17" s="60"/>
      <c r="BF17" s="60"/>
      <c r="BG17" s="60"/>
      <c r="BH17" s="60"/>
      <c r="BI17" s="60"/>
      <c r="BJ17" s="70">
        <f t="shared" si="38"/>
        <v>0</v>
      </c>
      <c r="BK17" s="60"/>
      <c r="BM17" s="67" t="s">
        <v>182</v>
      </c>
      <c r="BN17" s="60"/>
      <c r="BO17" s="60"/>
      <c r="BP17" s="60"/>
      <c r="BQ17" s="60"/>
      <c r="BR17" s="60"/>
      <c r="BS17" s="60"/>
      <c r="BT17" s="60"/>
      <c r="BU17" s="60"/>
      <c r="BV17" s="68">
        <f>SUM(BN17:BU17)</f>
        <v>0</v>
      </c>
      <c r="BW17" s="69">
        <f>SUMPRODUCT(BN17:BU17,$C$8:$J$8)</f>
        <v>0</v>
      </c>
      <c r="BX17" s="60"/>
      <c r="BY17" s="60"/>
      <c r="BZ17" s="60"/>
      <c r="CA17" s="60"/>
      <c r="CB17" s="60"/>
      <c r="CC17" s="60"/>
      <c r="CD17" s="60"/>
      <c r="CE17" s="70">
        <f t="shared" si="39"/>
        <v>0</v>
      </c>
      <c r="CF17" s="60"/>
      <c r="CH17" s="67" t="s">
        <v>182</v>
      </c>
      <c r="CI17" s="60"/>
      <c r="CJ17" s="60"/>
      <c r="CK17" s="60"/>
      <c r="CL17" s="60"/>
      <c r="CM17" s="60"/>
      <c r="CN17" s="60"/>
      <c r="CO17" s="60"/>
      <c r="CP17" s="60"/>
      <c r="CQ17" s="68">
        <f>SUM(CI17:CP17)</f>
        <v>0</v>
      </c>
      <c r="CR17" s="69">
        <f>SUMPRODUCT(CI17:CP17,$C$8:$J$8)</f>
        <v>0</v>
      </c>
      <c r="CS17" s="60"/>
      <c r="CT17" s="60"/>
      <c r="CU17" s="60"/>
      <c r="CV17" s="60"/>
      <c r="CW17" s="60"/>
      <c r="CX17" s="60"/>
      <c r="CY17" s="60"/>
      <c r="CZ17" s="70">
        <f t="shared" si="40"/>
        <v>0</v>
      </c>
      <c r="DA17" s="60"/>
      <c r="DC17" s="67" t="s">
        <v>182</v>
      </c>
      <c r="DD17" s="60"/>
      <c r="DE17" s="60"/>
      <c r="DF17" s="60"/>
      <c r="DG17" s="60"/>
      <c r="DH17" s="60"/>
      <c r="DI17" s="60"/>
      <c r="DJ17" s="60"/>
      <c r="DK17" s="60"/>
      <c r="DL17" s="68">
        <f>SUM(DD17:DK17)</f>
        <v>0</v>
      </c>
      <c r="DM17" s="69">
        <f>SUMPRODUCT(DD17:DK17,$C$8:$J$8)</f>
        <v>0</v>
      </c>
      <c r="DN17" s="60"/>
      <c r="DO17" s="60"/>
      <c r="DP17" s="60"/>
      <c r="DQ17" s="60"/>
      <c r="DR17" s="60"/>
      <c r="DS17" s="60"/>
      <c r="DT17" s="60"/>
      <c r="DU17" s="70">
        <f t="shared" si="41"/>
        <v>0</v>
      </c>
      <c r="DV17" s="60"/>
    </row>
    <row r="18" spans="1:126" ht="15">
      <c r="A18" s="61"/>
      <c r="B18" s="71" t="s">
        <v>48</v>
      </c>
      <c r="C18" s="63">
        <f>SUM(C19:C20)</f>
        <v>0</v>
      </c>
      <c r="D18" s="63">
        <f t="shared" ref="D18:J18" si="42">SUM(D19:D20)</f>
        <v>0</v>
      </c>
      <c r="E18" s="63">
        <f t="shared" si="42"/>
        <v>0</v>
      </c>
      <c r="F18" s="63">
        <f>SUM(F19:F20)</f>
        <v>0</v>
      </c>
      <c r="G18" s="63">
        <f t="shared" si="42"/>
        <v>0</v>
      </c>
      <c r="H18" s="63">
        <f t="shared" si="42"/>
        <v>0</v>
      </c>
      <c r="I18" s="63">
        <f t="shared" si="42"/>
        <v>0</v>
      </c>
      <c r="J18" s="63">
        <f t="shared" si="42"/>
        <v>0</v>
      </c>
      <c r="K18" s="64">
        <f t="shared" si="18"/>
        <v>0</v>
      </c>
      <c r="L18" s="65">
        <f t="shared" si="1"/>
        <v>0</v>
      </c>
      <c r="M18" s="63">
        <f>SUM(M19:M20)</f>
        <v>0</v>
      </c>
      <c r="N18" s="63">
        <f t="shared" ref="N18:S18" si="43">SUM(N19:N20)</f>
        <v>0</v>
      </c>
      <c r="O18" s="63">
        <f t="shared" si="43"/>
        <v>0</v>
      </c>
      <c r="P18" s="63">
        <f t="shared" si="43"/>
        <v>0</v>
      </c>
      <c r="Q18" s="63">
        <f t="shared" si="43"/>
        <v>0</v>
      </c>
      <c r="R18" s="63">
        <f t="shared" si="43"/>
        <v>0</v>
      </c>
      <c r="S18" s="63">
        <f t="shared" si="43"/>
        <v>0</v>
      </c>
      <c r="T18" s="66">
        <f>SUM(M18:S18)</f>
        <v>0</v>
      </c>
      <c r="U18" s="60"/>
      <c r="V18" s="46"/>
      <c r="W18" s="71" t="s">
        <v>48</v>
      </c>
      <c r="X18" s="63">
        <f>SUM(X19:X20)</f>
        <v>0</v>
      </c>
      <c r="Y18" s="63">
        <f t="shared" ref="Y18:AE18" si="44">SUM(Y19:Y20)</f>
        <v>0</v>
      </c>
      <c r="Z18" s="63">
        <f t="shared" si="44"/>
        <v>0</v>
      </c>
      <c r="AA18" s="63">
        <f>SUM(AA19:AA20)</f>
        <v>0</v>
      </c>
      <c r="AB18" s="63">
        <f t="shared" si="44"/>
        <v>0</v>
      </c>
      <c r="AC18" s="63">
        <f t="shared" si="44"/>
        <v>0</v>
      </c>
      <c r="AD18" s="63">
        <f t="shared" si="44"/>
        <v>0</v>
      </c>
      <c r="AE18" s="63">
        <f t="shared" si="44"/>
        <v>0</v>
      </c>
      <c r="AF18" s="64">
        <f t="shared" si="19"/>
        <v>0</v>
      </c>
      <c r="AG18" s="65">
        <f t="shared" si="4"/>
        <v>0</v>
      </c>
      <c r="AH18" s="63">
        <f>SUM(AH19:AH20)</f>
        <v>0</v>
      </c>
      <c r="AI18" s="63">
        <f t="shared" ref="AI18:AN18" si="45">SUM(AI19:AI20)</f>
        <v>0</v>
      </c>
      <c r="AJ18" s="63">
        <f t="shared" si="45"/>
        <v>0</v>
      </c>
      <c r="AK18" s="63">
        <f t="shared" si="45"/>
        <v>0</v>
      </c>
      <c r="AL18" s="63">
        <f t="shared" si="45"/>
        <v>0</v>
      </c>
      <c r="AM18" s="63">
        <f t="shared" si="45"/>
        <v>0</v>
      </c>
      <c r="AN18" s="63">
        <f t="shared" si="45"/>
        <v>0</v>
      </c>
      <c r="AO18" s="66">
        <f>SUM(AH18:AN18)</f>
        <v>0</v>
      </c>
      <c r="AP18" s="60"/>
      <c r="AR18" s="71" t="s">
        <v>48</v>
      </c>
      <c r="AS18" s="63">
        <f>SUM(AS19:AS20)</f>
        <v>0</v>
      </c>
      <c r="AT18" s="63">
        <f t="shared" ref="AT18:AZ18" si="46">SUM(AT19:AT20)</f>
        <v>0</v>
      </c>
      <c r="AU18" s="63">
        <f t="shared" si="46"/>
        <v>0</v>
      </c>
      <c r="AV18" s="63">
        <f>SUM(AV19:AV20)</f>
        <v>0</v>
      </c>
      <c r="AW18" s="63">
        <f t="shared" si="46"/>
        <v>0</v>
      </c>
      <c r="AX18" s="63">
        <f t="shared" si="46"/>
        <v>0</v>
      </c>
      <c r="AY18" s="63">
        <f t="shared" si="46"/>
        <v>0</v>
      </c>
      <c r="AZ18" s="63">
        <f t="shared" si="46"/>
        <v>0</v>
      </c>
      <c r="BA18" s="64">
        <f t="shared" si="20"/>
        <v>0</v>
      </c>
      <c r="BB18" s="65">
        <f t="shared" si="7"/>
        <v>0</v>
      </c>
      <c r="BC18" s="63">
        <f>SUM(BC19:BC20)</f>
        <v>0</v>
      </c>
      <c r="BD18" s="63">
        <f t="shared" ref="BD18:BI18" si="47">SUM(BD19:BD20)</f>
        <v>0</v>
      </c>
      <c r="BE18" s="63">
        <f t="shared" si="47"/>
        <v>0</v>
      </c>
      <c r="BF18" s="63">
        <f t="shared" si="47"/>
        <v>0</v>
      </c>
      <c r="BG18" s="63">
        <f t="shared" si="47"/>
        <v>0</v>
      </c>
      <c r="BH18" s="63">
        <f t="shared" si="47"/>
        <v>0</v>
      </c>
      <c r="BI18" s="63">
        <f t="shared" si="47"/>
        <v>0</v>
      </c>
      <c r="BJ18" s="66">
        <f>SUM(BC18:BI18)</f>
        <v>0</v>
      </c>
      <c r="BK18" s="60"/>
      <c r="BM18" s="71" t="s">
        <v>48</v>
      </c>
      <c r="BN18" s="63">
        <f>SUM(BN19:BN20)</f>
        <v>0</v>
      </c>
      <c r="BO18" s="63">
        <f t="shared" ref="BO18:BU18" si="48">SUM(BO19:BO20)</f>
        <v>0</v>
      </c>
      <c r="BP18" s="63">
        <f t="shared" si="48"/>
        <v>0</v>
      </c>
      <c r="BQ18" s="63">
        <f>SUM(BQ19:BQ20)</f>
        <v>0</v>
      </c>
      <c r="BR18" s="63">
        <f t="shared" si="48"/>
        <v>0</v>
      </c>
      <c r="BS18" s="63">
        <f t="shared" si="48"/>
        <v>0</v>
      </c>
      <c r="BT18" s="63">
        <f t="shared" si="48"/>
        <v>0</v>
      </c>
      <c r="BU18" s="63">
        <f t="shared" si="48"/>
        <v>0</v>
      </c>
      <c r="BV18" s="64">
        <f t="shared" si="21"/>
        <v>0</v>
      </c>
      <c r="BW18" s="65">
        <f t="shared" si="10"/>
        <v>0</v>
      </c>
      <c r="BX18" s="63">
        <f>SUM(BX19:BX20)</f>
        <v>0</v>
      </c>
      <c r="BY18" s="63">
        <f t="shared" ref="BY18:CD18" si="49">SUM(BY19:BY20)</f>
        <v>0</v>
      </c>
      <c r="BZ18" s="63">
        <f t="shared" si="49"/>
        <v>0</v>
      </c>
      <c r="CA18" s="63">
        <f t="shared" si="49"/>
        <v>0</v>
      </c>
      <c r="CB18" s="63">
        <f t="shared" si="49"/>
        <v>0</v>
      </c>
      <c r="CC18" s="63">
        <f t="shared" si="49"/>
        <v>0</v>
      </c>
      <c r="CD18" s="63">
        <f t="shared" si="49"/>
        <v>0</v>
      </c>
      <c r="CE18" s="66">
        <f>SUM(BX18:CD18)</f>
        <v>0</v>
      </c>
      <c r="CF18" s="60"/>
      <c r="CH18" s="71" t="s">
        <v>48</v>
      </c>
      <c r="CI18" s="63">
        <f>SUM(CI19:CI20)</f>
        <v>0</v>
      </c>
      <c r="CJ18" s="63">
        <f t="shared" ref="CJ18:CP18" si="50">SUM(CJ19:CJ20)</f>
        <v>0</v>
      </c>
      <c r="CK18" s="63">
        <f t="shared" si="50"/>
        <v>0</v>
      </c>
      <c r="CL18" s="63">
        <f>SUM(CL19:CL20)</f>
        <v>0</v>
      </c>
      <c r="CM18" s="63">
        <f t="shared" si="50"/>
        <v>0</v>
      </c>
      <c r="CN18" s="63">
        <f t="shared" si="50"/>
        <v>0</v>
      </c>
      <c r="CO18" s="63">
        <f t="shared" si="50"/>
        <v>0</v>
      </c>
      <c r="CP18" s="63">
        <f t="shared" si="50"/>
        <v>0</v>
      </c>
      <c r="CQ18" s="64">
        <f t="shared" si="22"/>
        <v>0</v>
      </c>
      <c r="CR18" s="65">
        <f t="shared" si="13"/>
        <v>0</v>
      </c>
      <c r="CS18" s="63">
        <f>SUM(CS19:CS20)</f>
        <v>0</v>
      </c>
      <c r="CT18" s="63">
        <f t="shared" ref="CT18:CY18" si="51">SUM(CT19:CT20)</f>
        <v>0</v>
      </c>
      <c r="CU18" s="63">
        <f t="shared" si="51"/>
        <v>0</v>
      </c>
      <c r="CV18" s="63">
        <f t="shared" si="51"/>
        <v>0</v>
      </c>
      <c r="CW18" s="63">
        <f t="shared" si="51"/>
        <v>0</v>
      </c>
      <c r="CX18" s="63">
        <f t="shared" si="51"/>
        <v>0</v>
      </c>
      <c r="CY18" s="63">
        <f t="shared" si="51"/>
        <v>0</v>
      </c>
      <c r="CZ18" s="66">
        <f>SUM(CS18:CY18)</f>
        <v>0</v>
      </c>
      <c r="DA18" s="60"/>
      <c r="DC18" s="71" t="s">
        <v>48</v>
      </c>
      <c r="DD18" s="63">
        <f>SUM(DD19:DD20)</f>
        <v>0</v>
      </c>
      <c r="DE18" s="63">
        <f t="shared" ref="DE18:DK18" si="52">SUM(DE19:DE20)</f>
        <v>0</v>
      </c>
      <c r="DF18" s="63">
        <f t="shared" si="52"/>
        <v>0</v>
      </c>
      <c r="DG18" s="63">
        <f>SUM(DG19:DG20)</f>
        <v>0</v>
      </c>
      <c r="DH18" s="63">
        <f t="shared" si="52"/>
        <v>0</v>
      </c>
      <c r="DI18" s="63">
        <f t="shared" si="52"/>
        <v>0</v>
      </c>
      <c r="DJ18" s="63">
        <f t="shared" si="52"/>
        <v>0</v>
      </c>
      <c r="DK18" s="63">
        <f t="shared" si="52"/>
        <v>0</v>
      </c>
      <c r="DL18" s="64">
        <f t="shared" si="23"/>
        <v>0</v>
      </c>
      <c r="DM18" s="65">
        <f t="shared" si="16"/>
        <v>0</v>
      </c>
      <c r="DN18" s="63">
        <f>SUM(DN19:DN20)</f>
        <v>0</v>
      </c>
      <c r="DO18" s="63">
        <f t="shared" ref="DO18:DT18" si="53">SUM(DO19:DO20)</f>
        <v>0</v>
      </c>
      <c r="DP18" s="63">
        <f t="shared" si="53"/>
        <v>0</v>
      </c>
      <c r="DQ18" s="63">
        <f t="shared" si="53"/>
        <v>0</v>
      </c>
      <c r="DR18" s="63">
        <f t="shared" si="53"/>
        <v>0</v>
      </c>
      <c r="DS18" s="63">
        <f t="shared" si="53"/>
        <v>0</v>
      </c>
      <c r="DT18" s="63">
        <f t="shared" si="53"/>
        <v>0</v>
      </c>
      <c r="DU18" s="66">
        <f>SUM(DN18:DT18)</f>
        <v>0</v>
      </c>
      <c r="DV18" s="60"/>
    </row>
    <row r="19" spans="1:126" ht="15">
      <c r="A19" s="61"/>
      <c r="B19" s="67" t="s">
        <v>183</v>
      </c>
      <c r="C19" s="60"/>
      <c r="D19" s="60"/>
      <c r="E19" s="60"/>
      <c r="F19" s="60"/>
      <c r="G19" s="60"/>
      <c r="H19" s="60"/>
      <c r="I19" s="60"/>
      <c r="J19" s="60"/>
      <c r="K19" s="68">
        <f t="shared" si="18"/>
        <v>0</v>
      </c>
      <c r="L19" s="69">
        <f t="shared" si="1"/>
        <v>0</v>
      </c>
      <c r="M19" s="60"/>
      <c r="N19" s="60"/>
      <c r="O19" s="60"/>
      <c r="P19" s="60"/>
      <c r="Q19" s="60"/>
      <c r="R19" s="60"/>
      <c r="S19" s="60"/>
      <c r="T19" s="70">
        <f t="shared" ref="T19:T21" si="54">SUM(M19:S19)</f>
        <v>0</v>
      </c>
      <c r="U19" s="60"/>
      <c r="V19" s="46"/>
      <c r="W19" s="67" t="s">
        <v>183</v>
      </c>
      <c r="X19" s="60"/>
      <c r="Y19" s="60"/>
      <c r="Z19" s="60"/>
      <c r="AA19" s="60"/>
      <c r="AB19" s="60"/>
      <c r="AC19" s="60"/>
      <c r="AD19" s="60"/>
      <c r="AE19" s="60"/>
      <c r="AF19" s="68">
        <f t="shared" si="19"/>
        <v>0</v>
      </c>
      <c r="AG19" s="69">
        <f t="shared" si="4"/>
        <v>0</v>
      </c>
      <c r="AH19" s="60"/>
      <c r="AI19" s="60"/>
      <c r="AJ19" s="60"/>
      <c r="AK19" s="60"/>
      <c r="AL19" s="60"/>
      <c r="AM19" s="60"/>
      <c r="AN19" s="60"/>
      <c r="AO19" s="70">
        <f t="shared" ref="AO19:AO21" si="55">SUM(AH19:AN19)</f>
        <v>0</v>
      </c>
      <c r="AP19" s="60"/>
      <c r="AR19" s="67" t="s">
        <v>183</v>
      </c>
      <c r="AS19" s="60"/>
      <c r="AT19" s="60"/>
      <c r="AU19" s="60"/>
      <c r="AV19" s="60"/>
      <c r="AW19" s="60"/>
      <c r="AX19" s="60"/>
      <c r="AY19" s="60"/>
      <c r="AZ19" s="60"/>
      <c r="BA19" s="68">
        <f t="shared" si="20"/>
        <v>0</v>
      </c>
      <c r="BB19" s="69">
        <f t="shared" si="7"/>
        <v>0</v>
      </c>
      <c r="BC19" s="60"/>
      <c r="BD19" s="60"/>
      <c r="BE19" s="60"/>
      <c r="BF19" s="60"/>
      <c r="BG19" s="60"/>
      <c r="BH19" s="60"/>
      <c r="BI19" s="60"/>
      <c r="BJ19" s="70">
        <f t="shared" ref="BJ19:BJ21" si="56">SUM(BC19:BI19)</f>
        <v>0</v>
      </c>
      <c r="BK19" s="60"/>
      <c r="BM19" s="67" t="s">
        <v>183</v>
      </c>
      <c r="BN19" s="60"/>
      <c r="BO19" s="60"/>
      <c r="BP19" s="60"/>
      <c r="BQ19" s="60"/>
      <c r="BR19" s="60"/>
      <c r="BS19" s="60"/>
      <c r="BT19" s="60"/>
      <c r="BU19" s="60"/>
      <c r="BV19" s="68">
        <f t="shared" si="21"/>
        <v>0</v>
      </c>
      <c r="BW19" s="69">
        <f t="shared" si="10"/>
        <v>0</v>
      </c>
      <c r="BX19" s="60"/>
      <c r="BY19" s="60"/>
      <c r="BZ19" s="60"/>
      <c r="CA19" s="60"/>
      <c r="CB19" s="60"/>
      <c r="CC19" s="60"/>
      <c r="CD19" s="60"/>
      <c r="CE19" s="70">
        <f t="shared" ref="CE19:CE21" si="57">SUM(BX19:CD19)</f>
        <v>0</v>
      </c>
      <c r="CF19" s="60"/>
      <c r="CH19" s="67" t="s">
        <v>183</v>
      </c>
      <c r="CI19" s="60"/>
      <c r="CJ19" s="60"/>
      <c r="CK19" s="60"/>
      <c r="CL19" s="60"/>
      <c r="CM19" s="60"/>
      <c r="CN19" s="60"/>
      <c r="CO19" s="60"/>
      <c r="CP19" s="60"/>
      <c r="CQ19" s="68">
        <f t="shared" si="22"/>
        <v>0</v>
      </c>
      <c r="CR19" s="69">
        <f t="shared" si="13"/>
        <v>0</v>
      </c>
      <c r="CS19" s="60"/>
      <c r="CT19" s="60"/>
      <c r="CU19" s="60"/>
      <c r="CV19" s="60"/>
      <c r="CW19" s="60"/>
      <c r="CX19" s="60"/>
      <c r="CY19" s="60"/>
      <c r="CZ19" s="70">
        <f t="shared" ref="CZ19:CZ21" si="58">SUM(CS19:CY19)</f>
        <v>0</v>
      </c>
      <c r="DA19" s="60"/>
      <c r="DC19" s="67" t="s">
        <v>183</v>
      </c>
      <c r="DD19" s="60"/>
      <c r="DE19" s="60"/>
      <c r="DF19" s="60"/>
      <c r="DG19" s="60"/>
      <c r="DH19" s="60"/>
      <c r="DI19" s="60"/>
      <c r="DJ19" s="60"/>
      <c r="DK19" s="60"/>
      <c r="DL19" s="68">
        <f t="shared" si="23"/>
        <v>0</v>
      </c>
      <c r="DM19" s="69">
        <f t="shared" si="16"/>
        <v>0</v>
      </c>
      <c r="DN19" s="60"/>
      <c r="DO19" s="60"/>
      <c r="DP19" s="60"/>
      <c r="DQ19" s="60"/>
      <c r="DR19" s="60"/>
      <c r="DS19" s="60"/>
      <c r="DT19" s="60"/>
      <c r="DU19" s="70">
        <f t="shared" ref="DU19:DU21" si="59">SUM(DN19:DT19)</f>
        <v>0</v>
      </c>
      <c r="DV19" s="60"/>
    </row>
    <row r="20" spans="1:126" ht="15">
      <c r="A20" s="61"/>
      <c r="B20" s="67" t="s">
        <v>184</v>
      </c>
      <c r="C20" s="60"/>
      <c r="D20" s="60"/>
      <c r="E20" s="60"/>
      <c r="F20" s="60"/>
      <c r="G20" s="60"/>
      <c r="H20" s="60"/>
      <c r="I20" s="60"/>
      <c r="J20" s="60"/>
      <c r="K20" s="68">
        <f t="shared" si="18"/>
        <v>0</v>
      </c>
      <c r="L20" s="69">
        <f t="shared" si="1"/>
        <v>0</v>
      </c>
      <c r="M20" s="60"/>
      <c r="N20" s="60"/>
      <c r="O20" s="60"/>
      <c r="P20" s="60"/>
      <c r="Q20" s="60"/>
      <c r="R20" s="60"/>
      <c r="S20" s="60"/>
      <c r="T20" s="70">
        <f t="shared" si="54"/>
        <v>0</v>
      </c>
      <c r="U20" s="60"/>
      <c r="V20" s="46"/>
      <c r="W20" s="67" t="s">
        <v>184</v>
      </c>
      <c r="X20" s="60"/>
      <c r="Y20" s="60"/>
      <c r="Z20" s="60"/>
      <c r="AA20" s="60"/>
      <c r="AB20" s="60"/>
      <c r="AC20" s="60"/>
      <c r="AD20" s="60"/>
      <c r="AE20" s="60"/>
      <c r="AF20" s="68">
        <f t="shared" si="19"/>
        <v>0</v>
      </c>
      <c r="AG20" s="69">
        <f t="shared" si="4"/>
        <v>0</v>
      </c>
      <c r="AH20" s="60"/>
      <c r="AI20" s="60"/>
      <c r="AJ20" s="60"/>
      <c r="AK20" s="60"/>
      <c r="AL20" s="60"/>
      <c r="AM20" s="60"/>
      <c r="AN20" s="60"/>
      <c r="AO20" s="70">
        <f t="shared" si="55"/>
        <v>0</v>
      </c>
      <c r="AP20" s="60"/>
      <c r="AR20" s="67" t="s">
        <v>184</v>
      </c>
      <c r="AS20" s="60"/>
      <c r="AT20" s="60"/>
      <c r="AU20" s="60"/>
      <c r="AV20" s="60"/>
      <c r="AW20" s="60"/>
      <c r="AX20" s="60"/>
      <c r="AY20" s="60"/>
      <c r="AZ20" s="60"/>
      <c r="BA20" s="68">
        <f t="shared" si="20"/>
        <v>0</v>
      </c>
      <c r="BB20" s="69">
        <f t="shared" si="7"/>
        <v>0</v>
      </c>
      <c r="BC20" s="60"/>
      <c r="BD20" s="60"/>
      <c r="BE20" s="60"/>
      <c r="BF20" s="60"/>
      <c r="BG20" s="60"/>
      <c r="BH20" s="60"/>
      <c r="BI20" s="60"/>
      <c r="BJ20" s="70">
        <f t="shared" si="56"/>
        <v>0</v>
      </c>
      <c r="BK20" s="60"/>
      <c r="BM20" s="67" t="s">
        <v>184</v>
      </c>
      <c r="BN20" s="60"/>
      <c r="BO20" s="60"/>
      <c r="BP20" s="60"/>
      <c r="BQ20" s="60"/>
      <c r="BR20" s="60"/>
      <c r="BS20" s="60"/>
      <c r="BT20" s="60"/>
      <c r="BU20" s="60"/>
      <c r="BV20" s="68">
        <f t="shared" si="21"/>
        <v>0</v>
      </c>
      <c r="BW20" s="69">
        <f t="shared" si="10"/>
        <v>0</v>
      </c>
      <c r="BX20" s="60"/>
      <c r="BY20" s="60"/>
      <c r="BZ20" s="60"/>
      <c r="CA20" s="60"/>
      <c r="CB20" s="60"/>
      <c r="CC20" s="60"/>
      <c r="CD20" s="60"/>
      <c r="CE20" s="70">
        <f t="shared" si="57"/>
        <v>0</v>
      </c>
      <c r="CF20" s="60"/>
      <c r="CH20" s="67" t="s">
        <v>184</v>
      </c>
      <c r="CI20" s="60"/>
      <c r="CJ20" s="60"/>
      <c r="CK20" s="60"/>
      <c r="CL20" s="60"/>
      <c r="CM20" s="60"/>
      <c r="CN20" s="60"/>
      <c r="CO20" s="60"/>
      <c r="CP20" s="60"/>
      <c r="CQ20" s="68">
        <f t="shared" si="22"/>
        <v>0</v>
      </c>
      <c r="CR20" s="69">
        <f t="shared" si="13"/>
        <v>0</v>
      </c>
      <c r="CS20" s="60"/>
      <c r="CT20" s="60"/>
      <c r="CU20" s="60"/>
      <c r="CV20" s="60"/>
      <c r="CW20" s="60"/>
      <c r="CX20" s="60"/>
      <c r="CY20" s="60"/>
      <c r="CZ20" s="70">
        <f t="shared" si="58"/>
        <v>0</v>
      </c>
      <c r="DA20" s="60"/>
      <c r="DC20" s="67" t="s">
        <v>184</v>
      </c>
      <c r="DD20" s="60"/>
      <c r="DE20" s="60"/>
      <c r="DF20" s="60"/>
      <c r="DG20" s="60"/>
      <c r="DH20" s="60"/>
      <c r="DI20" s="60"/>
      <c r="DJ20" s="60"/>
      <c r="DK20" s="60"/>
      <c r="DL20" s="68">
        <f t="shared" si="23"/>
        <v>0</v>
      </c>
      <c r="DM20" s="69">
        <f t="shared" si="16"/>
        <v>0</v>
      </c>
      <c r="DN20" s="60"/>
      <c r="DO20" s="60"/>
      <c r="DP20" s="60"/>
      <c r="DQ20" s="60"/>
      <c r="DR20" s="60"/>
      <c r="DS20" s="60"/>
      <c r="DT20" s="60"/>
      <c r="DU20" s="70">
        <f t="shared" si="59"/>
        <v>0</v>
      </c>
      <c r="DV20" s="60"/>
    </row>
    <row r="21" spans="1:126" ht="15">
      <c r="A21" s="61"/>
      <c r="B21" s="72" t="s">
        <v>185</v>
      </c>
      <c r="C21" s="73">
        <f>C18+C12</f>
        <v>0</v>
      </c>
      <c r="D21" s="73">
        <f>D18+D12</f>
        <v>0</v>
      </c>
      <c r="E21" s="73">
        <f t="shared" ref="E21:H21" si="60">E18+E12</f>
        <v>0</v>
      </c>
      <c r="F21" s="73">
        <f t="shared" si="60"/>
        <v>0</v>
      </c>
      <c r="G21" s="73">
        <f t="shared" si="60"/>
        <v>0</v>
      </c>
      <c r="H21" s="73">
        <f t="shared" si="60"/>
        <v>0</v>
      </c>
      <c r="I21" s="73">
        <f>I18+I12</f>
        <v>0</v>
      </c>
      <c r="J21" s="73">
        <f>J18+J12</f>
        <v>0</v>
      </c>
      <c r="K21" s="74">
        <f t="shared" ref="K21" si="61">K18+K12</f>
        <v>0</v>
      </c>
      <c r="L21" s="75">
        <f t="shared" si="1"/>
        <v>0</v>
      </c>
      <c r="M21" s="73">
        <f t="shared" ref="M21:S21" si="62">M18+M12</f>
        <v>0</v>
      </c>
      <c r="N21" s="73">
        <f t="shared" si="62"/>
        <v>0</v>
      </c>
      <c r="O21" s="73">
        <f t="shared" si="62"/>
        <v>0</v>
      </c>
      <c r="P21" s="73">
        <f t="shared" si="62"/>
        <v>0</v>
      </c>
      <c r="Q21" s="73">
        <f t="shared" si="62"/>
        <v>0</v>
      </c>
      <c r="R21" s="73">
        <f t="shared" si="62"/>
        <v>0</v>
      </c>
      <c r="S21" s="73">
        <f t="shared" si="62"/>
        <v>0</v>
      </c>
      <c r="T21" s="70">
        <f t="shared" si="54"/>
        <v>0</v>
      </c>
      <c r="U21" s="60"/>
      <c r="V21" s="46"/>
      <c r="W21" s="72" t="s">
        <v>185</v>
      </c>
      <c r="X21" s="73">
        <f>X18+X12</f>
        <v>0</v>
      </c>
      <c r="Y21" s="73">
        <f>Y18+Y12</f>
        <v>0</v>
      </c>
      <c r="Z21" s="73">
        <f t="shared" ref="Z21:AC21" si="63">Z18+Z12</f>
        <v>0</v>
      </c>
      <c r="AA21" s="73">
        <f t="shared" si="63"/>
        <v>0</v>
      </c>
      <c r="AB21" s="73">
        <f t="shared" si="63"/>
        <v>0</v>
      </c>
      <c r="AC21" s="73">
        <f t="shared" si="63"/>
        <v>0</v>
      </c>
      <c r="AD21" s="73">
        <f>AD18+AD12</f>
        <v>0</v>
      </c>
      <c r="AE21" s="73">
        <f>AE18+AE12</f>
        <v>0</v>
      </c>
      <c r="AF21" s="74">
        <f t="shared" ref="AF21" si="64">AF18+AF12</f>
        <v>0</v>
      </c>
      <c r="AG21" s="75">
        <f t="shared" si="4"/>
        <v>0</v>
      </c>
      <c r="AH21" s="73">
        <f t="shared" ref="AH21:AN21" si="65">AH18+AH12</f>
        <v>0</v>
      </c>
      <c r="AI21" s="73">
        <f t="shared" si="65"/>
        <v>0</v>
      </c>
      <c r="AJ21" s="73">
        <f t="shared" si="65"/>
        <v>0</v>
      </c>
      <c r="AK21" s="73">
        <f t="shared" si="65"/>
        <v>0</v>
      </c>
      <c r="AL21" s="73">
        <f t="shared" si="65"/>
        <v>0</v>
      </c>
      <c r="AM21" s="73">
        <f t="shared" si="65"/>
        <v>0</v>
      </c>
      <c r="AN21" s="73">
        <f t="shared" si="65"/>
        <v>0</v>
      </c>
      <c r="AO21" s="70">
        <f t="shared" si="55"/>
        <v>0</v>
      </c>
      <c r="AP21" s="60"/>
      <c r="AR21" s="72" t="s">
        <v>185</v>
      </c>
      <c r="AS21" s="73">
        <f>AS18+AS12</f>
        <v>0</v>
      </c>
      <c r="AT21" s="73">
        <f>AT18+AT12</f>
        <v>0</v>
      </c>
      <c r="AU21" s="73">
        <f t="shared" ref="AU21:AX21" si="66">AU18+AU12</f>
        <v>0</v>
      </c>
      <c r="AV21" s="73">
        <f t="shared" si="66"/>
        <v>0</v>
      </c>
      <c r="AW21" s="73">
        <f t="shared" si="66"/>
        <v>0</v>
      </c>
      <c r="AX21" s="73">
        <f t="shared" si="66"/>
        <v>0</v>
      </c>
      <c r="AY21" s="73">
        <f>AY18+AY12</f>
        <v>0</v>
      </c>
      <c r="AZ21" s="73">
        <f>AZ18+AZ12</f>
        <v>0</v>
      </c>
      <c r="BA21" s="74">
        <f t="shared" ref="BA21" si="67">BA18+BA12</f>
        <v>0</v>
      </c>
      <c r="BB21" s="75">
        <f t="shared" si="7"/>
        <v>0</v>
      </c>
      <c r="BC21" s="73">
        <f t="shared" ref="BC21:BI21" si="68">BC18+BC12</f>
        <v>0</v>
      </c>
      <c r="BD21" s="73">
        <f t="shared" si="68"/>
        <v>0</v>
      </c>
      <c r="BE21" s="73">
        <f t="shared" si="68"/>
        <v>0</v>
      </c>
      <c r="BF21" s="73">
        <f t="shared" si="68"/>
        <v>0</v>
      </c>
      <c r="BG21" s="73">
        <f t="shared" si="68"/>
        <v>0</v>
      </c>
      <c r="BH21" s="73">
        <f t="shared" si="68"/>
        <v>0</v>
      </c>
      <c r="BI21" s="73">
        <f t="shared" si="68"/>
        <v>0</v>
      </c>
      <c r="BJ21" s="70">
        <f t="shared" si="56"/>
        <v>0</v>
      </c>
      <c r="BK21" s="60"/>
      <c r="BM21" s="72" t="s">
        <v>185</v>
      </c>
      <c r="BN21" s="73">
        <f>BN18+BN12</f>
        <v>0</v>
      </c>
      <c r="BO21" s="73">
        <f>BO18+BO12</f>
        <v>0</v>
      </c>
      <c r="BP21" s="73">
        <f t="shared" ref="BP21:BS21" si="69">BP18+BP12</f>
        <v>0</v>
      </c>
      <c r="BQ21" s="73">
        <f t="shared" si="69"/>
        <v>0</v>
      </c>
      <c r="BR21" s="73">
        <f t="shared" si="69"/>
        <v>0</v>
      </c>
      <c r="BS21" s="73">
        <f t="shared" si="69"/>
        <v>0</v>
      </c>
      <c r="BT21" s="73">
        <f>BT18+BT12</f>
        <v>0</v>
      </c>
      <c r="BU21" s="73">
        <f>BU18+BU12</f>
        <v>0</v>
      </c>
      <c r="BV21" s="74">
        <f t="shared" ref="BV21" si="70">BV18+BV12</f>
        <v>0</v>
      </c>
      <c r="BW21" s="75">
        <f t="shared" si="10"/>
        <v>0</v>
      </c>
      <c r="BX21" s="73">
        <f t="shared" ref="BX21:CD21" si="71">BX18+BX12</f>
        <v>0</v>
      </c>
      <c r="BY21" s="73">
        <f t="shared" si="71"/>
        <v>0</v>
      </c>
      <c r="BZ21" s="73">
        <f t="shared" si="71"/>
        <v>0</v>
      </c>
      <c r="CA21" s="73">
        <f t="shared" si="71"/>
        <v>0</v>
      </c>
      <c r="CB21" s="73">
        <f t="shared" si="71"/>
        <v>0</v>
      </c>
      <c r="CC21" s="73">
        <f t="shared" si="71"/>
        <v>0</v>
      </c>
      <c r="CD21" s="73">
        <f t="shared" si="71"/>
        <v>0</v>
      </c>
      <c r="CE21" s="70">
        <f t="shared" si="57"/>
        <v>0</v>
      </c>
      <c r="CF21" s="60"/>
      <c r="CH21" s="72" t="s">
        <v>185</v>
      </c>
      <c r="CI21" s="73">
        <f>CI18+CI12</f>
        <v>0</v>
      </c>
      <c r="CJ21" s="73">
        <f>CJ18+CJ12</f>
        <v>0</v>
      </c>
      <c r="CK21" s="73">
        <f t="shared" ref="CK21:CN21" si="72">CK18+CK12</f>
        <v>0</v>
      </c>
      <c r="CL21" s="73">
        <f t="shared" si="72"/>
        <v>0</v>
      </c>
      <c r="CM21" s="73">
        <f t="shared" si="72"/>
        <v>0</v>
      </c>
      <c r="CN21" s="73">
        <f t="shared" si="72"/>
        <v>0</v>
      </c>
      <c r="CO21" s="73">
        <f>CO18+CO12</f>
        <v>0</v>
      </c>
      <c r="CP21" s="73">
        <f>CP18+CP12</f>
        <v>0</v>
      </c>
      <c r="CQ21" s="74">
        <f t="shared" ref="CQ21" si="73">CQ18+CQ12</f>
        <v>0</v>
      </c>
      <c r="CR21" s="75">
        <f t="shared" si="13"/>
        <v>0</v>
      </c>
      <c r="CS21" s="73">
        <f t="shared" ref="CS21:CY21" si="74">CS18+CS12</f>
        <v>0</v>
      </c>
      <c r="CT21" s="73">
        <f t="shared" si="74"/>
        <v>0</v>
      </c>
      <c r="CU21" s="73">
        <f t="shared" si="74"/>
        <v>0</v>
      </c>
      <c r="CV21" s="73">
        <f t="shared" si="74"/>
        <v>0</v>
      </c>
      <c r="CW21" s="73">
        <f t="shared" si="74"/>
        <v>0</v>
      </c>
      <c r="CX21" s="73">
        <f t="shared" si="74"/>
        <v>0</v>
      </c>
      <c r="CY21" s="73">
        <f t="shared" si="74"/>
        <v>0</v>
      </c>
      <c r="CZ21" s="70">
        <f t="shared" si="58"/>
        <v>0</v>
      </c>
      <c r="DA21" s="60"/>
      <c r="DC21" s="72" t="s">
        <v>185</v>
      </c>
      <c r="DD21" s="73">
        <f>DD18+DD12</f>
        <v>0</v>
      </c>
      <c r="DE21" s="73">
        <f>DE18+DE12</f>
        <v>0</v>
      </c>
      <c r="DF21" s="73">
        <f t="shared" ref="DF21:DI21" si="75">DF18+DF12</f>
        <v>0</v>
      </c>
      <c r="DG21" s="73">
        <f t="shared" si="75"/>
        <v>0</v>
      </c>
      <c r="DH21" s="73">
        <f t="shared" si="75"/>
        <v>0</v>
      </c>
      <c r="DI21" s="73">
        <f t="shared" si="75"/>
        <v>0</v>
      </c>
      <c r="DJ21" s="73">
        <f>DJ18+DJ12</f>
        <v>0</v>
      </c>
      <c r="DK21" s="73">
        <f>DK18+DK12</f>
        <v>0</v>
      </c>
      <c r="DL21" s="74">
        <f t="shared" ref="DL21" si="76">DL18+DL12</f>
        <v>0</v>
      </c>
      <c r="DM21" s="75">
        <f t="shared" si="16"/>
        <v>0</v>
      </c>
      <c r="DN21" s="73">
        <f t="shared" ref="DN21:DT21" si="77">DN18+DN12</f>
        <v>0</v>
      </c>
      <c r="DO21" s="73">
        <f t="shared" si="77"/>
        <v>0</v>
      </c>
      <c r="DP21" s="73">
        <f t="shared" si="77"/>
        <v>0</v>
      </c>
      <c r="DQ21" s="73">
        <f t="shared" si="77"/>
        <v>0</v>
      </c>
      <c r="DR21" s="73">
        <f t="shared" si="77"/>
        <v>0</v>
      </c>
      <c r="DS21" s="73">
        <f t="shared" si="77"/>
        <v>0</v>
      </c>
      <c r="DT21" s="73">
        <f t="shared" si="77"/>
        <v>0</v>
      </c>
      <c r="DU21" s="70">
        <f t="shared" si="59"/>
        <v>0</v>
      </c>
      <c r="DV21" s="60"/>
    </row>
    <row r="22" spans="1:126" ht="15">
      <c r="A22" s="61"/>
      <c r="B22" s="71" t="s">
        <v>49</v>
      </c>
      <c r="C22" s="63">
        <f>SUM(C23:C28)</f>
        <v>0</v>
      </c>
      <c r="D22" s="63">
        <f>SUM(D23:D28)</f>
        <v>0</v>
      </c>
      <c r="E22" s="63">
        <f>SUM(E23:E28)</f>
        <v>0</v>
      </c>
      <c r="F22" s="63">
        <f>SUM(F23:F28)</f>
        <v>0</v>
      </c>
      <c r="G22" s="63">
        <f t="shared" ref="G22:J22" si="78">SUM(G23:G28)</f>
        <v>0</v>
      </c>
      <c r="H22" s="63">
        <f t="shared" si="78"/>
        <v>0</v>
      </c>
      <c r="I22" s="63">
        <f t="shared" si="78"/>
        <v>0</v>
      </c>
      <c r="J22" s="63">
        <f t="shared" si="78"/>
        <v>0</v>
      </c>
      <c r="K22" s="64">
        <f>SUM(C22:J22)</f>
        <v>0</v>
      </c>
      <c r="L22" s="65">
        <f t="shared" si="1"/>
        <v>0</v>
      </c>
      <c r="M22" s="63">
        <f>SUM(M23:M28)</f>
        <v>0</v>
      </c>
      <c r="N22" s="63">
        <f t="shared" ref="N22:R22" si="79">SUM(N23:N28)</f>
        <v>0</v>
      </c>
      <c r="O22" s="63">
        <f t="shared" si="79"/>
        <v>0</v>
      </c>
      <c r="P22" s="63">
        <f t="shared" si="79"/>
        <v>0</v>
      </c>
      <c r="Q22" s="63">
        <f t="shared" si="79"/>
        <v>0</v>
      </c>
      <c r="R22" s="63">
        <f t="shared" si="79"/>
        <v>0</v>
      </c>
      <c r="S22" s="63">
        <f>SUM(S23:S28)</f>
        <v>0</v>
      </c>
      <c r="T22" s="66">
        <f>SUM(M22:S22)</f>
        <v>0</v>
      </c>
      <c r="U22" s="60"/>
      <c r="V22" s="46"/>
      <c r="W22" s="71" t="s">
        <v>49</v>
      </c>
      <c r="X22" s="63">
        <f>SUM(X23:X28)</f>
        <v>0</v>
      </c>
      <c r="Y22" s="63">
        <f>SUM(Y23:Y28)</f>
        <v>0</v>
      </c>
      <c r="Z22" s="63">
        <f>SUM(Z23:Z28)</f>
        <v>0</v>
      </c>
      <c r="AA22" s="63">
        <f>SUM(AA23:AA28)</f>
        <v>0</v>
      </c>
      <c r="AB22" s="63">
        <f t="shared" ref="AB22:AE22" si="80">SUM(AB23:AB28)</f>
        <v>0</v>
      </c>
      <c r="AC22" s="63">
        <f t="shared" si="80"/>
        <v>0</v>
      </c>
      <c r="AD22" s="63">
        <f t="shared" si="80"/>
        <v>0</v>
      </c>
      <c r="AE22" s="63">
        <f t="shared" si="80"/>
        <v>0</v>
      </c>
      <c r="AF22" s="64">
        <f>SUM(X22:AE22)</f>
        <v>0</v>
      </c>
      <c r="AG22" s="65">
        <f t="shared" si="4"/>
        <v>0</v>
      </c>
      <c r="AH22" s="63">
        <f>SUM(AH23:AH28)</f>
        <v>0</v>
      </c>
      <c r="AI22" s="63">
        <f t="shared" ref="AI22:AM22" si="81">SUM(AI23:AI28)</f>
        <v>0</v>
      </c>
      <c r="AJ22" s="63">
        <f t="shared" si="81"/>
        <v>0</v>
      </c>
      <c r="AK22" s="63">
        <f t="shared" si="81"/>
        <v>0</v>
      </c>
      <c r="AL22" s="63">
        <f t="shared" si="81"/>
        <v>0</v>
      </c>
      <c r="AM22" s="63">
        <f t="shared" si="81"/>
        <v>0</v>
      </c>
      <c r="AN22" s="63">
        <f>SUM(AN23:AN28)</f>
        <v>0</v>
      </c>
      <c r="AO22" s="66">
        <f>SUM(AH22:AN22)</f>
        <v>0</v>
      </c>
      <c r="AP22" s="60"/>
      <c r="AR22" s="71" t="s">
        <v>49</v>
      </c>
      <c r="AS22" s="63">
        <f>SUM(AS23:AS28)</f>
        <v>0</v>
      </c>
      <c r="AT22" s="63">
        <f>SUM(AT23:AT28)</f>
        <v>0</v>
      </c>
      <c r="AU22" s="63">
        <f>SUM(AU23:AU28)</f>
        <v>0</v>
      </c>
      <c r="AV22" s="63">
        <f>SUM(AV23:AV28)</f>
        <v>0</v>
      </c>
      <c r="AW22" s="63">
        <f t="shared" ref="AW22:AZ22" si="82">SUM(AW23:AW28)</f>
        <v>0</v>
      </c>
      <c r="AX22" s="63">
        <f t="shared" si="82"/>
        <v>0</v>
      </c>
      <c r="AY22" s="63">
        <f t="shared" si="82"/>
        <v>0</v>
      </c>
      <c r="AZ22" s="63">
        <f t="shared" si="82"/>
        <v>0</v>
      </c>
      <c r="BA22" s="64">
        <f>SUM(AS22:AZ22)</f>
        <v>0</v>
      </c>
      <c r="BB22" s="65">
        <f t="shared" si="7"/>
        <v>0</v>
      </c>
      <c r="BC22" s="63">
        <f>SUM(BC23:BC28)</f>
        <v>0</v>
      </c>
      <c r="BD22" s="63">
        <f t="shared" ref="BD22:BH22" si="83">SUM(BD23:BD28)</f>
        <v>0</v>
      </c>
      <c r="BE22" s="63">
        <f t="shared" si="83"/>
        <v>0</v>
      </c>
      <c r="BF22" s="63">
        <f t="shared" si="83"/>
        <v>0</v>
      </c>
      <c r="BG22" s="63">
        <f t="shared" si="83"/>
        <v>0</v>
      </c>
      <c r="BH22" s="63">
        <f t="shared" si="83"/>
        <v>0</v>
      </c>
      <c r="BI22" s="63">
        <f>SUM(BI23:BI28)</f>
        <v>0</v>
      </c>
      <c r="BJ22" s="66">
        <f>SUM(BC22:BI22)</f>
        <v>0</v>
      </c>
      <c r="BK22" s="60"/>
      <c r="BM22" s="71" t="s">
        <v>49</v>
      </c>
      <c r="BN22" s="63">
        <f>SUM(BN23:BN28)</f>
        <v>0</v>
      </c>
      <c r="BO22" s="63">
        <f>SUM(BO23:BO28)</f>
        <v>0</v>
      </c>
      <c r="BP22" s="63">
        <f>SUM(BP23:BP28)</f>
        <v>0</v>
      </c>
      <c r="BQ22" s="63">
        <f>SUM(BQ23:BQ28)</f>
        <v>0</v>
      </c>
      <c r="BR22" s="63">
        <f t="shared" ref="BR22:BU22" si="84">SUM(BR23:BR28)</f>
        <v>0</v>
      </c>
      <c r="BS22" s="63">
        <f t="shared" si="84"/>
        <v>0</v>
      </c>
      <c r="BT22" s="63">
        <f t="shared" si="84"/>
        <v>0</v>
      </c>
      <c r="BU22" s="63">
        <f t="shared" si="84"/>
        <v>0</v>
      </c>
      <c r="BV22" s="64">
        <f>SUM(BN22:BU22)</f>
        <v>0</v>
      </c>
      <c r="BW22" s="65">
        <f t="shared" si="10"/>
        <v>0</v>
      </c>
      <c r="BX22" s="63">
        <f>SUM(BX23:BX28)</f>
        <v>0</v>
      </c>
      <c r="BY22" s="63">
        <f t="shared" ref="BY22:CC22" si="85">SUM(BY23:BY28)</f>
        <v>0</v>
      </c>
      <c r="BZ22" s="63">
        <f t="shared" si="85"/>
        <v>0</v>
      </c>
      <c r="CA22" s="63">
        <f t="shared" si="85"/>
        <v>0</v>
      </c>
      <c r="CB22" s="63">
        <f t="shared" si="85"/>
        <v>0</v>
      </c>
      <c r="CC22" s="63">
        <f t="shared" si="85"/>
        <v>0</v>
      </c>
      <c r="CD22" s="63">
        <f>SUM(CD23:CD28)</f>
        <v>0</v>
      </c>
      <c r="CE22" s="66">
        <f>SUM(BX22:CD22)</f>
        <v>0</v>
      </c>
      <c r="CF22" s="60"/>
      <c r="CH22" s="71" t="s">
        <v>49</v>
      </c>
      <c r="CI22" s="63">
        <f>SUM(CI23:CI28)</f>
        <v>0</v>
      </c>
      <c r="CJ22" s="63">
        <f>SUM(CJ23:CJ28)</f>
        <v>0</v>
      </c>
      <c r="CK22" s="63">
        <f>SUM(CK23:CK28)</f>
        <v>0</v>
      </c>
      <c r="CL22" s="63">
        <f>SUM(CL23:CL28)</f>
        <v>0</v>
      </c>
      <c r="CM22" s="63">
        <f t="shared" ref="CM22:CP22" si="86">SUM(CM23:CM28)</f>
        <v>0</v>
      </c>
      <c r="CN22" s="63">
        <f t="shared" si="86"/>
        <v>0</v>
      </c>
      <c r="CO22" s="63">
        <f t="shared" si="86"/>
        <v>0</v>
      </c>
      <c r="CP22" s="63">
        <f t="shared" si="86"/>
        <v>0</v>
      </c>
      <c r="CQ22" s="64">
        <f>SUM(CI22:CP22)</f>
        <v>0</v>
      </c>
      <c r="CR22" s="65">
        <f t="shared" si="13"/>
        <v>0</v>
      </c>
      <c r="CS22" s="63">
        <f>SUM(CS23:CS28)</f>
        <v>0</v>
      </c>
      <c r="CT22" s="63">
        <f t="shared" ref="CT22:CX22" si="87">SUM(CT23:CT28)</f>
        <v>0</v>
      </c>
      <c r="CU22" s="63">
        <f t="shared" si="87"/>
        <v>0</v>
      </c>
      <c r="CV22" s="63">
        <f t="shared" si="87"/>
        <v>0</v>
      </c>
      <c r="CW22" s="63">
        <f t="shared" si="87"/>
        <v>0</v>
      </c>
      <c r="CX22" s="63">
        <f t="shared" si="87"/>
        <v>0</v>
      </c>
      <c r="CY22" s="63">
        <f>SUM(CY23:CY28)</f>
        <v>0</v>
      </c>
      <c r="CZ22" s="66">
        <f>SUM(CS22:CY22)</f>
        <v>0</v>
      </c>
      <c r="DA22" s="60"/>
      <c r="DC22" s="71" t="s">
        <v>49</v>
      </c>
      <c r="DD22" s="63">
        <f>SUM(DD23:DD28)</f>
        <v>0</v>
      </c>
      <c r="DE22" s="63">
        <f>SUM(DE23:DE28)</f>
        <v>0</v>
      </c>
      <c r="DF22" s="63">
        <f>SUM(DF23:DF28)</f>
        <v>0</v>
      </c>
      <c r="DG22" s="63">
        <f>SUM(DG23:DG28)</f>
        <v>0</v>
      </c>
      <c r="DH22" s="63">
        <f t="shared" ref="DH22:DK22" si="88">SUM(DH23:DH28)</f>
        <v>0</v>
      </c>
      <c r="DI22" s="63">
        <f t="shared" si="88"/>
        <v>0</v>
      </c>
      <c r="DJ22" s="63">
        <f t="shared" si="88"/>
        <v>0</v>
      </c>
      <c r="DK22" s="63">
        <f t="shared" si="88"/>
        <v>0</v>
      </c>
      <c r="DL22" s="64">
        <f>SUM(DD22:DK22)</f>
        <v>0</v>
      </c>
      <c r="DM22" s="65">
        <f t="shared" si="16"/>
        <v>0</v>
      </c>
      <c r="DN22" s="63">
        <f>SUM(DN23:DN28)</f>
        <v>0</v>
      </c>
      <c r="DO22" s="63">
        <f t="shared" ref="DO22:DS22" si="89">SUM(DO23:DO28)</f>
        <v>0</v>
      </c>
      <c r="DP22" s="63">
        <f t="shared" si="89"/>
        <v>0</v>
      </c>
      <c r="DQ22" s="63">
        <f t="shared" si="89"/>
        <v>0</v>
      </c>
      <c r="DR22" s="63">
        <f t="shared" si="89"/>
        <v>0</v>
      </c>
      <c r="DS22" s="63">
        <f t="shared" si="89"/>
        <v>0</v>
      </c>
      <c r="DT22" s="63">
        <f>SUM(DT23:DT28)</f>
        <v>0</v>
      </c>
      <c r="DU22" s="66">
        <f>SUM(DN22:DT22)</f>
        <v>0</v>
      </c>
      <c r="DV22" s="60"/>
    </row>
    <row r="23" spans="1:126" ht="15">
      <c r="A23" s="61"/>
      <c r="B23" s="67" t="s">
        <v>186</v>
      </c>
      <c r="C23" s="60"/>
      <c r="D23" s="60"/>
      <c r="E23" s="60"/>
      <c r="F23" s="60"/>
      <c r="G23" s="60"/>
      <c r="H23" s="60"/>
      <c r="I23" s="60"/>
      <c r="J23" s="60"/>
      <c r="K23" s="68">
        <f t="shared" ref="K23:K28" si="90">SUM(C23:J23)</f>
        <v>0</v>
      </c>
      <c r="L23" s="69">
        <f t="shared" si="1"/>
        <v>0</v>
      </c>
      <c r="M23" s="60"/>
      <c r="N23" s="60"/>
      <c r="O23" s="60"/>
      <c r="P23" s="60"/>
      <c r="Q23" s="60"/>
      <c r="R23" s="60"/>
      <c r="S23" s="60"/>
      <c r="T23" s="70">
        <f t="shared" ref="T23:T28" si="91">SUM(M23:S23)</f>
        <v>0</v>
      </c>
      <c r="U23" s="60"/>
      <c r="V23" s="46"/>
      <c r="W23" s="67" t="s">
        <v>186</v>
      </c>
      <c r="X23" s="60"/>
      <c r="Y23" s="60"/>
      <c r="Z23" s="60"/>
      <c r="AA23" s="60"/>
      <c r="AB23" s="60"/>
      <c r="AC23" s="60"/>
      <c r="AD23" s="60"/>
      <c r="AE23" s="60"/>
      <c r="AF23" s="68">
        <f t="shared" ref="AF23:AF28" si="92">SUM(X23:AE23)</f>
        <v>0</v>
      </c>
      <c r="AG23" s="69">
        <f t="shared" si="4"/>
        <v>0</v>
      </c>
      <c r="AH23" s="60"/>
      <c r="AI23" s="60"/>
      <c r="AJ23" s="60"/>
      <c r="AK23" s="60"/>
      <c r="AL23" s="60"/>
      <c r="AM23" s="60"/>
      <c r="AN23" s="60"/>
      <c r="AO23" s="70">
        <f t="shared" ref="AO23:AO28" si="93">SUM(AH23:AN23)</f>
        <v>0</v>
      </c>
      <c r="AP23" s="60"/>
      <c r="AR23" s="67" t="s">
        <v>186</v>
      </c>
      <c r="AS23" s="60"/>
      <c r="AT23" s="60"/>
      <c r="AU23" s="60"/>
      <c r="AV23" s="60"/>
      <c r="AW23" s="60"/>
      <c r="AX23" s="60"/>
      <c r="AY23" s="60"/>
      <c r="AZ23" s="60"/>
      <c r="BA23" s="68">
        <f t="shared" ref="BA23:BA28" si="94">SUM(AS23:AZ23)</f>
        <v>0</v>
      </c>
      <c r="BB23" s="69">
        <f t="shared" si="7"/>
        <v>0</v>
      </c>
      <c r="BC23" s="60"/>
      <c r="BD23" s="60"/>
      <c r="BE23" s="60"/>
      <c r="BF23" s="60"/>
      <c r="BG23" s="60"/>
      <c r="BH23" s="60"/>
      <c r="BI23" s="60"/>
      <c r="BJ23" s="70">
        <f t="shared" ref="BJ23:BJ28" si="95">SUM(BC23:BI23)</f>
        <v>0</v>
      </c>
      <c r="BK23" s="60"/>
      <c r="BM23" s="67" t="s">
        <v>186</v>
      </c>
      <c r="BN23" s="60"/>
      <c r="BO23" s="60"/>
      <c r="BP23" s="60"/>
      <c r="BQ23" s="60"/>
      <c r="BR23" s="60"/>
      <c r="BS23" s="60"/>
      <c r="BT23" s="60"/>
      <c r="BU23" s="60"/>
      <c r="BV23" s="68">
        <f t="shared" ref="BV23:BV28" si="96">SUM(BN23:BU23)</f>
        <v>0</v>
      </c>
      <c r="BW23" s="69">
        <f t="shared" si="10"/>
        <v>0</v>
      </c>
      <c r="BX23" s="60"/>
      <c r="BY23" s="60"/>
      <c r="BZ23" s="60"/>
      <c r="CA23" s="60"/>
      <c r="CB23" s="60"/>
      <c r="CC23" s="60"/>
      <c r="CD23" s="60"/>
      <c r="CE23" s="70">
        <f t="shared" ref="CE23:CE28" si="97">SUM(BX23:CD23)</f>
        <v>0</v>
      </c>
      <c r="CF23" s="60"/>
      <c r="CH23" s="67" t="s">
        <v>186</v>
      </c>
      <c r="CI23" s="60"/>
      <c r="CJ23" s="60"/>
      <c r="CK23" s="60"/>
      <c r="CL23" s="60"/>
      <c r="CM23" s="60"/>
      <c r="CN23" s="60"/>
      <c r="CO23" s="60"/>
      <c r="CP23" s="60"/>
      <c r="CQ23" s="68">
        <f t="shared" ref="CQ23:CQ28" si="98">SUM(CI23:CP23)</f>
        <v>0</v>
      </c>
      <c r="CR23" s="69">
        <f t="shared" si="13"/>
        <v>0</v>
      </c>
      <c r="CS23" s="60"/>
      <c r="CT23" s="60"/>
      <c r="CU23" s="60"/>
      <c r="CV23" s="60"/>
      <c r="CW23" s="60"/>
      <c r="CX23" s="60"/>
      <c r="CY23" s="60"/>
      <c r="CZ23" s="70">
        <f t="shared" ref="CZ23:CZ28" si="99">SUM(CS23:CY23)</f>
        <v>0</v>
      </c>
      <c r="DA23" s="60"/>
      <c r="DC23" s="67" t="s">
        <v>186</v>
      </c>
      <c r="DD23" s="60"/>
      <c r="DE23" s="60"/>
      <c r="DF23" s="60"/>
      <c r="DG23" s="60"/>
      <c r="DH23" s="60"/>
      <c r="DI23" s="60"/>
      <c r="DJ23" s="60"/>
      <c r="DK23" s="60"/>
      <c r="DL23" s="68">
        <f t="shared" ref="DL23:DL28" si="100">SUM(DD23:DK23)</f>
        <v>0</v>
      </c>
      <c r="DM23" s="69">
        <f t="shared" si="16"/>
        <v>0</v>
      </c>
      <c r="DN23" s="60"/>
      <c r="DO23" s="60"/>
      <c r="DP23" s="60"/>
      <c r="DQ23" s="60"/>
      <c r="DR23" s="60"/>
      <c r="DS23" s="60"/>
      <c r="DT23" s="60"/>
      <c r="DU23" s="70">
        <f t="shared" ref="DU23:DU28" si="101">SUM(DN23:DT23)</f>
        <v>0</v>
      </c>
      <c r="DV23" s="60"/>
    </row>
    <row r="24" spans="1:126" ht="15">
      <c r="A24" s="61"/>
      <c r="B24" s="67" t="s">
        <v>295</v>
      </c>
      <c r="C24" s="60"/>
      <c r="D24" s="60"/>
      <c r="E24" s="60"/>
      <c r="F24" s="60"/>
      <c r="G24" s="60"/>
      <c r="H24" s="60"/>
      <c r="I24" s="60"/>
      <c r="J24" s="60"/>
      <c r="K24" s="68">
        <f>SUM(C24:J24)</f>
        <v>0</v>
      </c>
      <c r="L24" s="69">
        <f t="shared" si="1"/>
        <v>0</v>
      </c>
      <c r="M24" s="60"/>
      <c r="N24" s="60"/>
      <c r="O24" s="60"/>
      <c r="P24" s="60"/>
      <c r="Q24" s="60"/>
      <c r="R24" s="60"/>
      <c r="S24" s="60"/>
      <c r="T24" s="70">
        <f t="shared" si="91"/>
        <v>0</v>
      </c>
      <c r="U24" s="60"/>
      <c r="V24" s="46"/>
      <c r="W24" s="67" t="s">
        <v>295</v>
      </c>
      <c r="X24" s="60"/>
      <c r="Y24" s="60"/>
      <c r="Z24" s="60"/>
      <c r="AA24" s="60"/>
      <c r="AB24" s="60"/>
      <c r="AC24" s="60"/>
      <c r="AD24" s="60"/>
      <c r="AE24" s="60"/>
      <c r="AF24" s="68">
        <f>SUM(X24:AE24)</f>
        <v>0</v>
      </c>
      <c r="AG24" s="69">
        <f t="shared" si="4"/>
        <v>0</v>
      </c>
      <c r="AH24" s="60"/>
      <c r="AI24" s="60"/>
      <c r="AJ24" s="60"/>
      <c r="AK24" s="60"/>
      <c r="AL24" s="60"/>
      <c r="AM24" s="60"/>
      <c r="AN24" s="60"/>
      <c r="AO24" s="70">
        <f t="shared" si="93"/>
        <v>0</v>
      </c>
      <c r="AP24" s="60"/>
      <c r="AR24" s="67" t="s">
        <v>295</v>
      </c>
      <c r="AS24" s="60"/>
      <c r="AT24" s="60"/>
      <c r="AU24" s="60"/>
      <c r="AV24" s="60"/>
      <c r="AW24" s="60"/>
      <c r="AX24" s="60"/>
      <c r="AY24" s="60"/>
      <c r="AZ24" s="60"/>
      <c r="BA24" s="68">
        <f>SUM(AS24:AZ24)</f>
        <v>0</v>
      </c>
      <c r="BB24" s="69">
        <f t="shared" si="7"/>
        <v>0</v>
      </c>
      <c r="BC24" s="60"/>
      <c r="BD24" s="60"/>
      <c r="BE24" s="60"/>
      <c r="BF24" s="60"/>
      <c r="BG24" s="60"/>
      <c r="BH24" s="60"/>
      <c r="BI24" s="60"/>
      <c r="BJ24" s="70">
        <f t="shared" si="95"/>
        <v>0</v>
      </c>
      <c r="BK24" s="60"/>
      <c r="BM24" s="67" t="s">
        <v>295</v>
      </c>
      <c r="BN24" s="60"/>
      <c r="BO24" s="60"/>
      <c r="BP24" s="60"/>
      <c r="BQ24" s="60"/>
      <c r="BR24" s="60"/>
      <c r="BS24" s="60"/>
      <c r="BT24" s="60"/>
      <c r="BU24" s="60"/>
      <c r="BV24" s="68">
        <f>SUM(BN24:BU24)</f>
        <v>0</v>
      </c>
      <c r="BW24" s="69">
        <f t="shared" si="10"/>
        <v>0</v>
      </c>
      <c r="BX24" s="60"/>
      <c r="BY24" s="60"/>
      <c r="BZ24" s="60"/>
      <c r="CA24" s="60"/>
      <c r="CB24" s="60"/>
      <c r="CC24" s="60"/>
      <c r="CD24" s="60"/>
      <c r="CE24" s="70">
        <f t="shared" si="97"/>
        <v>0</v>
      </c>
      <c r="CF24" s="60"/>
      <c r="CH24" s="67" t="s">
        <v>295</v>
      </c>
      <c r="CI24" s="60"/>
      <c r="CJ24" s="60"/>
      <c r="CK24" s="60"/>
      <c r="CL24" s="60"/>
      <c r="CM24" s="60"/>
      <c r="CN24" s="60"/>
      <c r="CO24" s="60"/>
      <c r="CP24" s="60"/>
      <c r="CQ24" s="68">
        <f>SUM(CI24:CP24)</f>
        <v>0</v>
      </c>
      <c r="CR24" s="69">
        <f t="shared" si="13"/>
        <v>0</v>
      </c>
      <c r="CS24" s="60"/>
      <c r="CT24" s="60"/>
      <c r="CU24" s="60"/>
      <c r="CV24" s="60"/>
      <c r="CW24" s="60"/>
      <c r="CX24" s="60"/>
      <c r="CY24" s="60"/>
      <c r="CZ24" s="70">
        <f t="shared" si="99"/>
        <v>0</v>
      </c>
      <c r="DA24" s="60"/>
      <c r="DC24" s="67" t="s">
        <v>295</v>
      </c>
      <c r="DD24" s="60"/>
      <c r="DE24" s="60"/>
      <c r="DF24" s="60"/>
      <c r="DG24" s="60"/>
      <c r="DH24" s="60"/>
      <c r="DI24" s="60"/>
      <c r="DJ24" s="60"/>
      <c r="DK24" s="60"/>
      <c r="DL24" s="68">
        <f>SUM(DD24:DK24)</f>
        <v>0</v>
      </c>
      <c r="DM24" s="69">
        <f t="shared" si="16"/>
        <v>0</v>
      </c>
      <c r="DN24" s="60"/>
      <c r="DO24" s="60"/>
      <c r="DP24" s="60"/>
      <c r="DQ24" s="60"/>
      <c r="DR24" s="60"/>
      <c r="DS24" s="60"/>
      <c r="DT24" s="60"/>
      <c r="DU24" s="70">
        <f t="shared" si="101"/>
        <v>0</v>
      </c>
      <c r="DV24" s="60"/>
    </row>
    <row r="25" spans="1:126" ht="15">
      <c r="A25" s="61"/>
      <c r="B25" s="67" t="s">
        <v>188</v>
      </c>
      <c r="C25" s="60"/>
      <c r="D25" s="60"/>
      <c r="E25" s="60"/>
      <c r="F25" s="60"/>
      <c r="G25" s="60"/>
      <c r="H25" s="60"/>
      <c r="I25" s="60"/>
      <c r="J25" s="60"/>
      <c r="K25" s="68">
        <f>SUM(C25:J25)</f>
        <v>0</v>
      </c>
      <c r="L25" s="69">
        <f t="shared" si="1"/>
        <v>0</v>
      </c>
      <c r="M25" s="60"/>
      <c r="N25" s="60"/>
      <c r="O25" s="60"/>
      <c r="P25" s="60"/>
      <c r="Q25" s="60"/>
      <c r="R25" s="60"/>
      <c r="S25" s="60"/>
      <c r="T25" s="70">
        <f t="shared" si="91"/>
        <v>0</v>
      </c>
      <c r="U25" s="60"/>
      <c r="V25" s="46"/>
      <c r="W25" s="67" t="s">
        <v>188</v>
      </c>
      <c r="X25" s="60"/>
      <c r="Y25" s="60"/>
      <c r="Z25" s="60"/>
      <c r="AA25" s="60"/>
      <c r="AB25" s="60"/>
      <c r="AC25" s="60"/>
      <c r="AD25" s="60"/>
      <c r="AE25" s="60"/>
      <c r="AF25" s="68">
        <f>SUM(X25:AE25)</f>
        <v>0</v>
      </c>
      <c r="AG25" s="69">
        <f t="shared" si="4"/>
        <v>0</v>
      </c>
      <c r="AH25" s="60"/>
      <c r="AI25" s="60"/>
      <c r="AJ25" s="60"/>
      <c r="AK25" s="60"/>
      <c r="AL25" s="60"/>
      <c r="AM25" s="60"/>
      <c r="AN25" s="60"/>
      <c r="AO25" s="70">
        <f t="shared" si="93"/>
        <v>0</v>
      </c>
      <c r="AP25" s="60"/>
      <c r="AR25" s="67" t="s">
        <v>188</v>
      </c>
      <c r="AS25" s="60"/>
      <c r="AT25" s="60"/>
      <c r="AU25" s="60"/>
      <c r="AV25" s="60"/>
      <c r="AW25" s="60"/>
      <c r="AX25" s="60"/>
      <c r="AY25" s="60"/>
      <c r="AZ25" s="60"/>
      <c r="BA25" s="68">
        <f>SUM(AS25:AZ25)</f>
        <v>0</v>
      </c>
      <c r="BB25" s="69">
        <f t="shared" si="7"/>
        <v>0</v>
      </c>
      <c r="BC25" s="60"/>
      <c r="BD25" s="60"/>
      <c r="BE25" s="60"/>
      <c r="BF25" s="60"/>
      <c r="BG25" s="60"/>
      <c r="BH25" s="60"/>
      <c r="BI25" s="60"/>
      <c r="BJ25" s="70">
        <f t="shared" si="95"/>
        <v>0</v>
      </c>
      <c r="BK25" s="60"/>
      <c r="BM25" s="67" t="s">
        <v>188</v>
      </c>
      <c r="BN25" s="60"/>
      <c r="BO25" s="60"/>
      <c r="BP25" s="60"/>
      <c r="BQ25" s="60"/>
      <c r="BR25" s="60"/>
      <c r="BS25" s="60"/>
      <c r="BT25" s="60"/>
      <c r="BU25" s="60"/>
      <c r="BV25" s="68">
        <f>SUM(BN25:BU25)</f>
        <v>0</v>
      </c>
      <c r="BW25" s="69">
        <f t="shared" si="10"/>
        <v>0</v>
      </c>
      <c r="BX25" s="60"/>
      <c r="BY25" s="60"/>
      <c r="BZ25" s="60"/>
      <c r="CA25" s="60"/>
      <c r="CB25" s="60"/>
      <c r="CC25" s="60"/>
      <c r="CD25" s="60"/>
      <c r="CE25" s="70">
        <f t="shared" si="97"/>
        <v>0</v>
      </c>
      <c r="CF25" s="60"/>
      <c r="CH25" s="67" t="s">
        <v>188</v>
      </c>
      <c r="CI25" s="60"/>
      <c r="CJ25" s="60"/>
      <c r="CK25" s="60"/>
      <c r="CL25" s="60"/>
      <c r="CM25" s="60"/>
      <c r="CN25" s="60"/>
      <c r="CO25" s="60"/>
      <c r="CP25" s="60"/>
      <c r="CQ25" s="68">
        <f>SUM(CI25:CP25)</f>
        <v>0</v>
      </c>
      <c r="CR25" s="69">
        <f t="shared" si="13"/>
        <v>0</v>
      </c>
      <c r="CS25" s="60"/>
      <c r="CT25" s="60"/>
      <c r="CU25" s="60"/>
      <c r="CV25" s="60"/>
      <c r="CW25" s="60"/>
      <c r="CX25" s="60"/>
      <c r="CY25" s="60"/>
      <c r="CZ25" s="70">
        <f t="shared" si="99"/>
        <v>0</v>
      </c>
      <c r="DA25" s="60"/>
      <c r="DC25" s="67" t="s">
        <v>188</v>
      </c>
      <c r="DD25" s="60"/>
      <c r="DE25" s="60"/>
      <c r="DF25" s="60"/>
      <c r="DG25" s="60"/>
      <c r="DH25" s="60"/>
      <c r="DI25" s="60"/>
      <c r="DJ25" s="60"/>
      <c r="DK25" s="60"/>
      <c r="DL25" s="68">
        <f>SUM(DD25:DK25)</f>
        <v>0</v>
      </c>
      <c r="DM25" s="69">
        <f t="shared" si="16"/>
        <v>0</v>
      </c>
      <c r="DN25" s="60"/>
      <c r="DO25" s="60"/>
      <c r="DP25" s="60"/>
      <c r="DQ25" s="60"/>
      <c r="DR25" s="60"/>
      <c r="DS25" s="60"/>
      <c r="DT25" s="60"/>
      <c r="DU25" s="70">
        <f t="shared" si="101"/>
        <v>0</v>
      </c>
      <c r="DV25" s="60"/>
    </row>
    <row r="26" spans="1:126" ht="15">
      <c r="A26" s="61"/>
      <c r="B26" s="67" t="s">
        <v>189</v>
      </c>
      <c r="C26" s="60"/>
      <c r="D26" s="60"/>
      <c r="E26" s="60"/>
      <c r="F26" s="60"/>
      <c r="G26" s="60"/>
      <c r="H26" s="60"/>
      <c r="I26" s="60"/>
      <c r="J26" s="60"/>
      <c r="K26" s="68">
        <f t="shared" si="90"/>
        <v>0</v>
      </c>
      <c r="L26" s="69">
        <f t="shared" si="1"/>
        <v>0</v>
      </c>
      <c r="M26" s="60"/>
      <c r="N26" s="60"/>
      <c r="O26" s="60"/>
      <c r="P26" s="60"/>
      <c r="Q26" s="60"/>
      <c r="R26" s="60"/>
      <c r="S26" s="60"/>
      <c r="T26" s="70">
        <f t="shared" si="91"/>
        <v>0</v>
      </c>
      <c r="U26" s="60"/>
      <c r="V26" s="46"/>
      <c r="W26" s="67" t="s">
        <v>189</v>
      </c>
      <c r="X26" s="60"/>
      <c r="Y26" s="60"/>
      <c r="Z26" s="60"/>
      <c r="AA26" s="60"/>
      <c r="AB26" s="60"/>
      <c r="AC26" s="60"/>
      <c r="AD26" s="60"/>
      <c r="AE26" s="60"/>
      <c r="AF26" s="68">
        <f t="shared" si="92"/>
        <v>0</v>
      </c>
      <c r="AG26" s="69">
        <f t="shared" si="4"/>
        <v>0</v>
      </c>
      <c r="AH26" s="60"/>
      <c r="AI26" s="60"/>
      <c r="AJ26" s="60"/>
      <c r="AK26" s="60"/>
      <c r="AL26" s="60"/>
      <c r="AM26" s="60"/>
      <c r="AN26" s="60"/>
      <c r="AO26" s="70">
        <f t="shared" si="93"/>
        <v>0</v>
      </c>
      <c r="AP26" s="60"/>
      <c r="AR26" s="67" t="s">
        <v>189</v>
      </c>
      <c r="AS26" s="60"/>
      <c r="AT26" s="60"/>
      <c r="AU26" s="60"/>
      <c r="AV26" s="60"/>
      <c r="AW26" s="60"/>
      <c r="AX26" s="60"/>
      <c r="AY26" s="60"/>
      <c r="AZ26" s="60"/>
      <c r="BA26" s="68">
        <f t="shared" si="94"/>
        <v>0</v>
      </c>
      <c r="BB26" s="69">
        <f t="shared" si="7"/>
        <v>0</v>
      </c>
      <c r="BC26" s="60"/>
      <c r="BD26" s="60"/>
      <c r="BE26" s="60"/>
      <c r="BF26" s="60"/>
      <c r="BG26" s="60"/>
      <c r="BH26" s="60"/>
      <c r="BI26" s="60"/>
      <c r="BJ26" s="70">
        <f t="shared" si="95"/>
        <v>0</v>
      </c>
      <c r="BK26" s="60"/>
      <c r="BM26" s="67" t="s">
        <v>189</v>
      </c>
      <c r="BN26" s="60"/>
      <c r="BO26" s="60"/>
      <c r="BP26" s="60"/>
      <c r="BQ26" s="60"/>
      <c r="BR26" s="60"/>
      <c r="BS26" s="60"/>
      <c r="BT26" s="60"/>
      <c r="BU26" s="60"/>
      <c r="BV26" s="68">
        <f t="shared" si="96"/>
        <v>0</v>
      </c>
      <c r="BW26" s="69">
        <f t="shared" si="10"/>
        <v>0</v>
      </c>
      <c r="BX26" s="60"/>
      <c r="BY26" s="60"/>
      <c r="BZ26" s="60"/>
      <c r="CA26" s="60"/>
      <c r="CB26" s="60"/>
      <c r="CC26" s="60"/>
      <c r="CD26" s="60"/>
      <c r="CE26" s="70">
        <f t="shared" si="97"/>
        <v>0</v>
      </c>
      <c r="CF26" s="60"/>
      <c r="CH26" s="67" t="s">
        <v>189</v>
      </c>
      <c r="CI26" s="60"/>
      <c r="CJ26" s="60"/>
      <c r="CK26" s="60"/>
      <c r="CL26" s="60"/>
      <c r="CM26" s="60"/>
      <c r="CN26" s="60"/>
      <c r="CO26" s="60"/>
      <c r="CP26" s="60"/>
      <c r="CQ26" s="68">
        <f t="shared" si="98"/>
        <v>0</v>
      </c>
      <c r="CR26" s="69">
        <f t="shared" si="13"/>
        <v>0</v>
      </c>
      <c r="CS26" s="60"/>
      <c r="CT26" s="60"/>
      <c r="CU26" s="60"/>
      <c r="CV26" s="60"/>
      <c r="CW26" s="60"/>
      <c r="CX26" s="60"/>
      <c r="CY26" s="60"/>
      <c r="CZ26" s="70">
        <f t="shared" si="99"/>
        <v>0</v>
      </c>
      <c r="DA26" s="60"/>
      <c r="DC26" s="67" t="s">
        <v>189</v>
      </c>
      <c r="DD26" s="60"/>
      <c r="DE26" s="60"/>
      <c r="DF26" s="60"/>
      <c r="DG26" s="60"/>
      <c r="DH26" s="60"/>
      <c r="DI26" s="60"/>
      <c r="DJ26" s="60"/>
      <c r="DK26" s="60"/>
      <c r="DL26" s="68">
        <f t="shared" si="100"/>
        <v>0</v>
      </c>
      <c r="DM26" s="69">
        <f t="shared" si="16"/>
        <v>0</v>
      </c>
      <c r="DN26" s="60"/>
      <c r="DO26" s="60"/>
      <c r="DP26" s="60"/>
      <c r="DQ26" s="60"/>
      <c r="DR26" s="60"/>
      <c r="DS26" s="60"/>
      <c r="DT26" s="60"/>
      <c r="DU26" s="70">
        <f t="shared" si="101"/>
        <v>0</v>
      </c>
      <c r="DV26" s="60"/>
    </row>
    <row r="27" spans="1:126" ht="15">
      <c r="A27" s="61"/>
      <c r="B27" s="67" t="s">
        <v>190</v>
      </c>
      <c r="C27" s="60"/>
      <c r="D27" s="60"/>
      <c r="E27" s="60"/>
      <c r="F27" s="60"/>
      <c r="G27" s="60"/>
      <c r="H27" s="60"/>
      <c r="I27" s="60"/>
      <c r="J27" s="60"/>
      <c r="K27" s="68">
        <f t="shared" si="90"/>
        <v>0</v>
      </c>
      <c r="L27" s="69">
        <f t="shared" si="1"/>
        <v>0</v>
      </c>
      <c r="M27" s="60"/>
      <c r="N27" s="60"/>
      <c r="O27" s="60"/>
      <c r="P27" s="60"/>
      <c r="Q27" s="60"/>
      <c r="R27" s="60"/>
      <c r="S27" s="60"/>
      <c r="T27" s="70">
        <f t="shared" si="91"/>
        <v>0</v>
      </c>
      <c r="U27" s="60"/>
      <c r="V27" s="46"/>
      <c r="W27" s="67" t="s">
        <v>190</v>
      </c>
      <c r="X27" s="60"/>
      <c r="Y27" s="60"/>
      <c r="Z27" s="60"/>
      <c r="AA27" s="60"/>
      <c r="AB27" s="60"/>
      <c r="AC27" s="60"/>
      <c r="AD27" s="60"/>
      <c r="AE27" s="60"/>
      <c r="AF27" s="68">
        <f t="shared" si="92"/>
        <v>0</v>
      </c>
      <c r="AG27" s="69">
        <f t="shared" si="4"/>
        <v>0</v>
      </c>
      <c r="AH27" s="60"/>
      <c r="AI27" s="60"/>
      <c r="AJ27" s="60"/>
      <c r="AK27" s="60"/>
      <c r="AL27" s="60"/>
      <c r="AM27" s="60"/>
      <c r="AN27" s="60"/>
      <c r="AO27" s="70">
        <f t="shared" si="93"/>
        <v>0</v>
      </c>
      <c r="AP27" s="60"/>
      <c r="AR27" s="67" t="s">
        <v>190</v>
      </c>
      <c r="AS27" s="60"/>
      <c r="AT27" s="60"/>
      <c r="AU27" s="60"/>
      <c r="AV27" s="60"/>
      <c r="AW27" s="60"/>
      <c r="AX27" s="60"/>
      <c r="AY27" s="60"/>
      <c r="AZ27" s="60"/>
      <c r="BA27" s="68">
        <f t="shared" si="94"/>
        <v>0</v>
      </c>
      <c r="BB27" s="69">
        <f t="shared" si="7"/>
        <v>0</v>
      </c>
      <c r="BC27" s="60"/>
      <c r="BD27" s="60"/>
      <c r="BE27" s="60"/>
      <c r="BF27" s="60"/>
      <c r="BG27" s="60"/>
      <c r="BH27" s="60"/>
      <c r="BI27" s="60"/>
      <c r="BJ27" s="70">
        <f t="shared" si="95"/>
        <v>0</v>
      </c>
      <c r="BK27" s="60"/>
      <c r="BM27" s="67" t="s">
        <v>190</v>
      </c>
      <c r="BN27" s="60"/>
      <c r="BO27" s="60"/>
      <c r="BP27" s="60"/>
      <c r="BQ27" s="60"/>
      <c r="BR27" s="60"/>
      <c r="BS27" s="60"/>
      <c r="BT27" s="60"/>
      <c r="BU27" s="60"/>
      <c r="BV27" s="68">
        <f t="shared" si="96"/>
        <v>0</v>
      </c>
      <c r="BW27" s="69">
        <f t="shared" si="10"/>
        <v>0</v>
      </c>
      <c r="BX27" s="60"/>
      <c r="BY27" s="60"/>
      <c r="BZ27" s="60"/>
      <c r="CA27" s="60"/>
      <c r="CB27" s="60"/>
      <c r="CC27" s="60"/>
      <c r="CD27" s="60"/>
      <c r="CE27" s="70">
        <f t="shared" si="97"/>
        <v>0</v>
      </c>
      <c r="CF27" s="60"/>
      <c r="CH27" s="67" t="s">
        <v>190</v>
      </c>
      <c r="CI27" s="60"/>
      <c r="CJ27" s="60"/>
      <c r="CK27" s="60"/>
      <c r="CL27" s="60"/>
      <c r="CM27" s="60"/>
      <c r="CN27" s="60"/>
      <c r="CO27" s="60"/>
      <c r="CP27" s="60"/>
      <c r="CQ27" s="68">
        <f t="shared" si="98"/>
        <v>0</v>
      </c>
      <c r="CR27" s="69">
        <f t="shared" si="13"/>
        <v>0</v>
      </c>
      <c r="CS27" s="60"/>
      <c r="CT27" s="60"/>
      <c r="CU27" s="60"/>
      <c r="CV27" s="60"/>
      <c r="CW27" s="60"/>
      <c r="CX27" s="60"/>
      <c r="CY27" s="60"/>
      <c r="CZ27" s="70">
        <f t="shared" si="99"/>
        <v>0</v>
      </c>
      <c r="DA27" s="60"/>
      <c r="DC27" s="67" t="s">
        <v>190</v>
      </c>
      <c r="DD27" s="60"/>
      <c r="DE27" s="60"/>
      <c r="DF27" s="60"/>
      <c r="DG27" s="60"/>
      <c r="DH27" s="60"/>
      <c r="DI27" s="60"/>
      <c r="DJ27" s="60"/>
      <c r="DK27" s="60"/>
      <c r="DL27" s="68">
        <f t="shared" si="100"/>
        <v>0</v>
      </c>
      <c r="DM27" s="69">
        <f t="shared" si="16"/>
        <v>0</v>
      </c>
      <c r="DN27" s="60"/>
      <c r="DO27" s="60"/>
      <c r="DP27" s="60"/>
      <c r="DQ27" s="60"/>
      <c r="DR27" s="60"/>
      <c r="DS27" s="60"/>
      <c r="DT27" s="60"/>
      <c r="DU27" s="70">
        <f t="shared" si="101"/>
        <v>0</v>
      </c>
      <c r="DV27" s="60"/>
    </row>
    <row r="28" spans="1:126" ht="15">
      <c r="A28" s="61"/>
      <c r="B28" s="67" t="s">
        <v>191</v>
      </c>
      <c r="C28" s="60"/>
      <c r="D28" s="60"/>
      <c r="E28" s="60"/>
      <c r="F28" s="60"/>
      <c r="G28" s="60"/>
      <c r="H28" s="60"/>
      <c r="I28" s="60"/>
      <c r="J28" s="60"/>
      <c r="K28" s="68">
        <f t="shared" si="90"/>
        <v>0</v>
      </c>
      <c r="L28" s="69">
        <f t="shared" si="1"/>
        <v>0</v>
      </c>
      <c r="M28" s="60"/>
      <c r="N28" s="60"/>
      <c r="O28" s="60"/>
      <c r="P28" s="60"/>
      <c r="Q28" s="60"/>
      <c r="R28" s="60"/>
      <c r="S28" s="60"/>
      <c r="T28" s="70">
        <f t="shared" si="91"/>
        <v>0</v>
      </c>
      <c r="U28" s="60"/>
      <c r="V28" s="46"/>
      <c r="W28" s="67" t="s">
        <v>191</v>
      </c>
      <c r="X28" s="60"/>
      <c r="Y28" s="60"/>
      <c r="Z28" s="60"/>
      <c r="AA28" s="60"/>
      <c r="AB28" s="60"/>
      <c r="AC28" s="60"/>
      <c r="AD28" s="60"/>
      <c r="AE28" s="60"/>
      <c r="AF28" s="68">
        <f t="shared" si="92"/>
        <v>0</v>
      </c>
      <c r="AG28" s="69">
        <f t="shared" si="4"/>
        <v>0</v>
      </c>
      <c r="AH28" s="60"/>
      <c r="AI28" s="60"/>
      <c r="AJ28" s="60"/>
      <c r="AK28" s="60"/>
      <c r="AL28" s="60"/>
      <c r="AM28" s="60"/>
      <c r="AN28" s="60"/>
      <c r="AO28" s="70">
        <f t="shared" si="93"/>
        <v>0</v>
      </c>
      <c r="AP28" s="60"/>
      <c r="AR28" s="67" t="s">
        <v>191</v>
      </c>
      <c r="AS28" s="60"/>
      <c r="AT28" s="60"/>
      <c r="AU28" s="60"/>
      <c r="AV28" s="60"/>
      <c r="AW28" s="60"/>
      <c r="AX28" s="60"/>
      <c r="AY28" s="60"/>
      <c r="AZ28" s="60"/>
      <c r="BA28" s="68">
        <f t="shared" si="94"/>
        <v>0</v>
      </c>
      <c r="BB28" s="69">
        <f t="shared" si="7"/>
        <v>0</v>
      </c>
      <c r="BC28" s="60"/>
      <c r="BD28" s="60"/>
      <c r="BE28" s="60"/>
      <c r="BF28" s="60"/>
      <c r="BG28" s="60"/>
      <c r="BH28" s="60"/>
      <c r="BI28" s="60"/>
      <c r="BJ28" s="70">
        <f t="shared" si="95"/>
        <v>0</v>
      </c>
      <c r="BK28" s="60"/>
      <c r="BM28" s="67" t="s">
        <v>191</v>
      </c>
      <c r="BN28" s="60"/>
      <c r="BO28" s="60"/>
      <c r="BP28" s="60"/>
      <c r="BQ28" s="60"/>
      <c r="BR28" s="60"/>
      <c r="BS28" s="60"/>
      <c r="BT28" s="60"/>
      <c r="BU28" s="60"/>
      <c r="BV28" s="68">
        <f t="shared" si="96"/>
        <v>0</v>
      </c>
      <c r="BW28" s="69">
        <f t="shared" si="10"/>
        <v>0</v>
      </c>
      <c r="BX28" s="60"/>
      <c r="BY28" s="60"/>
      <c r="BZ28" s="60"/>
      <c r="CA28" s="60"/>
      <c r="CB28" s="60"/>
      <c r="CC28" s="60"/>
      <c r="CD28" s="60"/>
      <c r="CE28" s="70">
        <f t="shared" si="97"/>
        <v>0</v>
      </c>
      <c r="CF28" s="60"/>
      <c r="CH28" s="67" t="s">
        <v>191</v>
      </c>
      <c r="CI28" s="60"/>
      <c r="CJ28" s="60"/>
      <c r="CK28" s="60"/>
      <c r="CL28" s="60"/>
      <c r="CM28" s="60"/>
      <c r="CN28" s="60"/>
      <c r="CO28" s="60"/>
      <c r="CP28" s="60"/>
      <c r="CQ28" s="68">
        <f t="shared" si="98"/>
        <v>0</v>
      </c>
      <c r="CR28" s="69">
        <f t="shared" si="13"/>
        <v>0</v>
      </c>
      <c r="CS28" s="60"/>
      <c r="CT28" s="60"/>
      <c r="CU28" s="60"/>
      <c r="CV28" s="60"/>
      <c r="CW28" s="60"/>
      <c r="CX28" s="60"/>
      <c r="CY28" s="60"/>
      <c r="CZ28" s="70">
        <f t="shared" si="99"/>
        <v>0</v>
      </c>
      <c r="DA28" s="60"/>
      <c r="DC28" s="67" t="s">
        <v>191</v>
      </c>
      <c r="DD28" s="60"/>
      <c r="DE28" s="60"/>
      <c r="DF28" s="60"/>
      <c r="DG28" s="60"/>
      <c r="DH28" s="60"/>
      <c r="DI28" s="60"/>
      <c r="DJ28" s="60"/>
      <c r="DK28" s="60"/>
      <c r="DL28" s="68">
        <f t="shared" si="100"/>
        <v>0</v>
      </c>
      <c r="DM28" s="69">
        <f t="shared" si="16"/>
        <v>0</v>
      </c>
      <c r="DN28" s="60"/>
      <c r="DO28" s="60"/>
      <c r="DP28" s="60"/>
      <c r="DQ28" s="60"/>
      <c r="DR28" s="60"/>
      <c r="DS28" s="60"/>
      <c r="DT28" s="60"/>
      <c r="DU28" s="70">
        <f t="shared" si="101"/>
        <v>0</v>
      </c>
      <c r="DV28" s="60"/>
    </row>
    <row r="29" spans="1:126" ht="15">
      <c r="A29" s="61"/>
      <c r="B29" s="71" t="s">
        <v>192</v>
      </c>
      <c r="C29" s="63">
        <f>SUM(C30:C32)</f>
        <v>0</v>
      </c>
      <c r="D29" s="63">
        <f t="shared" ref="D29:J29" si="102">SUM(D30:D32)</f>
        <v>0</v>
      </c>
      <c r="E29" s="63">
        <f t="shared" si="102"/>
        <v>0</v>
      </c>
      <c r="F29" s="63">
        <f>SUM(F30:F32)</f>
        <v>0</v>
      </c>
      <c r="G29" s="63">
        <f t="shared" si="102"/>
        <v>0</v>
      </c>
      <c r="H29" s="63">
        <f>SUM(H30:H32)</f>
        <v>0</v>
      </c>
      <c r="I29" s="63">
        <f t="shared" si="102"/>
        <v>0</v>
      </c>
      <c r="J29" s="63">
        <f t="shared" si="102"/>
        <v>0</v>
      </c>
      <c r="K29" s="64">
        <f>SUM(C29:J29)</f>
        <v>0</v>
      </c>
      <c r="L29" s="65">
        <f t="shared" si="1"/>
        <v>0</v>
      </c>
      <c r="M29" s="63">
        <f>SUM(M30:M32)</f>
        <v>0</v>
      </c>
      <c r="N29" s="63">
        <f t="shared" ref="N29:S29" si="103">SUM(N30:N32)</f>
        <v>0</v>
      </c>
      <c r="O29" s="63">
        <f t="shared" si="103"/>
        <v>0</v>
      </c>
      <c r="P29" s="63">
        <f t="shared" si="103"/>
        <v>0</v>
      </c>
      <c r="Q29" s="63">
        <f t="shared" si="103"/>
        <v>0</v>
      </c>
      <c r="R29" s="63">
        <f t="shared" si="103"/>
        <v>0</v>
      </c>
      <c r="S29" s="63">
        <f t="shared" si="103"/>
        <v>0</v>
      </c>
      <c r="T29" s="66">
        <f>SUM(M29:S29)</f>
        <v>0</v>
      </c>
      <c r="U29" s="60"/>
      <c r="V29" s="46"/>
      <c r="W29" s="71" t="s">
        <v>192</v>
      </c>
      <c r="X29" s="63">
        <f>SUM(X30:X32)</f>
        <v>0</v>
      </c>
      <c r="Y29" s="63">
        <f t="shared" ref="Y29:AE29" si="104">SUM(Y30:Y32)</f>
        <v>0</v>
      </c>
      <c r="Z29" s="63">
        <f t="shared" si="104"/>
        <v>0</v>
      </c>
      <c r="AA29" s="63">
        <f>SUM(AA30:AA32)</f>
        <v>0</v>
      </c>
      <c r="AB29" s="63">
        <f t="shared" si="104"/>
        <v>0</v>
      </c>
      <c r="AC29" s="63">
        <f>SUM(AC30:AC32)</f>
        <v>0</v>
      </c>
      <c r="AD29" s="63">
        <f t="shared" si="104"/>
        <v>0</v>
      </c>
      <c r="AE29" s="63">
        <f t="shared" si="104"/>
        <v>0</v>
      </c>
      <c r="AF29" s="64">
        <f>SUM(X29:AE29)</f>
        <v>0</v>
      </c>
      <c r="AG29" s="65">
        <f t="shared" si="4"/>
        <v>0</v>
      </c>
      <c r="AH29" s="63">
        <f>SUM(AH30:AH32)</f>
        <v>0</v>
      </c>
      <c r="AI29" s="63">
        <f t="shared" ref="AI29:AN29" si="105">SUM(AI30:AI32)</f>
        <v>0</v>
      </c>
      <c r="AJ29" s="63">
        <f t="shared" si="105"/>
        <v>0</v>
      </c>
      <c r="AK29" s="63">
        <f t="shared" si="105"/>
        <v>0</v>
      </c>
      <c r="AL29" s="63">
        <f t="shared" si="105"/>
        <v>0</v>
      </c>
      <c r="AM29" s="63">
        <f t="shared" si="105"/>
        <v>0</v>
      </c>
      <c r="AN29" s="63">
        <f t="shared" si="105"/>
        <v>0</v>
      </c>
      <c r="AO29" s="66">
        <f>SUM(AH29:AN29)</f>
        <v>0</v>
      </c>
      <c r="AP29" s="60"/>
      <c r="AR29" s="71" t="s">
        <v>192</v>
      </c>
      <c r="AS29" s="63">
        <f>SUM(AS30:AS32)</f>
        <v>0</v>
      </c>
      <c r="AT29" s="63">
        <f t="shared" ref="AT29:AZ29" si="106">SUM(AT30:AT32)</f>
        <v>0</v>
      </c>
      <c r="AU29" s="63">
        <f t="shared" si="106"/>
        <v>0</v>
      </c>
      <c r="AV29" s="63">
        <f>SUM(AV30:AV32)</f>
        <v>0</v>
      </c>
      <c r="AW29" s="63">
        <f t="shared" si="106"/>
        <v>0</v>
      </c>
      <c r="AX29" s="63">
        <f>SUM(AX30:AX32)</f>
        <v>0</v>
      </c>
      <c r="AY29" s="63">
        <f t="shared" si="106"/>
        <v>0</v>
      </c>
      <c r="AZ29" s="63">
        <f t="shared" si="106"/>
        <v>0</v>
      </c>
      <c r="BA29" s="64">
        <f>SUM(AS29:AZ29)</f>
        <v>0</v>
      </c>
      <c r="BB29" s="65">
        <f t="shared" si="7"/>
        <v>0</v>
      </c>
      <c r="BC29" s="63">
        <f>SUM(BC30:BC32)</f>
        <v>0</v>
      </c>
      <c r="BD29" s="63">
        <f t="shared" ref="BD29:BI29" si="107">SUM(BD30:BD32)</f>
        <v>0</v>
      </c>
      <c r="BE29" s="63">
        <f t="shared" si="107"/>
        <v>0</v>
      </c>
      <c r="BF29" s="63">
        <f t="shared" si="107"/>
        <v>0</v>
      </c>
      <c r="BG29" s="63">
        <f t="shared" si="107"/>
        <v>0</v>
      </c>
      <c r="BH29" s="63">
        <f t="shared" si="107"/>
        <v>0</v>
      </c>
      <c r="BI29" s="63">
        <f t="shared" si="107"/>
        <v>0</v>
      </c>
      <c r="BJ29" s="66">
        <f>SUM(BC29:BI29)</f>
        <v>0</v>
      </c>
      <c r="BK29" s="60"/>
      <c r="BM29" s="71" t="s">
        <v>192</v>
      </c>
      <c r="BN29" s="63">
        <f>SUM(BN30:BN32)</f>
        <v>0</v>
      </c>
      <c r="BO29" s="63">
        <f t="shared" ref="BO29:BU29" si="108">SUM(BO30:BO32)</f>
        <v>0</v>
      </c>
      <c r="BP29" s="63">
        <f t="shared" si="108"/>
        <v>0</v>
      </c>
      <c r="BQ29" s="63">
        <f>SUM(BQ30:BQ32)</f>
        <v>0</v>
      </c>
      <c r="BR29" s="63">
        <f t="shared" si="108"/>
        <v>0</v>
      </c>
      <c r="BS29" s="63">
        <f>SUM(BS30:BS32)</f>
        <v>0</v>
      </c>
      <c r="BT29" s="63">
        <f t="shared" si="108"/>
        <v>0</v>
      </c>
      <c r="BU29" s="63">
        <f t="shared" si="108"/>
        <v>0</v>
      </c>
      <c r="BV29" s="64">
        <f>SUM(BN29:BU29)</f>
        <v>0</v>
      </c>
      <c r="BW29" s="65">
        <f t="shared" si="10"/>
        <v>0</v>
      </c>
      <c r="BX29" s="63">
        <f>SUM(BX30:BX32)</f>
        <v>0</v>
      </c>
      <c r="BY29" s="63">
        <f t="shared" ref="BY29:CD29" si="109">SUM(BY30:BY32)</f>
        <v>0</v>
      </c>
      <c r="BZ29" s="63">
        <f t="shared" si="109"/>
        <v>0</v>
      </c>
      <c r="CA29" s="63">
        <f t="shared" si="109"/>
        <v>0</v>
      </c>
      <c r="CB29" s="63">
        <f t="shared" si="109"/>
        <v>0</v>
      </c>
      <c r="CC29" s="63">
        <f t="shared" si="109"/>
        <v>0</v>
      </c>
      <c r="CD29" s="63">
        <f t="shared" si="109"/>
        <v>0</v>
      </c>
      <c r="CE29" s="66">
        <f>SUM(BX29:CD29)</f>
        <v>0</v>
      </c>
      <c r="CF29" s="60"/>
      <c r="CH29" s="71" t="s">
        <v>192</v>
      </c>
      <c r="CI29" s="63">
        <f>SUM(CI30:CI32)</f>
        <v>0</v>
      </c>
      <c r="CJ29" s="63">
        <f t="shared" ref="CJ29:CP29" si="110">SUM(CJ30:CJ32)</f>
        <v>0</v>
      </c>
      <c r="CK29" s="63">
        <f t="shared" si="110"/>
        <v>0</v>
      </c>
      <c r="CL29" s="63">
        <f>SUM(CL30:CL32)</f>
        <v>0</v>
      </c>
      <c r="CM29" s="63">
        <f t="shared" si="110"/>
        <v>0</v>
      </c>
      <c r="CN29" s="63">
        <f>SUM(CN30:CN32)</f>
        <v>0</v>
      </c>
      <c r="CO29" s="63">
        <f t="shared" si="110"/>
        <v>0</v>
      </c>
      <c r="CP29" s="63">
        <f t="shared" si="110"/>
        <v>0</v>
      </c>
      <c r="CQ29" s="64">
        <f>SUM(CI29:CP29)</f>
        <v>0</v>
      </c>
      <c r="CR29" s="65">
        <f t="shared" si="13"/>
        <v>0</v>
      </c>
      <c r="CS29" s="63">
        <f>SUM(CS30:CS32)</f>
        <v>0</v>
      </c>
      <c r="CT29" s="63">
        <f t="shared" ref="CT29:CY29" si="111">SUM(CT30:CT32)</f>
        <v>0</v>
      </c>
      <c r="CU29" s="63">
        <f t="shared" si="111"/>
        <v>0</v>
      </c>
      <c r="CV29" s="63">
        <f t="shared" si="111"/>
        <v>0</v>
      </c>
      <c r="CW29" s="63">
        <f t="shared" si="111"/>
        <v>0</v>
      </c>
      <c r="CX29" s="63">
        <f t="shared" si="111"/>
        <v>0</v>
      </c>
      <c r="CY29" s="63">
        <f t="shared" si="111"/>
        <v>0</v>
      </c>
      <c r="CZ29" s="66">
        <f>SUM(CS29:CY29)</f>
        <v>0</v>
      </c>
      <c r="DA29" s="60"/>
      <c r="DC29" s="71" t="s">
        <v>192</v>
      </c>
      <c r="DD29" s="63">
        <f>SUM(DD30:DD32)</f>
        <v>0</v>
      </c>
      <c r="DE29" s="63">
        <f t="shared" ref="DE29:DK29" si="112">SUM(DE30:DE32)</f>
        <v>0</v>
      </c>
      <c r="DF29" s="63">
        <f t="shared" si="112"/>
        <v>0</v>
      </c>
      <c r="DG29" s="63">
        <f>SUM(DG30:DG32)</f>
        <v>0</v>
      </c>
      <c r="DH29" s="63">
        <f t="shared" si="112"/>
        <v>0</v>
      </c>
      <c r="DI29" s="63">
        <f>SUM(DI30:DI32)</f>
        <v>0</v>
      </c>
      <c r="DJ29" s="63">
        <f t="shared" si="112"/>
        <v>0</v>
      </c>
      <c r="DK29" s="63">
        <f t="shared" si="112"/>
        <v>0</v>
      </c>
      <c r="DL29" s="64">
        <f>SUM(DD29:DK29)</f>
        <v>0</v>
      </c>
      <c r="DM29" s="65">
        <f t="shared" si="16"/>
        <v>0</v>
      </c>
      <c r="DN29" s="63">
        <f>SUM(DN30:DN32)</f>
        <v>0</v>
      </c>
      <c r="DO29" s="63">
        <f t="shared" ref="DO29:DT29" si="113">SUM(DO30:DO32)</f>
        <v>0</v>
      </c>
      <c r="DP29" s="63">
        <f t="shared" si="113"/>
        <v>0</v>
      </c>
      <c r="DQ29" s="63">
        <f t="shared" si="113"/>
        <v>0</v>
      </c>
      <c r="DR29" s="63">
        <f t="shared" si="113"/>
        <v>0</v>
      </c>
      <c r="DS29" s="63">
        <f t="shared" si="113"/>
        <v>0</v>
      </c>
      <c r="DT29" s="63">
        <f t="shared" si="113"/>
        <v>0</v>
      </c>
      <c r="DU29" s="66">
        <f>SUM(DN29:DT29)</f>
        <v>0</v>
      </c>
      <c r="DV29" s="60"/>
    </row>
    <row r="30" spans="1:126" ht="15">
      <c r="A30" s="61"/>
      <c r="B30" s="67" t="s">
        <v>193</v>
      </c>
      <c r="C30" s="60"/>
      <c r="D30" s="60"/>
      <c r="E30" s="60"/>
      <c r="F30" s="60"/>
      <c r="G30" s="60"/>
      <c r="H30" s="60"/>
      <c r="I30" s="60"/>
      <c r="J30" s="60"/>
      <c r="K30" s="68">
        <f t="shared" ref="K30:K48" si="114">SUM(C30:J30)</f>
        <v>0</v>
      </c>
      <c r="L30" s="69">
        <f t="shared" si="1"/>
        <v>0</v>
      </c>
      <c r="M30" s="60"/>
      <c r="N30" s="60"/>
      <c r="O30" s="60"/>
      <c r="P30" s="60"/>
      <c r="Q30" s="60"/>
      <c r="R30" s="60"/>
      <c r="S30" s="60"/>
      <c r="T30" s="70">
        <f t="shared" ref="T30:T32" si="115">SUM(M30:S30)</f>
        <v>0</v>
      </c>
      <c r="U30" s="60"/>
      <c r="V30" s="46"/>
      <c r="W30" s="67" t="s">
        <v>193</v>
      </c>
      <c r="X30" s="60"/>
      <c r="Y30" s="60"/>
      <c r="Z30" s="60"/>
      <c r="AA30" s="60"/>
      <c r="AB30" s="60"/>
      <c r="AC30" s="60"/>
      <c r="AD30" s="60"/>
      <c r="AE30" s="60"/>
      <c r="AF30" s="68">
        <f t="shared" ref="AF30:AF48" si="116">SUM(X30:AE30)</f>
        <v>0</v>
      </c>
      <c r="AG30" s="69">
        <f t="shared" si="4"/>
        <v>0</v>
      </c>
      <c r="AH30" s="60"/>
      <c r="AI30" s="60"/>
      <c r="AJ30" s="60"/>
      <c r="AK30" s="60"/>
      <c r="AL30" s="60"/>
      <c r="AM30" s="60"/>
      <c r="AN30" s="60"/>
      <c r="AO30" s="70">
        <f t="shared" ref="AO30:AO32" si="117">SUM(AH30:AN30)</f>
        <v>0</v>
      </c>
      <c r="AP30" s="60"/>
      <c r="AR30" s="67" t="s">
        <v>193</v>
      </c>
      <c r="AS30" s="60"/>
      <c r="AT30" s="60"/>
      <c r="AU30" s="60"/>
      <c r="AV30" s="60"/>
      <c r="AW30" s="60"/>
      <c r="AX30" s="60"/>
      <c r="AY30" s="60"/>
      <c r="AZ30" s="60"/>
      <c r="BA30" s="68">
        <f t="shared" ref="BA30:BA48" si="118">SUM(AS30:AZ30)</f>
        <v>0</v>
      </c>
      <c r="BB30" s="69">
        <f t="shared" si="7"/>
        <v>0</v>
      </c>
      <c r="BC30" s="60"/>
      <c r="BD30" s="60"/>
      <c r="BE30" s="60"/>
      <c r="BF30" s="60"/>
      <c r="BG30" s="60"/>
      <c r="BH30" s="60"/>
      <c r="BI30" s="60"/>
      <c r="BJ30" s="70">
        <f t="shared" ref="BJ30:BJ32" si="119">SUM(BC30:BI30)</f>
        <v>0</v>
      </c>
      <c r="BK30" s="60"/>
      <c r="BM30" s="67" t="s">
        <v>193</v>
      </c>
      <c r="BN30" s="60"/>
      <c r="BO30" s="60"/>
      <c r="BP30" s="60"/>
      <c r="BQ30" s="60"/>
      <c r="BR30" s="60"/>
      <c r="BS30" s="60"/>
      <c r="BT30" s="60"/>
      <c r="BU30" s="60"/>
      <c r="BV30" s="68">
        <f t="shared" ref="BV30:BV48" si="120">SUM(BN30:BU30)</f>
        <v>0</v>
      </c>
      <c r="BW30" s="69">
        <f t="shared" si="10"/>
        <v>0</v>
      </c>
      <c r="BX30" s="60"/>
      <c r="BY30" s="60"/>
      <c r="BZ30" s="60"/>
      <c r="CA30" s="60"/>
      <c r="CB30" s="60"/>
      <c r="CC30" s="60"/>
      <c r="CD30" s="60"/>
      <c r="CE30" s="70">
        <f t="shared" ref="CE30:CE32" si="121">SUM(BX30:CD30)</f>
        <v>0</v>
      </c>
      <c r="CF30" s="60"/>
      <c r="CH30" s="67" t="s">
        <v>193</v>
      </c>
      <c r="CI30" s="60"/>
      <c r="CJ30" s="60"/>
      <c r="CK30" s="60"/>
      <c r="CL30" s="60"/>
      <c r="CM30" s="60"/>
      <c r="CN30" s="60"/>
      <c r="CO30" s="60"/>
      <c r="CP30" s="60"/>
      <c r="CQ30" s="68">
        <f t="shared" ref="CQ30:CQ48" si="122">SUM(CI30:CP30)</f>
        <v>0</v>
      </c>
      <c r="CR30" s="69">
        <f t="shared" si="13"/>
        <v>0</v>
      </c>
      <c r="CS30" s="60"/>
      <c r="CT30" s="60"/>
      <c r="CU30" s="60"/>
      <c r="CV30" s="60"/>
      <c r="CW30" s="60"/>
      <c r="CX30" s="60"/>
      <c r="CY30" s="60"/>
      <c r="CZ30" s="70">
        <f t="shared" ref="CZ30:CZ32" si="123">SUM(CS30:CY30)</f>
        <v>0</v>
      </c>
      <c r="DA30" s="60"/>
      <c r="DC30" s="67" t="s">
        <v>193</v>
      </c>
      <c r="DD30" s="60"/>
      <c r="DE30" s="60"/>
      <c r="DF30" s="60"/>
      <c r="DG30" s="60"/>
      <c r="DH30" s="60"/>
      <c r="DI30" s="60"/>
      <c r="DJ30" s="60"/>
      <c r="DK30" s="60"/>
      <c r="DL30" s="68">
        <f t="shared" ref="DL30:DL48" si="124">SUM(DD30:DK30)</f>
        <v>0</v>
      </c>
      <c r="DM30" s="69">
        <f t="shared" si="16"/>
        <v>0</v>
      </c>
      <c r="DN30" s="60"/>
      <c r="DO30" s="60"/>
      <c r="DP30" s="60"/>
      <c r="DQ30" s="60"/>
      <c r="DR30" s="60"/>
      <c r="DS30" s="60"/>
      <c r="DT30" s="60"/>
      <c r="DU30" s="70">
        <f t="shared" ref="DU30:DU32" si="125">SUM(DN30:DT30)</f>
        <v>0</v>
      </c>
      <c r="DV30" s="60"/>
    </row>
    <row r="31" spans="1:126" ht="15">
      <c r="A31" s="61"/>
      <c r="B31" s="67" t="s">
        <v>194</v>
      </c>
      <c r="C31" s="60"/>
      <c r="D31" s="60"/>
      <c r="E31" s="60"/>
      <c r="F31" s="60"/>
      <c r="G31" s="60"/>
      <c r="H31" s="60"/>
      <c r="I31" s="60"/>
      <c r="J31" s="60"/>
      <c r="K31" s="68">
        <f t="shared" si="114"/>
        <v>0</v>
      </c>
      <c r="L31" s="69">
        <f t="shared" si="1"/>
        <v>0</v>
      </c>
      <c r="M31" s="60"/>
      <c r="N31" s="60"/>
      <c r="O31" s="60"/>
      <c r="P31" s="60"/>
      <c r="Q31" s="60"/>
      <c r="R31" s="60"/>
      <c r="S31" s="60"/>
      <c r="T31" s="70">
        <f t="shared" si="115"/>
        <v>0</v>
      </c>
      <c r="U31" s="60"/>
      <c r="V31" s="46"/>
      <c r="W31" s="67" t="s">
        <v>194</v>
      </c>
      <c r="X31" s="60"/>
      <c r="Y31" s="60"/>
      <c r="Z31" s="60"/>
      <c r="AA31" s="60"/>
      <c r="AB31" s="60"/>
      <c r="AC31" s="60"/>
      <c r="AD31" s="60"/>
      <c r="AE31" s="60"/>
      <c r="AF31" s="68">
        <f t="shared" si="116"/>
        <v>0</v>
      </c>
      <c r="AG31" s="69">
        <f t="shared" si="4"/>
        <v>0</v>
      </c>
      <c r="AH31" s="60"/>
      <c r="AI31" s="60"/>
      <c r="AJ31" s="60"/>
      <c r="AK31" s="60"/>
      <c r="AL31" s="60"/>
      <c r="AM31" s="60"/>
      <c r="AN31" s="60"/>
      <c r="AO31" s="70">
        <f t="shared" si="117"/>
        <v>0</v>
      </c>
      <c r="AP31" s="60"/>
      <c r="AR31" s="67" t="s">
        <v>194</v>
      </c>
      <c r="AS31" s="60"/>
      <c r="AT31" s="60"/>
      <c r="AU31" s="60"/>
      <c r="AV31" s="60"/>
      <c r="AW31" s="60"/>
      <c r="AX31" s="60"/>
      <c r="AY31" s="60"/>
      <c r="AZ31" s="60"/>
      <c r="BA31" s="68">
        <f t="shared" si="118"/>
        <v>0</v>
      </c>
      <c r="BB31" s="69">
        <f t="shared" si="7"/>
        <v>0</v>
      </c>
      <c r="BC31" s="60"/>
      <c r="BD31" s="60"/>
      <c r="BE31" s="60"/>
      <c r="BF31" s="60"/>
      <c r="BG31" s="60"/>
      <c r="BH31" s="60"/>
      <c r="BI31" s="60"/>
      <c r="BJ31" s="70">
        <f t="shared" si="119"/>
        <v>0</v>
      </c>
      <c r="BK31" s="60"/>
      <c r="BM31" s="67" t="s">
        <v>194</v>
      </c>
      <c r="BN31" s="60"/>
      <c r="BO31" s="60"/>
      <c r="BP31" s="60"/>
      <c r="BQ31" s="60"/>
      <c r="BR31" s="60"/>
      <c r="BS31" s="60"/>
      <c r="BT31" s="60"/>
      <c r="BU31" s="60"/>
      <c r="BV31" s="68">
        <f t="shared" si="120"/>
        <v>0</v>
      </c>
      <c r="BW31" s="69">
        <f t="shared" si="10"/>
        <v>0</v>
      </c>
      <c r="BX31" s="60"/>
      <c r="BY31" s="60"/>
      <c r="BZ31" s="60"/>
      <c r="CA31" s="60"/>
      <c r="CB31" s="60"/>
      <c r="CC31" s="60"/>
      <c r="CD31" s="60"/>
      <c r="CE31" s="70">
        <f t="shared" si="121"/>
        <v>0</v>
      </c>
      <c r="CF31" s="60"/>
      <c r="CH31" s="67" t="s">
        <v>194</v>
      </c>
      <c r="CI31" s="60"/>
      <c r="CJ31" s="60"/>
      <c r="CK31" s="60"/>
      <c r="CL31" s="60"/>
      <c r="CM31" s="60"/>
      <c r="CN31" s="60"/>
      <c r="CO31" s="60"/>
      <c r="CP31" s="60"/>
      <c r="CQ31" s="68">
        <f t="shared" si="122"/>
        <v>0</v>
      </c>
      <c r="CR31" s="69">
        <f t="shared" si="13"/>
        <v>0</v>
      </c>
      <c r="CS31" s="60"/>
      <c r="CT31" s="60"/>
      <c r="CU31" s="60"/>
      <c r="CV31" s="60"/>
      <c r="CW31" s="60"/>
      <c r="CX31" s="60"/>
      <c r="CY31" s="60"/>
      <c r="CZ31" s="70">
        <f t="shared" si="123"/>
        <v>0</v>
      </c>
      <c r="DA31" s="60"/>
      <c r="DC31" s="67" t="s">
        <v>194</v>
      </c>
      <c r="DD31" s="60"/>
      <c r="DE31" s="60"/>
      <c r="DF31" s="60"/>
      <c r="DG31" s="60"/>
      <c r="DH31" s="60"/>
      <c r="DI31" s="60"/>
      <c r="DJ31" s="60"/>
      <c r="DK31" s="60"/>
      <c r="DL31" s="68">
        <f t="shared" si="124"/>
        <v>0</v>
      </c>
      <c r="DM31" s="69">
        <f t="shared" si="16"/>
        <v>0</v>
      </c>
      <c r="DN31" s="60"/>
      <c r="DO31" s="60"/>
      <c r="DP31" s="60"/>
      <c r="DQ31" s="60"/>
      <c r="DR31" s="60"/>
      <c r="DS31" s="60"/>
      <c r="DT31" s="60"/>
      <c r="DU31" s="70">
        <f t="shared" si="125"/>
        <v>0</v>
      </c>
      <c r="DV31" s="60"/>
    </row>
    <row r="32" spans="1:126" ht="15">
      <c r="A32" s="61"/>
      <c r="B32" s="67" t="s">
        <v>192</v>
      </c>
      <c r="C32" s="60"/>
      <c r="D32" s="60"/>
      <c r="E32" s="60"/>
      <c r="F32" s="60"/>
      <c r="G32" s="60"/>
      <c r="H32" s="60"/>
      <c r="I32" s="60"/>
      <c r="J32" s="60"/>
      <c r="K32" s="68">
        <f t="shared" si="114"/>
        <v>0</v>
      </c>
      <c r="L32" s="69">
        <f t="shared" si="1"/>
        <v>0</v>
      </c>
      <c r="M32" s="60"/>
      <c r="N32" s="60"/>
      <c r="O32" s="60"/>
      <c r="P32" s="60"/>
      <c r="Q32" s="60"/>
      <c r="R32" s="60"/>
      <c r="S32" s="60"/>
      <c r="T32" s="70">
        <f t="shared" si="115"/>
        <v>0</v>
      </c>
      <c r="U32" s="60"/>
      <c r="V32" s="46"/>
      <c r="W32" s="67" t="s">
        <v>192</v>
      </c>
      <c r="X32" s="60"/>
      <c r="Y32" s="60"/>
      <c r="Z32" s="60"/>
      <c r="AA32" s="60"/>
      <c r="AB32" s="60"/>
      <c r="AC32" s="60"/>
      <c r="AD32" s="60"/>
      <c r="AE32" s="60"/>
      <c r="AF32" s="68">
        <f t="shared" si="116"/>
        <v>0</v>
      </c>
      <c r="AG32" s="69">
        <f t="shared" si="4"/>
        <v>0</v>
      </c>
      <c r="AH32" s="60"/>
      <c r="AI32" s="60"/>
      <c r="AJ32" s="60"/>
      <c r="AK32" s="60"/>
      <c r="AL32" s="60"/>
      <c r="AM32" s="60"/>
      <c r="AN32" s="60"/>
      <c r="AO32" s="70">
        <f t="shared" si="117"/>
        <v>0</v>
      </c>
      <c r="AP32" s="60"/>
      <c r="AR32" s="67" t="s">
        <v>192</v>
      </c>
      <c r="AS32" s="60"/>
      <c r="AT32" s="60"/>
      <c r="AU32" s="60"/>
      <c r="AV32" s="60"/>
      <c r="AW32" s="60"/>
      <c r="AX32" s="60"/>
      <c r="AY32" s="60"/>
      <c r="AZ32" s="60"/>
      <c r="BA32" s="68">
        <f t="shared" si="118"/>
        <v>0</v>
      </c>
      <c r="BB32" s="69">
        <f t="shared" si="7"/>
        <v>0</v>
      </c>
      <c r="BC32" s="60"/>
      <c r="BD32" s="60"/>
      <c r="BE32" s="60"/>
      <c r="BF32" s="60"/>
      <c r="BG32" s="60"/>
      <c r="BH32" s="60"/>
      <c r="BI32" s="60"/>
      <c r="BJ32" s="70">
        <f t="shared" si="119"/>
        <v>0</v>
      </c>
      <c r="BK32" s="60"/>
      <c r="BM32" s="67" t="s">
        <v>192</v>
      </c>
      <c r="BN32" s="60"/>
      <c r="BO32" s="60"/>
      <c r="BP32" s="60"/>
      <c r="BQ32" s="60"/>
      <c r="BR32" s="60"/>
      <c r="BS32" s="60"/>
      <c r="BT32" s="60"/>
      <c r="BU32" s="60"/>
      <c r="BV32" s="68">
        <f t="shared" si="120"/>
        <v>0</v>
      </c>
      <c r="BW32" s="69">
        <f t="shared" si="10"/>
        <v>0</v>
      </c>
      <c r="BX32" s="60"/>
      <c r="BY32" s="60"/>
      <c r="BZ32" s="60"/>
      <c r="CA32" s="60"/>
      <c r="CB32" s="60"/>
      <c r="CC32" s="60"/>
      <c r="CD32" s="60"/>
      <c r="CE32" s="70">
        <f t="shared" si="121"/>
        <v>0</v>
      </c>
      <c r="CF32" s="60"/>
      <c r="CH32" s="67" t="s">
        <v>192</v>
      </c>
      <c r="CI32" s="60"/>
      <c r="CJ32" s="60"/>
      <c r="CK32" s="60"/>
      <c r="CL32" s="60"/>
      <c r="CM32" s="60"/>
      <c r="CN32" s="60"/>
      <c r="CO32" s="60"/>
      <c r="CP32" s="60"/>
      <c r="CQ32" s="68">
        <f t="shared" si="122"/>
        <v>0</v>
      </c>
      <c r="CR32" s="69">
        <f t="shared" si="13"/>
        <v>0</v>
      </c>
      <c r="CS32" s="60"/>
      <c r="CT32" s="60"/>
      <c r="CU32" s="60"/>
      <c r="CV32" s="60"/>
      <c r="CW32" s="60"/>
      <c r="CX32" s="60"/>
      <c r="CY32" s="60"/>
      <c r="CZ32" s="70">
        <f t="shared" si="123"/>
        <v>0</v>
      </c>
      <c r="DA32" s="60"/>
      <c r="DC32" s="67" t="s">
        <v>192</v>
      </c>
      <c r="DD32" s="60"/>
      <c r="DE32" s="60"/>
      <c r="DF32" s="60"/>
      <c r="DG32" s="60"/>
      <c r="DH32" s="60"/>
      <c r="DI32" s="60"/>
      <c r="DJ32" s="60"/>
      <c r="DK32" s="60"/>
      <c r="DL32" s="68">
        <f t="shared" si="124"/>
        <v>0</v>
      </c>
      <c r="DM32" s="69">
        <f t="shared" si="16"/>
        <v>0</v>
      </c>
      <c r="DN32" s="60"/>
      <c r="DO32" s="60"/>
      <c r="DP32" s="60"/>
      <c r="DQ32" s="60"/>
      <c r="DR32" s="60"/>
      <c r="DS32" s="60"/>
      <c r="DT32" s="60"/>
      <c r="DU32" s="70">
        <f t="shared" si="125"/>
        <v>0</v>
      </c>
      <c r="DV32" s="60"/>
    </row>
    <row r="33" spans="1:126" ht="15">
      <c r="A33" s="61"/>
      <c r="B33" s="71" t="s">
        <v>51</v>
      </c>
      <c r="C33" s="63">
        <f>C34</f>
        <v>0</v>
      </c>
      <c r="D33" s="63">
        <f t="shared" ref="D33:J33" si="126">D34</f>
        <v>0</v>
      </c>
      <c r="E33" s="63">
        <f>E34</f>
        <v>0</v>
      </c>
      <c r="F33" s="63">
        <f t="shared" si="126"/>
        <v>0</v>
      </c>
      <c r="G33" s="63">
        <f t="shared" si="126"/>
        <v>0</v>
      </c>
      <c r="H33" s="63">
        <f t="shared" si="126"/>
        <v>0</v>
      </c>
      <c r="I33" s="63">
        <f t="shared" si="126"/>
        <v>0</v>
      </c>
      <c r="J33" s="63">
        <f t="shared" si="126"/>
        <v>0</v>
      </c>
      <c r="K33" s="64">
        <f t="shared" si="114"/>
        <v>0</v>
      </c>
      <c r="L33" s="65">
        <f t="shared" si="1"/>
        <v>0</v>
      </c>
      <c r="M33" s="63">
        <f>M34</f>
        <v>0</v>
      </c>
      <c r="N33" s="63">
        <f t="shared" ref="N33:S33" si="127">N34</f>
        <v>0</v>
      </c>
      <c r="O33" s="63">
        <f t="shared" si="127"/>
        <v>0</v>
      </c>
      <c r="P33" s="63">
        <f t="shared" si="127"/>
        <v>0</v>
      </c>
      <c r="Q33" s="63">
        <f t="shared" si="127"/>
        <v>0</v>
      </c>
      <c r="R33" s="63">
        <f t="shared" si="127"/>
        <v>0</v>
      </c>
      <c r="S33" s="63">
        <f t="shared" si="127"/>
        <v>0</v>
      </c>
      <c r="T33" s="66">
        <f>SUM(M33:S33)</f>
        <v>0</v>
      </c>
      <c r="U33" s="60"/>
      <c r="V33" s="46"/>
      <c r="W33" s="71" t="s">
        <v>51</v>
      </c>
      <c r="X33" s="63">
        <f>X34</f>
        <v>0</v>
      </c>
      <c r="Y33" s="63">
        <f t="shared" ref="Y33:AE33" si="128">Y34</f>
        <v>0</v>
      </c>
      <c r="Z33" s="63">
        <f>Z34</f>
        <v>0</v>
      </c>
      <c r="AA33" s="63">
        <f t="shared" si="128"/>
        <v>0</v>
      </c>
      <c r="AB33" s="63">
        <f t="shared" si="128"/>
        <v>0</v>
      </c>
      <c r="AC33" s="63">
        <f t="shared" si="128"/>
        <v>0</v>
      </c>
      <c r="AD33" s="63">
        <f t="shared" si="128"/>
        <v>0</v>
      </c>
      <c r="AE33" s="63">
        <f t="shared" si="128"/>
        <v>0</v>
      </c>
      <c r="AF33" s="64">
        <f t="shared" si="116"/>
        <v>0</v>
      </c>
      <c r="AG33" s="65">
        <f t="shared" si="4"/>
        <v>0</v>
      </c>
      <c r="AH33" s="63">
        <f>AH34</f>
        <v>0</v>
      </c>
      <c r="AI33" s="63">
        <f t="shared" ref="AI33:AN33" si="129">AI34</f>
        <v>0</v>
      </c>
      <c r="AJ33" s="63">
        <f t="shared" si="129"/>
        <v>0</v>
      </c>
      <c r="AK33" s="63">
        <f t="shared" si="129"/>
        <v>0</v>
      </c>
      <c r="AL33" s="63">
        <f t="shared" si="129"/>
        <v>0</v>
      </c>
      <c r="AM33" s="63">
        <f t="shared" si="129"/>
        <v>0</v>
      </c>
      <c r="AN33" s="63">
        <f t="shared" si="129"/>
        <v>0</v>
      </c>
      <c r="AO33" s="66">
        <f>SUM(AH33:AN33)</f>
        <v>0</v>
      </c>
      <c r="AP33" s="60"/>
      <c r="AR33" s="71" t="s">
        <v>51</v>
      </c>
      <c r="AS33" s="63">
        <f>AS34</f>
        <v>0</v>
      </c>
      <c r="AT33" s="63">
        <f t="shared" ref="AT33:AZ33" si="130">AT34</f>
        <v>0</v>
      </c>
      <c r="AU33" s="63">
        <f>AU34</f>
        <v>0</v>
      </c>
      <c r="AV33" s="63">
        <f t="shared" si="130"/>
        <v>0</v>
      </c>
      <c r="AW33" s="63">
        <f t="shared" si="130"/>
        <v>0</v>
      </c>
      <c r="AX33" s="63">
        <f t="shared" si="130"/>
        <v>0</v>
      </c>
      <c r="AY33" s="63">
        <f t="shared" si="130"/>
        <v>0</v>
      </c>
      <c r="AZ33" s="63">
        <f t="shared" si="130"/>
        <v>0</v>
      </c>
      <c r="BA33" s="64">
        <f t="shared" si="118"/>
        <v>0</v>
      </c>
      <c r="BB33" s="65">
        <f t="shared" si="7"/>
        <v>0</v>
      </c>
      <c r="BC33" s="63">
        <f>BC34</f>
        <v>0</v>
      </c>
      <c r="BD33" s="63">
        <f t="shared" ref="BD33:BI33" si="131">BD34</f>
        <v>0</v>
      </c>
      <c r="BE33" s="63">
        <f t="shared" si="131"/>
        <v>0</v>
      </c>
      <c r="BF33" s="63">
        <f t="shared" si="131"/>
        <v>0</v>
      </c>
      <c r="BG33" s="63">
        <f t="shared" si="131"/>
        <v>0</v>
      </c>
      <c r="BH33" s="63">
        <f t="shared" si="131"/>
        <v>0</v>
      </c>
      <c r="BI33" s="63">
        <f t="shared" si="131"/>
        <v>0</v>
      </c>
      <c r="BJ33" s="66">
        <f>SUM(BC33:BI33)</f>
        <v>0</v>
      </c>
      <c r="BK33" s="60"/>
      <c r="BM33" s="71" t="s">
        <v>51</v>
      </c>
      <c r="BN33" s="63">
        <f>BN34</f>
        <v>0</v>
      </c>
      <c r="BO33" s="63">
        <f t="shared" ref="BO33:BU33" si="132">BO34</f>
        <v>0</v>
      </c>
      <c r="BP33" s="63">
        <f>BP34</f>
        <v>0</v>
      </c>
      <c r="BQ33" s="63">
        <f t="shared" si="132"/>
        <v>0</v>
      </c>
      <c r="BR33" s="63">
        <f t="shared" si="132"/>
        <v>0</v>
      </c>
      <c r="BS33" s="63">
        <f t="shared" si="132"/>
        <v>0</v>
      </c>
      <c r="BT33" s="63">
        <f t="shared" si="132"/>
        <v>0</v>
      </c>
      <c r="BU33" s="63">
        <f t="shared" si="132"/>
        <v>0</v>
      </c>
      <c r="BV33" s="64">
        <f t="shared" si="120"/>
        <v>0</v>
      </c>
      <c r="BW33" s="65">
        <f t="shared" si="10"/>
        <v>0</v>
      </c>
      <c r="BX33" s="63">
        <f>BX34</f>
        <v>0</v>
      </c>
      <c r="BY33" s="63">
        <f t="shared" ref="BY33:CD33" si="133">BY34</f>
        <v>0</v>
      </c>
      <c r="BZ33" s="63">
        <f t="shared" si="133"/>
        <v>0</v>
      </c>
      <c r="CA33" s="63">
        <f t="shared" si="133"/>
        <v>0</v>
      </c>
      <c r="CB33" s="63">
        <f t="shared" si="133"/>
        <v>0</v>
      </c>
      <c r="CC33" s="63">
        <f t="shared" si="133"/>
        <v>0</v>
      </c>
      <c r="CD33" s="63">
        <f t="shared" si="133"/>
        <v>0</v>
      </c>
      <c r="CE33" s="66">
        <f>SUM(BX33:CD33)</f>
        <v>0</v>
      </c>
      <c r="CF33" s="60"/>
      <c r="CH33" s="71" t="s">
        <v>51</v>
      </c>
      <c r="CI33" s="63">
        <f>CI34</f>
        <v>0</v>
      </c>
      <c r="CJ33" s="63">
        <f t="shared" ref="CJ33:CP33" si="134">CJ34</f>
        <v>0</v>
      </c>
      <c r="CK33" s="63">
        <f>CK34</f>
        <v>0</v>
      </c>
      <c r="CL33" s="63">
        <f t="shared" si="134"/>
        <v>0</v>
      </c>
      <c r="CM33" s="63">
        <f t="shared" si="134"/>
        <v>0</v>
      </c>
      <c r="CN33" s="63">
        <f t="shared" si="134"/>
        <v>0</v>
      </c>
      <c r="CO33" s="63">
        <f t="shared" si="134"/>
        <v>0</v>
      </c>
      <c r="CP33" s="63">
        <f t="shared" si="134"/>
        <v>0</v>
      </c>
      <c r="CQ33" s="64">
        <f t="shared" si="122"/>
        <v>0</v>
      </c>
      <c r="CR33" s="65">
        <f t="shared" si="13"/>
        <v>0</v>
      </c>
      <c r="CS33" s="63">
        <f>CS34</f>
        <v>0</v>
      </c>
      <c r="CT33" s="63">
        <f t="shared" ref="CT33:CY33" si="135">CT34</f>
        <v>0</v>
      </c>
      <c r="CU33" s="63">
        <f t="shared" si="135"/>
        <v>0</v>
      </c>
      <c r="CV33" s="63">
        <f t="shared" si="135"/>
        <v>0</v>
      </c>
      <c r="CW33" s="63">
        <f t="shared" si="135"/>
        <v>0</v>
      </c>
      <c r="CX33" s="63">
        <f t="shared" si="135"/>
        <v>0</v>
      </c>
      <c r="CY33" s="63">
        <f t="shared" si="135"/>
        <v>0</v>
      </c>
      <c r="CZ33" s="66">
        <f>SUM(CS33:CY33)</f>
        <v>0</v>
      </c>
      <c r="DA33" s="60"/>
      <c r="DC33" s="71" t="s">
        <v>51</v>
      </c>
      <c r="DD33" s="63">
        <f>DD34</f>
        <v>0</v>
      </c>
      <c r="DE33" s="63">
        <f t="shared" ref="DE33:DK33" si="136">DE34</f>
        <v>0</v>
      </c>
      <c r="DF33" s="63">
        <f>DF34</f>
        <v>0</v>
      </c>
      <c r="DG33" s="63">
        <f t="shared" si="136"/>
        <v>0</v>
      </c>
      <c r="DH33" s="63">
        <f t="shared" si="136"/>
        <v>0</v>
      </c>
      <c r="DI33" s="63">
        <f t="shared" si="136"/>
        <v>0</v>
      </c>
      <c r="DJ33" s="63">
        <f t="shared" si="136"/>
        <v>0</v>
      </c>
      <c r="DK33" s="63">
        <f t="shared" si="136"/>
        <v>0</v>
      </c>
      <c r="DL33" s="64">
        <f t="shared" si="124"/>
        <v>0</v>
      </c>
      <c r="DM33" s="65">
        <f t="shared" si="16"/>
        <v>0</v>
      </c>
      <c r="DN33" s="63">
        <f>DN34</f>
        <v>0</v>
      </c>
      <c r="DO33" s="63">
        <f t="shared" ref="DO33:DT33" si="137">DO34</f>
        <v>0</v>
      </c>
      <c r="DP33" s="63">
        <f t="shared" si="137"/>
        <v>0</v>
      </c>
      <c r="DQ33" s="63">
        <f t="shared" si="137"/>
        <v>0</v>
      </c>
      <c r="DR33" s="63">
        <f t="shared" si="137"/>
        <v>0</v>
      </c>
      <c r="DS33" s="63">
        <f t="shared" si="137"/>
        <v>0</v>
      </c>
      <c r="DT33" s="63">
        <f t="shared" si="137"/>
        <v>0</v>
      </c>
      <c r="DU33" s="66">
        <f>SUM(DN33:DT33)</f>
        <v>0</v>
      </c>
      <c r="DV33" s="60"/>
    </row>
    <row r="34" spans="1:126" ht="15">
      <c r="A34" s="61"/>
      <c r="B34" s="67" t="s">
        <v>195</v>
      </c>
      <c r="C34" s="60"/>
      <c r="D34" s="60"/>
      <c r="E34" s="60"/>
      <c r="F34" s="60"/>
      <c r="G34" s="60"/>
      <c r="H34" s="60"/>
      <c r="I34" s="60"/>
      <c r="J34" s="60"/>
      <c r="K34" s="68">
        <f t="shared" si="114"/>
        <v>0</v>
      </c>
      <c r="L34" s="69">
        <f t="shared" si="1"/>
        <v>0</v>
      </c>
      <c r="M34" s="60"/>
      <c r="N34" s="60"/>
      <c r="O34" s="60"/>
      <c r="P34" s="60"/>
      <c r="Q34" s="60"/>
      <c r="R34" s="60"/>
      <c r="S34" s="60"/>
      <c r="T34" s="70">
        <f>SUM(M34:S34)</f>
        <v>0</v>
      </c>
      <c r="U34" s="60"/>
      <c r="V34" s="46"/>
      <c r="W34" s="67" t="s">
        <v>195</v>
      </c>
      <c r="X34" s="60"/>
      <c r="Y34" s="60"/>
      <c r="Z34" s="60"/>
      <c r="AA34" s="60"/>
      <c r="AB34" s="60"/>
      <c r="AC34" s="60"/>
      <c r="AD34" s="60"/>
      <c r="AE34" s="60"/>
      <c r="AF34" s="68">
        <f t="shared" si="116"/>
        <v>0</v>
      </c>
      <c r="AG34" s="69">
        <f t="shared" si="4"/>
        <v>0</v>
      </c>
      <c r="AH34" s="60"/>
      <c r="AI34" s="60"/>
      <c r="AJ34" s="60"/>
      <c r="AK34" s="60"/>
      <c r="AL34" s="60"/>
      <c r="AM34" s="60"/>
      <c r="AN34" s="60"/>
      <c r="AO34" s="70">
        <f>SUM(AH34:AN34)</f>
        <v>0</v>
      </c>
      <c r="AP34" s="60"/>
      <c r="AR34" s="67" t="s">
        <v>195</v>
      </c>
      <c r="AS34" s="60"/>
      <c r="AT34" s="60"/>
      <c r="AU34" s="60"/>
      <c r="AV34" s="60"/>
      <c r="AW34" s="60"/>
      <c r="AX34" s="60"/>
      <c r="AY34" s="60"/>
      <c r="AZ34" s="60"/>
      <c r="BA34" s="68">
        <f t="shared" si="118"/>
        <v>0</v>
      </c>
      <c r="BB34" s="69">
        <f t="shared" si="7"/>
        <v>0</v>
      </c>
      <c r="BC34" s="60"/>
      <c r="BD34" s="60"/>
      <c r="BE34" s="60"/>
      <c r="BF34" s="60"/>
      <c r="BG34" s="60"/>
      <c r="BH34" s="60"/>
      <c r="BI34" s="60"/>
      <c r="BJ34" s="70">
        <f>SUM(BC34:BI34)</f>
        <v>0</v>
      </c>
      <c r="BK34" s="60"/>
      <c r="BM34" s="67" t="s">
        <v>195</v>
      </c>
      <c r="BN34" s="60"/>
      <c r="BO34" s="60"/>
      <c r="BP34" s="60"/>
      <c r="BQ34" s="60"/>
      <c r="BR34" s="60"/>
      <c r="BS34" s="60"/>
      <c r="BT34" s="60"/>
      <c r="BU34" s="60"/>
      <c r="BV34" s="68">
        <f t="shared" si="120"/>
        <v>0</v>
      </c>
      <c r="BW34" s="69">
        <f t="shared" si="10"/>
        <v>0</v>
      </c>
      <c r="BX34" s="60"/>
      <c r="BY34" s="60"/>
      <c r="BZ34" s="60"/>
      <c r="CA34" s="60"/>
      <c r="CB34" s="60"/>
      <c r="CC34" s="60"/>
      <c r="CD34" s="60"/>
      <c r="CE34" s="70">
        <f>SUM(BX34:CD34)</f>
        <v>0</v>
      </c>
      <c r="CF34" s="60"/>
      <c r="CH34" s="67" t="s">
        <v>195</v>
      </c>
      <c r="CI34" s="60"/>
      <c r="CJ34" s="60"/>
      <c r="CK34" s="60"/>
      <c r="CL34" s="60"/>
      <c r="CM34" s="60"/>
      <c r="CN34" s="60"/>
      <c r="CO34" s="60"/>
      <c r="CP34" s="60"/>
      <c r="CQ34" s="68">
        <f t="shared" si="122"/>
        <v>0</v>
      </c>
      <c r="CR34" s="69">
        <f t="shared" si="13"/>
        <v>0</v>
      </c>
      <c r="CS34" s="60"/>
      <c r="CT34" s="60"/>
      <c r="CU34" s="60"/>
      <c r="CV34" s="60"/>
      <c r="CW34" s="60"/>
      <c r="CX34" s="60"/>
      <c r="CY34" s="60"/>
      <c r="CZ34" s="70">
        <f>SUM(CS34:CY34)</f>
        <v>0</v>
      </c>
      <c r="DA34" s="60"/>
      <c r="DC34" s="67" t="s">
        <v>195</v>
      </c>
      <c r="DD34" s="60"/>
      <c r="DE34" s="60"/>
      <c r="DF34" s="60"/>
      <c r="DG34" s="60"/>
      <c r="DH34" s="60"/>
      <c r="DI34" s="60"/>
      <c r="DJ34" s="60"/>
      <c r="DK34" s="60"/>
      <c r="DL34" s="68">
        <f t="shared" si="124"/>
        <v>0</v>
      </c>
      <c r="DM34" s="69">
        <f t="shared" si="16"/>
        <v>0</v>
      </c>
      <c r="DN34" s="60"/>
      <c r="DO34" s="60"/>
      <c r="DP34" s="60"/>
      <c r="DQ34" s="60"/>
      <c r="DR34" s="60"/>
      <c r="DS34" s="60"/>
      <c r="DT34" s="60"/>
      <c r="DU34" s="70">
        <f>SUM(DN34:DT34)</f>
        <v>0</v>
      </c>
      <c r="DV34" s="60"/>
    </row>
    <row r="35" spans="1:126" ht="15">
      <c r="A35" s="61"/>
      <c r="B35" s="71" t="s">
        <v>52</v>
      </c>
      <c r="C35" s="63">
        <f t="shared" ref="C35:J35" si="138">SUM(C36:C37)</f>
        <v>0</v>
      </c>
      <c r="D35" s="63">
        <f t="shared" si="138"/>
        <v>0</v>
      </c>
      <c r="E35" s="63">
        <f>SUM(E36:E37)</f>
        <v>0</v>
      </c>
      <c r="F35" s="63">
        <f t="shared" si="138"/>
        <v>0</v>
      </c>
      <c r="G35" s="63">
        <f t="shared" si="138"/>
        <v>0</v>
      </c>
      <c r="H35" s="63">
        <f t="shared" si="138"/>
        <v>0</v>
      </c>
      <c r="I35" s="63">
        <f t="shared" si="138"/>
        <v>0</v>
      </c>
      <c r="J35" s="63">
        <f t="shared" si="138"/>
        <v>0</v>
      </c>
      <c r="K35" s="64">
        <f t="shared" si="114"/>
        <v>0</v>
      </c>
      <c r="L35" s="65">
        <f t="shared" si="1"/>
        <v>0</v>
      </c>
      <c r="M35" s="63">
        <f>SUM(M36:M37)</f>
        <v>0</v>
      </c>
      <c r="N35" s="63">
        <f t="shared" ref="N35:S35" si="139">SUM(N36:N37)</f>
        <v>0</v>
      </c>
      <c r="O35" s="63">
        <f t="shared" si="139"/>
        <v>0</v>
      </c>
      <c r="P35" s="63">
        <f t="shared" si="139"/>
        <v>0</v>
      </c>
      <c r="Q35" s="63">
        <f t="shared" si="139"/>
        <v>0</v>
      </c>
      <c r="R35" s="63">
        <f t="shared" si="139"/>
        <v>0</v>
      </c>
      <c r="S35" s="63">
        <f t="shared" si="139"/>
        <v>0</v>
      </c>
      <c r="T35" s="66">
        <f>SUM(M35:S35)</f>
        <v>0</v>
      </c>
      <c r="U35" s="60"/>
      <c r="V35" s="46"/>
      <c r="W35" s="71" t="s">
        <v>52</v>
      </c>
      <c r="X35" s="63">
        <f t="shared" ref="X35:AE35" si="140">SUM(X36:X37)</f>
        <v>0</v>
      </c>
      <c r="Y35" s="63">
        <f t="shared" si="140"/>
        <v>0</v>
      </c>
      <c r="Z35" s="63">
        <f>SUM(Z36:Z37)</f>
        <v>0</v>
      </c>
      <c r="AA35" s="63">
        <f t="shared" si="140"/>
        <v>0</v>
      </c>
      <c r="AB35" s="63">
        <f t="shared" si="140"/>
        <v>0</v>
      </c>
      <c r="AC35" s="63">
        <f t="shared" si="140"/>
        <v>0</v>
      </c>
      <c r="AD35" s="63">
        <f t="shared" si="140"/>
        <v>0</v>
      </c>
      <c r="AE35" s="63">
        <f t="shared" si="140"/>
        <v>0</v>
      </c>
      <c r="AF35" s="64">
        <f t="shared" si="116"/>
        <v>0</v>
      </c>
      <c r="AG35" s="65">
        <f t="shared" si="4"/>
        <v>0</v>
      </c>
      <c r="AH35" s="63">
        <f>SUM(AH36:AH37)</f>
        <v>0</v>
      </c>
      <c r="AI35" s="63">
        <f t="shared" ref="AI35:AN35" si="141">SUM(AI36:AI37)</f>
        <v>0</v>
      </c>
      <c r="AJ35" s="63">
        <f t="shared" si="141"/>
        <v>0</v>
      </c>
      <c r="AK35" s="63">
        <f t="shared" si="141"/>
        <v>0</v>
      </c>
      <c r="AL35" s="63">
        <f t="shared" si="141"/>
        <v>0</v>
      </c>
      <c r="AM35" s="63">
        <f t="shared" si="141"/>
        <v>0</v>
      </c>
      <c r="AN35" s="63">
        <f t="shared" si="141"/>
        <v>0</v>
      </c>
      <c r="AO35" s="66">
        <f>SUM(AH35:AN35)</f>
        <v>0</v>
      </c>
      <c r="AP35" s="60"/>
      <c r="AR35" s="71" t="s">
        <v>52</v>
      </c>
      <c r="AS35" s="63">
        <f t="shared" ref="AS35:AZ35" si="142">SUM(AS36:AS37)</f>
        <v>0</v>
      </c>
      <c r="AT35" s="63">
        <f t="shared" si="142"/>
        <v>0</v>
      </c>
      <c r="AU35" s="63">
        <f>SUM(AU36:AU37)</f>
        <v>0</v>
      </c>
      <c r="AV35" s="63">
        <f t="shared" si="142"/>
        <v>0</v>
      </c>
      <c r="AW35" s="63">
        <f t="shared" si="142"/>
        <v>0</v>
      </c>
      <c r="AX35" s="63">
        <f t="shared" si="142"/>
        <v>0</v>
      </c>
      <c r="AY35" s="63">
        <f t="shared" si="142"/>
        <v>0</v>
      </c>
      <c r="AZ35" s="63">
        <f t="shared" si="142"/>
        <v>0</v>
      </c>
      <c r="BA35" s="64">
        <f t="shared" si="118"/>
        <v>0</v>
      </c>
      <c r="BB35" s="65">
        <f t="shared" si="7"/>
        <v>0</v>
      </c>
      <c r="BC35" s="63">
        <f>SUM(BC36:BC37)</f>
        <v>0</v>
      </c>
      <c r="BD35" s="63">
        <f t="shared" ref="BD35:BI35" si="143">SUM(BD36:BD37)</f>
        <v>0</v>
      </c>
      <c r="BE35" s="63">
        <f t="shared" si="143"/>
        <v>0</v>
      </c>
      <c r="BF35" s="63">
        <f t="shared" si="143"/>
        <v>0</v>
      </c>
      <c r="BG35" s="63">
        <f t="shared" si="143"/>
        <v>0</v>
      </c>
      <c r="BH35" s="63">
        <f t="shared" si="143"/>
        <v>0</v>
      </c>
      <c r="BI35" s="63">
        <f t="shared" si="143"/>
        <v>0</v>
      </c>
      <c r="BJ35" s="66">
        <f>SUM(BC35:BI35)</f>
        <v>0</v>
      </c>
      <c r="BK35" s="60"/>
      <c r="BM35" s="71" t="s">
        <v>52</v>
      </c>
      <c r="BN35" s="63">
        <f t="shared" ref="BN35:BU35" si="144">SUM(BN36:BN37)</f>
        <v>0</v>
      </c>
      <c r="BO35" s="63">
        <f t="shared" si="144"/>
        <v>0</v>
      </c>
      <c r="BP35" s="63">
        <f>SUM(BP36:BP37)</f>
        <v>0</v>
      </c>
      <c r="BQ35" s="63">
        <f t="shared" si="144"/>
        <v>0</v>
      </c>
      <c r="BR35" s="63">
        <f t="shared" si="144"/>
        <v>0</v>
      </c>
      <c r="BS35" s="63">
        <f t="shared" si="144"/>
        <v>0</v>
      </c>
      <c r="BT35" s="63">
        <f t="shared" si="144"/>
        <v>0</v>
      </c>
      <c r="BU35" s="63">
        <f t="shared" si="144"/>
        <v>0</v>
      </c>
      <c r="BV35" s="64">
        <f t="shared" si="120"/>
        <v>0</v>
      </c>
      <c r="BW35" s="65">
        <f t="shared" si="10"/>
        <v>0</v>
      </c>
      <c r="BX35" s="63">
        <f>SUM(BX36:BX37)</f>
        <v>0</v>
      </c>
      <c r="BY35" s="63">
        <f t="shared" ref="BY35:CD35" si="145">SUM(BY36:BY37)</f>
        <v>0</v>
      </c>
      <c r="BZ35" s="63">
        <f t="shared" si="145"/>
        <v>0</v>
      </c>
      <c r="CA35" s="63">
        <f t="shared" si="145"/>
        <v>0</v>
      </c>
      <c r="CB35" s="63">
        <f t="shared" si="145"/>
        <v>0</v>
      </c>
      <c r="CC35" s="63">
        <f t="shared" si="145"/>
        <v>0</v>
      </c>
      <c r="CD35" s="63">
        <f t="shared" si="145"/>
        <v>0</v>
      </c>
      <c r="CE35" s="66">
        <f>SUM(BX35:CD35)</f>
        <v>0</v>
      </c>
      <c r="CF35" s="60"/>
      <c r="CH35" s="71" t="s">
        <v>52</v>
      </c>
      <c r="CI35" s="63">
        <f t="shared" ref="CI35:CP35" si="146">SUM(CI36:CI37)</f>
        <v>0</v>
      </c>
      <c r="CJ35" s="63">
        <f t="shared" si="146"/>
        <v>0</v>
      </c>
      <c r="CK35" s="63">
        <f>SUM(CK36:CK37)</f>
        <v>0</v>
      </c>
      <c r="CL35" s="63">
        <f t="shared" si="146"/>
        <v>0</v>
      </c>
      <c r="CM35" s="63">
        <f t="shared" si="146"/>
        <v>0</v>
      </c>
      <c r="CN35" s="63">
        <f t="shared" si="146"/>
        <v>0</v>
      </c>
      <c r="CO35" s="63">
        <f t="shared" si="146"/>
        <v>0</v>
      </c>
      <c r="CP35" s="63">
        <f t="shared" si="146"/>
        <v>0</v>
      </c>
      <c r="CQ35" s="64">
        <f t="shared" si="122"/>
        <v>0</v>
      </c>
      <c r="CR35" s="65">
        <f t="shared" si="13"/>
        <v>0</v>
      </c>
      <c r="CS35" s="63">
        <f>SUM(CS36:CS37)</f>
        <v>0</v>
      </c>
      <c r="CT35" s="63">
        <f t="shared" ref="CT35:CY35" si="147">SUM(CT36:CT37)</f>
        <v>0</v>
      </c>
      <c r="CU35" s="63">
        <f t="shared" si="147"/>
        <v>0</v>
      </c>
      <c r="CV35" s="63">
        <f t="shared" si="147"/>
        <v>0</v>
      </c>
      <c r="CW35" s="63">
        <f t="shared" si="147"/>
        <v>0</v>
      </c>
      <c r="CX35" s="63">
        <f t="shared" si="147"/>
        <v>0</v>
      </c>
      <c r="CY35" s="63">
        <f t="shared" si="147"/>
        <v>0</v>
      </c>
      <c r="CZ35" s="66">
        <f>SUM(CS35:CY35)</f>
        <v>0</v>
      </c>
      <c r="DA35" s="60"/>
      <c r="DC35" s="71" t="s">
        <v>52</v>
      </c>
      <c r="DD35" s="63">
        <f t="shared" ref="DD35:DK35" si="148">SUM(DD36:DD37)</f>
        <v>0</v>
      </c>
      <c r="DE35" s="63">
        <f t="shared" si="148"/>
        <v>0</v>
      </c>
      <c r="DF35" s="63">
        <f>SUM(DF36:DF37)</f>
        <v>0</v>
      </c>
      <c r="DG35" s="63">
        <f t="shared" si="148"/>
        <v>0</v>
      </c>
      <c r="DH35" s="63">
        <f t="shared" si="148"/>
        <v>0</v>
      </c>
      <c r="DI35" s="63">
        <f t="shared" si="148"/>
        <v>0</v>
      </c>
      <c r="DJ35" s="63">
        <f t="shared" si="148"/>
        <v>0</v>
      </c>
      <c r="DK35" s="63">
        <f t="shared" si="148"/>
        <v>0</v>
      </c>
      <c r="DL35" s="64">
        <f t="shared" si="124"/>
        <v>0</v>
      </c>
      <c r="DM35" s="65">
        <f t="shared" si="16"/>
        <v>0</v>
      </c>
      <c r="DN35" s="63">
        <f>SUM(DN36:DN37)</f>
        <v>0</v>
      </c>
      <c r="DO35" s="63">
        <f t="shared" ref="DO35:DT35" si="149">SUM(DO36:DO37)</f>
        <v>0</v>
      </c>
      <c r="DP35" s="63">
        <f t="shared" si="149"/>
        <v>0</v>
      </c>
      <c r="DQ35" s="63">
        <f t="shared" si="149"/>
        <v>0</v>
      </c>
      <c r="DR35" s="63">
        <f t="shared" si="149"/>
        <v>0</v>
      </c>
      <c r="DS35" s="63">
        <f t="shared" si="149"/>
        <v>0</v>
      </c>
      <c r="DT35" s="63">
        <f t="shared" si="149"/>
        <v>0</v>
      </c>
      <c r="DU35" s="66">
        <f>SUM(DN35:DT35)</f>
        <v>0</v>
      </c>
      <c r="DV35" s="60"/>
    </row>
    <row r="36" spans="1:126" ht="28.5">
      <c r="A36" s="61"/>
      <c r="B36" s="67" t="s">
        <v>196</v>
      </c>
      <c r="C36" s="60"/>
      <c r="D36" s="60"/>
      <c r="E36" s="60"/>
      <c r="F36" s="60"/>
      <c r="G36" s="60"/>
      <c r="H36" s="60"/>
      <c r="I36" s="60"/>
      <c r="J36" s="60"/>
      <c r="K36" s="68">
        <f t="shared" si="114"/>
        <v>0</v>
      </c>
      <c r="L36" s="69">
        <f t="shared" si="1"/>
        <v>0</v>
      </c>
      <c r="M36" s="60"/>
      <c r="N36" s="60"/>
      <c r="O36" s="60"/>
      <c r="P36" s="60"/>
      <c r="Q36" s="60"/>
      <c r="R36" s="60"/>
      <c r="S36" s="60"/>
      <c r="T36" s="70">
        <f t="shared" ref="T36:T37" si="150">SUM(M36:S36)</f>
        <v>0</v>
      </c>
      <c r="U36" s="60"/>
      <c r="V36" s="46"/>
      <c r="W36" s="67" t="s">
        <v>196</v>
      </c>
      <c r="X36" s="60"/>
      <c r="Y36" s="60"/>
      <c r="Z36" s="60"/>
      <c r="AA36" s="60"/>
      <c r="AB36" s="60"/>
      <c r="AC36" s="60"/>
      <c r="AD36" s="60"/>
      <c r="AE36" s="60"/>
      <c r="AF36" s="68">
        <f t="shared" si="116"/>
        <v>0</v>
      </c>
      <c r="AG36" s="69">
        <f t="shared" si="4"/>
        <v>0</v>
      </c>
      <c r="AH36" s="60"/>
      <c r="AI36" s="60"/>
      <c r="AJ36" s="60"/>
      <c r="AK36" s="60"/>
      <c r="AL36" s="60"/>
      <c r="AM36" s="60"/>
      <c r="AN36" s="60"/>
      <c r="AO36" s="70">
        <f t="shared" ref="AO36:AO37" si="151">SUM(AH36:AN36)</f>
        <v>0</v>
      </c>
      <c r="AP36" s="60"/>
      <c r="AR36" s="67" t="s">
        <v>196</v>
      </c>
      <c r="AS36" s="60"/>
      <c r="AT36" s="60"/>
      <c r="AU36" s="60"/>
      <c r="AV36" s="60"/>
      <c r="AW36" s="60"/>
      <c r="AX36" s="60"/>
      <c r="AY36" s="60"/>
      <c r="AZ36" s="60"/>
      <c r="BA36" s="68">
        <f t="shared" si="118"/>
        <v>0</v>
      </c>
      <c r="BB36" s="69">
        <f t="shared" si="7"/>
        <v>0</v>
      </c>
      <c r="BC36" s="60"/>
      <c r="BD36" s="60"/>
      <c r="BE36" s="60"/>
      <c r="BF36" s="60"/>
      <c r="BG36" s="60"/>
      <c r="BH36" s="60"/>
      <c r="BI36" s="60"/>
      <c r="BJ36" s="70">
        <f t="shared" ref="BJ36:BJ37" si="152">SUM(BC36:BI36)</f>
        <v>0</v>
      </c>
      <c r="BK36" s="60"/>
      <c r="BM36" s="67" t="s">
        <v>196</v>
      </c>
      <c r="BN36" s="60"/>
      <c r="BO36" s="60"/>
      <c r="BP36" s="60"/>
      <c r="BQ36" s="60"/>
      <c r="BR36" s="60"/>
      <c r="BS36" s="60"/>
      <c r="BT36" s="60"/>
      <c r="BU36" s="60"/>
      <c r="BV36" s="68">
        <f t="shared" si="120"/>
        <v>0</v>
      </c>
      <c r="BW36" s="69">
        <f t="shared" si="10"/>
        <v>0</v>
      </c>
      <c r="BX36" s="60"/>
      <c r="BY36" s="60"/>
      <c r="BZ36" s="60"/>
      <c r="CA36" s="60"/>
      <c r="CB36" s="60"/>
      <c r="CC36" s="60"/>
      <c r="CD36" s="60"/>
      <c r="CE36" s="70">
        <f t="shared" ref="CE36:CE37" si="153">SUM(BX36:CD36)</f>
        <v>0</v>
      </c>
      <c r="CF36" s="60"/>
      <c r="CH36" s="67" t="s">
        <v>196</v>
      </c>
      <c r="CI36" s="60"/>
      <c r="CJ36" s="60"/>
      <c r="CK36" s="60"/>
      <c r="CL36" s="60"/>
      <c r="CM36" s="60"/>
      <c r="CN36" s="60"/>
      <c r="CO36" s="60"/>
      <c r="CP36" s="60"/>
      <c r="CQ36" s="68">
        <f t="shared" si="122"/>
        <v>0</v>
      </c>
      <c r="CR36" s="69">
        <f t="shared" si="13"/>
        <v>0</v>
      </c>
      <c r="CS36" s="60"/>
      <c r="CT36" s="60"/>
      <c r="CU36" s="60"/>
      <c r="CV36" s="60"/>
      <c r="CW36" s="60"/>
      <c r="CX36" s="60"/>
      <c r="CY36" s="60"/>
      <c r="CZ36" s="70">
        <f t="shared" ref="CZ36:CZ37" si="154">SUM(CS36:CY36)</f>
        <v>0</v>
      </c>
      <c r="DA36" s="60"/>
      <c r="DC36" s="67" t="s">
        <v>196</v>
      </c>
      <c r="DD36" s="60"/>
      <c r="DE36" s="60"/>
      <c r="DF36" s="60"/>
      <c r="DG36" s="60"/>
      <c r="DH36" s="60"/>
      <c r="DI36" s="60"/>
      <c r="DJ36" s="60"/>
      <c r="DK36" s="60"/>
      <c r="DL36" s="68">
        <f t="shared" si="124"/>
        <v>0</v>
      </c>
      <c r="DM36" s="69">
        <f t="shared" si="16"/>
        <v>0</v>
      </c>
      <c r="DN36" s="60"/>
      <c r="DO36" s="60"/>
      <c r="DP36" s="60"/>
      <c r="DQ36" s="60"/>
      <c r="DR36" s="60"/>
      <c r="DS36" s="60"/>
      <c r="DT36" s="60"/>
      <c r="DU36" s="70">
        <f t="shared" ref="DU36:DU37" si="155">SUM(DN36:DT36)</f>
        <v>0</v>
      </c>
      <c r="DV36" s="60"/>
    </row>
    <row r="37" spans="1:126" ht="15">
      <c r="A37" s="61"/>
      <c r="B37" s="67" t="s">
        <v>197</v>
      </c>
      <c r="C37" s="60"/>
      <c r="D37" s="60"/>
      <c r="E37" s="60"/>
      <c r="F37" s="60"/>
      <c r="G37" s="60"/>
      <c r="H37" s="60"/>
      <c r="I37" s="60"/>
      <c r="J37" s="60"/>
      <c r="K37" s="68">
        <f t="shared" si="114"/>
        <v>0</v>
      </c>
      <c r="L37" s="69">
        <f t="shared" si="1"/>
        <v>0</v>
      </c>
      <c r="M37" s="60"/>
      <c r="N37" s="60"/>
      <c r="O37" s="60"/>
      <c r="P37" s="60"/>
      <c r="Q37" s="60"/>
      <c r="R37" s="60"/>
      <c r="S37" s="60"/>
      <c r="T37" s="70">
        <f t="shared" si="150"/>
        <v>0</v>
      </c>
      <c r="U37" s="60"/>
      <c r="V37" s="46"/>
      <c r="W37" s="67" t="s">
        <v>197</v>
      </c>
      <c r="X37" s="60"/>
      <c r="Y37" s="60"/>
      <c r="Z37" s="60"/>
      <c r="AA37" s="60"/>
      <c r="AB37" s="60"/>
      <c r="AC37" s="60"/>
      <c r="AD37" s="60"/>
      <c r="AE37" s="60"/>
      <c r="AF37" s="68">
        <f t="shared" si="116"/>
        <v>0</v>
      </c>
      <c r="AG37" s="69">
        <f t="shared" si="4"/>
        <v>0</v>
      </c>
      <c r="AH37" s="60"/>
      <c r="AI37" s="60"/>
      <c r="AJ37" s="60"/>
      <c r="AK37" s="60"/>
      <c r="AL37" s="60"/>
      <c r="AM37" s="60"/>
      <c r="AN37" s="60"/>
      <c r="AO37" s="70">
        <f t="shared" si="151"/>
        <v>0</v>
      </c>
      <c r="AP37" s="60"/>
      <c r="AR37" s="67" t="s">
        <v>197</v>
      </c>
      <c r="AS37" s="60"/>
      <c r="AT37" s="60"/>
      <c r="AU37" s="60"/>
      <c r="AV37" s="60"/>
      <c r="AW37" s="60"/>
      <c r="AX37" s="60"/>
      <c r="AY37" s="60"/>
      <c r="AZ37" s="60"/>
      <c r="BA37" s="68">
        <f t="shared" si="118"/>
        <v>0</v>
      </c>
      <c r="BB37" s="69">
        <f t="shared" si="7"/>
        <v>0</v>
      </c>
      <c r="BC37" s="60"/>
      <c r="BD37" s="60"/>
      <c r="BE37" s="60"/>
      <c r="BF37" s="60"/>
      <c r="BG37" s="60"/>
      <c r="BH37" s="60"/>
      <c r="BI37" s="60"/>
      <c r="BJ37" s="70">
        <f t="shared" si="152"/>
        <v>0</v>
      </c>
      <c r="BK37" s="60"/>
      <c r="BM37" s="67" t="s">
        <v>197</v>
      </c>
      <c r="BN37" s="60"/>
      <c r="BO37" s="60"/>
      <c r="BP37" s="60"/>
      <c r="BQ37" s="60"/>
      <c r="BR37" s="60"/>
      <c r="BS37" s="60"/>
      <c r="BT37" s="60"/>
      <c r="BU37" s="60"/>
      <c r="BV37" s="68">
        <f t="shared" si="120"/>
        <v>0</v>
      </c>
      <c r="BW37" s="69">
        <f t="shared" si="10"/>
        <v>0</v>
      </c>
      <c r="BX37" s="60"/>
      <c r="BY37" s="60"/>
      <c r="BZ37" s="60"/>
      <c r="CA37" s="60"/>
      <c r="CB37" s="60"/>
      <c r="CC37" s="60"/>
      <c r="CD37" s="60"/>
      <c r="CE37" s="70">
        <f t="shared" si="153"/>
        <v>0</v>
      </c>
      <c r="CF37" s="60"/>
      <c r="CH37" s="67" t="s">
        <v>197</v>
      </c>
      <c r="CI37" s="60"/>
      <c r="CJ37" s="60"/>
      <c r="CK37" s="60"/>
      <c r="CL37" s="60"/>
      <c r="CM37" s="60"/>
      <c r="CN37" s="60"/>
      <c r="CO37" s="60"/>
      <c r="CP37" s="60"/>
      <c r="CQ37" s="68">
        <f t="shared" si="122"/>
        <v>0</v>
      </c>
      <c r="CR37" s="69">
        <f t="shared" si="13"/>
        <v>0</v>
      </c>
      <c r="CS37" s="60"/>
      <c r="CT37" s="60"/>
      <c r="CU37" s="60"/>
      <c r="CV37" s="60"/>
      <c r="CW37" s="60"/>
      <c r="CX37" s="60"/>
      <c r="CY37" s="60"/>
      <c r="CZ37" s="70">
        <f t="shared" si="154"/>
        <v>0</v>
      </c>
      <c r="DA37" s="60"/>
      <c r="DC37" s="67" t="s">
        <v>197</v>
      </c>
      <c r="DD37" s="60"/>
      <c r="DE37" s="60"/>
      <c r="DF37" s="60"/>
      <c r="DG37" s="60"/>
      <c r="DH37" s="60"/>
      <c r="DI37" s="60"/>
      <c r="DJ37" s="60"/>
      <c r="DK37" s="60"/>
      <c r="DL37" s="68">
        <f t="shared" si="124"/>
        <v>0</v>
      </c>
      <c r="DM37" s="69">
        <f t="shared" si="16"/>
        <v>0</v>
      </c>
      <c r="DN37" s="60"/>
      <c r="DO37" s="60"/>
      <c r="DP37" s="60"/>
      <c r="DQ37" s="60"/>
      <c r="DR37" s="60"/>
      <c r="DS37" s="60"/>
      <c r="DT37" s="60"/>
      <c r="DU37" s="70">
        <f t="shared" si="155"/>
        <v>0</v>
      </c>
      <c r="DV37" s="60"/>
    </row>
    <row r="38" spans="1:126" ht="15">
      <c r="A38" s="61"/>
      <c r="B38" s="71" t="s">
        <v>53</v>
      </c>
      <c r="C38" s="63">
        <f>SUM(C39:C40)</f>
        <v>0</v>
      </c>
      <c r="D38" s="63">
        <f t="shared" ref="D38:J38" si="156">SUM(D39:D40)</f>
        <v>0</v>
      </c>
      <c r="E38" s="63">
        <f t="shared" si="156"/>
        <v>0</v>
      </c>
      <c r="F38" s="63">
        <f t="shared" si="156"/>
        <v>0</v>
      </c>
      <c r="G38" s="63">
        <f t="shared" si="156"/>
        <v>0</v>
      </c>
      <c r="H38" s="63">
        <f t="shared" si="156"/>
        <v>0</v>
      </c>
      <c r="I38" s="63">
        <f t="shared" si="156"/>
        <v>0</v>
      </c>
      <c r="J38" s="63">
        <f t="shared" si="156"/>
        <v>0</v>
      </c>
      <c r="K38" s="64">
        <f t="shared" si="114"/>
        <v>0</v>
      </c>
      <c r="L38" s="65">
        <f t="shared" si="1"/>
        <v>0</v>
      </c>
      <c r="M38" s="63">
        <f>SUM(M39:M40)</f>
        <v>0</v>
      </c>
      <c r="N38" s="63">
        <f>SUM(N39:N40)</f>
        <v>0</v>
      </c>
      <c r="O38" s="63">
        <f t="shared" ref="O38:S38" si="157">SUM(O39:O40)</f>
        <v>0</v>
      </c>
      <c r="P38" s="63">
        <f t="shared" si="157"/>
        <v>0</v>
      </c>
      <c r="Q38" s="63">
        <f t="shared" si="157"/>
        <v>0</v>
      </c>
      <c r="R38" s="63">
        <f t="shared" si="157"/>
        <v>0</v>
      </c>
      <c r="S38" s="63">
        <f t="shared" si="157"/>
        <v>0</v>
      </c>
      <c r="T38" s="66">
        <f>SUM(M38:S38)</f>
        <v>0</v>
      </c>
      <c r="U38" s="60"/>
      <c r="V38" s="46"/>
      <c r="W38" s="71" t="s">
        <v>53</v>
      </c>
      <c r="X38" s="63">
        <f>SUM(X39:X40)</f>
        <v>0</v>
      </c>
      <c r="Y38" s="63">
        <f t="shared" ref="Y38:AE38" si="158">SUM(Y39:Y40)</f>
        <v>0</v>
      </c>
      <c r="Z38" s="63">
        <f t="shared" si="158"/>
        <v>0</v>
      </c>
      <c r="AA38" s="63">
        <f t="shared" si="158"/>
        <v>0</v>
      </c>
      <c r="AB38" s="63">
        <f t="shared" si="158"/>
        <v>0</v>
      </c>
      <c r="AC38" s="63">
        <f t="shared" si="158"/>
        <v>0</v>
      </c>
      <c r="AD38" s="63">
        <f t="shared" si="158"/>
        <v>0</v>
      </c>
      <c r="AE38" s="63">
        <f t="shared" si="158"/>
        <v>0</v>
      </c>
      <c r="AF38" s="64">
        <f t="shared" si="116"/>
        <v>0</v>
      </c>
      <c r="AG38" s="65">
        <f t="shared" si="4"/>
        <v>0</v>
      </c>
      <c r="AH38" s="63">
        <f>SUM(AH39:AH40)</f>
        <v>0</v>
      </c>
      <c r="AI38" s="63">
        <f>SUM(AI39:AI40)</f>
        <v>0</v>
      </c>
      <c r="AJ38" s="63">
        <f t="shared" ref="AJ38:AN38" si="159">SUM(AJ39:AJ40)</f>
        <v>0</v>
      </c>
      <c r="AK38" s="63">
        <f t="shared" si="159"/>
        <v>0</v>
      </c>
      <c r="AL38" s="63">
        <f t="shared" si="159"/>
        <v>0</v>
      </c>
      <c r="AM38" s="63">
        <f t="shared" si="159"/>
        <v>0</v>
      </c>
      <c r="AN38" s="63">
        <f t="shared" si="159"/>
        <v>0</v>
      </c>
      <c r="AO38" s="66">
        <f>SUM(AH38:AN38)</f>
        <v>0</v>
      </c>
      <c r="AP38" s="60"/>
      <c r="AR38" s="71" t="s">
        <v>53</v>
      </c>
      <c r="AS38" s="63">
        <f>SUM(AS39:AS40)</f>
        <v>0</v>
      </c>
      <c r="AT38" s="63">
        <f t="shared" ref="AT38:AZ38" si="160">SUM(AT39:AT40)</f>
        <v>0</v>
      </c>
      <c r="AU38" s="63">
        <f t="shared" si="160"/>
        <v>0</v>
      </c>
      <c r="AV38" s="63">
        <f t="shared" si="160"/>
        <v>0</v>
      </c>
      <c r="AW38" s="63">
        <f t="shared" si="160"/>
        <v>0</v>
      </c>
      <c r="AX38" s="63">
        <f t="shared" si="160"/>
        <v>0</v>
      </c>
      <c r="AY38" s="63">
        <f t="shared" si="160"/>
        <v>0</v>
      </c>
      <c r="AZ38" s="63">
        <f t="shared" si="160"/>
        <v>0</v>
      </c>
      <c r="BA38" s="64">
        <f t="shared" si="118"/>
        <v>0</v>
      </c>
      <c r="BB38" s="65">
        <f t="shared" si="7"/>
        <v>0</v>
      </c>
      <c r="BC38" s="63">
        <f>SUM(BC39:BC40)</f>
        <v>0</v>
      </c>
      <c r="BD38" s="63">
        <f>SUM(BD39:BD40)</f>
        <v>0</v>
      </c>
      <c r="BE38" s="63">
        <f t="shared" ref="BE38:BI38" si="161">SUM(BE39:BE40)</f>
        <v>0</v>
      </c>
      <c r="BF38" s="63">
        <f t="shared" si="161"/>
        <v>0</v>
      </c>
      <c r="BG38" s="63">
        <f t="shared" si="161"/>
        <v>0</v>
      </c>
      <c r="BH38" s="63">
        <f t="shared" si="161"/>
        <v>0</v>
      </c>
      <c r="BI38" s="63">
        <f t="shared" si="161"/>
        <v>0</v>
      </c>
      <c r="BJ38" s="66">
        <f>SUM(BC38:BI38)</f>
        <v>0</v>
      </c>
      <c r="BK38" s="60"/>
      <c r="BM38" s="71" t="s">
        <v>53</v>
      </c>
      <c r="BN38" s="63">
        <f>SUM(BN39:BN40)</f>
        <v>0</v>
      </c>
      <c r="BO38" s="63">
        <f t="shared" ref="BO38:BU38" si="162">SUM(BO39:BO40)</f>
        <v>0</v>
      </c>
      <c r="BP38" s="63">
        <f t="shared" si="162"/>
        <v>0</v>
      </c>
      <c r="BQ38" s="63">
        <f t="shared" si="162"/>
        <v>0</v>
      </c>
      <c r="BR38" s="63">
        <f t="shared" si="162"/>
        <v>0</v>
      </c>
      <c r="BS38" s="63">
        <f t="shared" si="162"/>
        <v>0</v>
      </c>
      <c r="BT38" s="63">
        <f t="shared" si="162"/>
        <v>0</v>
      </c>
      <c r="BU38" s="63">
        <f t="shared" si="162"/>
        <v>0</v>
      </c>
      <c r="BV38" s="64">
        <f t="shared" si="120"/>
        <v>0</v>
      </c>
      <c r="BW38" s="65">
        <f t="shared" si="10"/>
        <v>0</v>
      </c>
      <c r="BX38" s="63">
        <f>SUM(BX39:BX40)</f>
        <v>0</v>
      </c>
      <c r="BY38" s="63">
        <f>SUM(BY39:BY40)</f>
        <v>0</v>
      </c>
      <c r="BZ38" s="63">
        <f t="shared" ref="BZ38:CD38" si="163">SUM(BZ39:BZ40)</f>
        <v>0</v>
      </c>
      <c r="CA38" s="63">
        <f t="shared" si="163"/>
        <v>0</v>
      </c>
      <c r="CB38" s="63">
        <f t="shared" si="163"/>
        <v>0</v>
      </c>
      <c r="CC38" s="63">
        <f t="shared" si="163"/>
        <v>0</v>
      </c>
      <c r="CD38" s="63">
        <f t="shared" si="163"/>
        <v>0</v>
      </c>
      <c r="CE38" s="66">
        <f>SUM(BX38:CD38)</f>
        <v>0</v>
      </c>
      <c r="CF38" s="60"/>
      <c r="CH38" s="71" t="s">
        <v>53</v>
      </c>
      <c r="CI38" s="63">
        <f>SUM(CI39:CI40)</f>
        <v>0</v>
      </c>
      <c r="CJ38" s="63">
        <f t="shared" ref="CJ38:CP38" si="164">SUM(CJ39:CJ40)</f>
        <v>0</v>
      </c>
      <c r="CK38" s="63">
        <f t="shared" si="164"/>
        <v>0</v>
      </c>
      <c r="CL38" s="63">
        <f t="shared" si="164"/>
        <v>0</v>
      </c>
      <c r="CM38" s="63">
        <f t="shared" si="164"/>
        <v>0</v>
      </c>
      <c r="CN38" s="63">
        <f t="shared" si="164"/>
        <v>0</v>
      </c>
      <c r="CO38" s="63">
        <f t="shared" si="164"/>
        <v>0</v>
      </c>
      <c r="CP38" s="63">
        <f t="shared" si="164"/>
        <v>0</v>
      </c>
      <c r="CQ38" s="64">
        <f t="shared" si="122"/>
        <v>0</v>
      </c>
      <c r="CR38" s="65">
        <f t="shared" si="13"/>
        <v>0</v>
      </c>
      <c r="CS38" s="63">
        <f>SUM(CS39:CS40)</f>
        <v>0</v>
      </c>
      <c r="CT38" s="63">
        <f>SUM(CT39:CT40)</f>
        <v>0</v>
      </c>
      <c r="CU38" s="63">
        <f t="shared" ref="CU38:CY38" si="165">SUM(CU39:CU40)</f>
        <v>0</v>
      </c>
      <c r="CV38" s="63">
        <f t="shared" si="165"/>
        <v>0</v>
      </c>
      <c r="CW38" s="63">
        <f t="shared" si="165"/>
        <v>0</v>
      </c>
      <c r="CX38" s="63">
        <f t="shared" si="165"/>
        <v>0</v>
      </c>
      <c r="CY38" s="63">
        <f t="shared" si="165"/>
        <v>0</v>
      </c>
      <c r="CZ38" s="66">
        <f>SUM(CS38:CY38)</f>
        <v>0</v>
      </c>
      <c r="DA38" s="60"/>
      <c r="DC38" s="71" t="s">
        <v>53</v>
      </c>
      <c r="DD38" s="63">
        <f>SUM(DD39:DD40)</f>
        <v>0</v>
      </c>
      <c r="DE38" s="63">
        <f t="shared" ref="DE38:DK38" si="166">SUM(DE39:DE40)</f>
        <v>0</v>
      </c>
      <c r="DF38" s="63">
        <f t="shared" si="166"/>
        <v>0</v>
      </c>
      <c r="DG38" s="63">
        <f t="shared" si="166"/>
        <v>0</v>
      </c>
      <c r="DH38" s="63">
        <f t="shared" si="166"/>
        <v>0</v>
      </c>
      <c r="DI38" s="63">
        <f t="shared" si="166"/>
        <v>0</v>
      </c>
      <c r="DJ38" s="63">
        <f t="shared" si="166"/>
        <v>0</v>
      </c>
      <c r="DK38" s="63">
        <f t="shared" si="166"/>
        <v>0</v>
      </c>
      <c r="DL38" s="64">
        <f t="shared" si="124"/>
        <v>0</v>
      </c>
      <c r="DM38" s="65">
        <f t="shared" si="16"/>
        <v>0</v>
      </c>
      <c r="DN38" s="63">
        <f>SUM(DN39:DN40)</f>
        <v>0</v>
      </c>
      <c r="DO38" s="63">
        <f>SUM(DO39:DO40)</f>
        <v>0</v>
      </c>
      <c r="DP38" s="63">
        <f t="shared" ref="DP38:DT38" si="167">SUM(DP39:DP40)</f>
        <v>0</v>
      </c>
      <c r="DQ38" s="63">
        <f t="shared" si="167"/>
        <v>0</v>
      </c>
      <c r="DR38" s="63">
        <f t="shared" si="167"/>
        <v>0</v>
      </c>
      <c r="DS38" s="63">
        <f t="shared" si="167"/>
        <v>0</v>
      </c>
      <c r="DT38" s="63">
        <f t="shared" si="167"/>
        <v>0</v>
      </c>
      <c r="DU38" s="66">
        <f>SUM(DN38:DT38)</f>
        <v>0</v>
      </c>
      <c r="DV38" s="60"/>
    </row>
    <row r="39" spans="1:126" ht="15">
      <c r="A39" s="61"/>
      <c r="B39" s="67" t="s">
        <v>198</v>
      </c>
      <c r="C39" s="60"/>
      <c r="D39" s="60"/>
      <c r="E39" s="60"/>
      <c r="F39" s="60"/>
      <c r="G39" s="60"/>
      <c r="H39" s="60"/>
      <c r="I39" s="60"/>
      <c r="J39" s="60"/>
      <c r="K39" s="68">
        <f t="shared" si="114"/>
        <v>0</v>
      </c>
      <c r="L39" s="69">
        <f t="shared" si="1"/>
        <v>0</v>
      </c>
      <c r="M39" s="60"/>
      <c r="N39" s="60"/>
      <c r="O39" s="60"/>
      <c r="P39" s="60"/>
      <c r="Q39" s="60"/>
      <c r="R39" s="60"/>
      <c r="S39" s="60"/>
      <c r="T39" s="70">
        <f t="shared" ref="T39:T40" si="168">SUM(M39:S39)</f>
        <v>0</v>
      </c>
      <c r="U39" s="60"/>
      <c r="V39" s="46"/>
      <c r="W39" s="67" t="s">
        <v>198</v>
      </c>
      <c r="X39" s="60"/>
      <c r="Y39" s="60"/>
      <c r="Z39" s="60"/>
      <c r="AA39" s="60"/>
      <c r="AB39" s="60"/>
      <c r="AC39" s="60"/>
      <c r="AD39" s="60"/>
      <c r="AE39" s="60"/>
      <c r="AF39" s="68">
        <f t="shared" si="116"/>
        <v>0</v>
      </c>
      <c r="AG39" s="69">
        <f t="shared" si="4"/>
        <v>0</v>
      </c>
      <c r="AH39" s="60"/>
      <c r="AI39" s="60"/>
      <c r="AJ39" s="60"/>
      <c r="AK39" s="60"/>
      <c r="AL39" s="60"/>
      <c r="AM39" s="60"/>
      <c r="AN39" s="60"/>
      <c r="AO39" s="70">
        <f t="shared" ref="AO39:AO40" si="169">SUM(AH39:AN39)</f>
        <v>0</v>
      </c>
      <c r="AP39" s="60"/>
      <c r="AR39" s="67" t="s">
        <v>198</v>
      </c>
      <c r="AS39" s="60"/>
      <c r="AT39" s="60"/>
      <c r="AU39" s="60"/>
      <c r="AV39" s="60"/>
      <c r="AW39" s="60"/>
      <c r="AX39" s="60"/>
      <c r="AY39" s="60"/>
      <c r="AZ39" s="60"/>
      <c r="BA39" s="68">
        <f t="shared" si="118"/>
        <v>0</v>
      </c>
      <c r="BB39" s="69">
        <f t="shared" si="7"/>
        <v>0</v>
      </c>
      <c r="BC39" s="60"/>
      <c r="BD39" s="60"/>
      <c r="BE39" s="60"/>
      <c r="BF39" s="60"/>
      <c r="BG39" s="60"/>
      <c r="BH39" s="60"/>
      <c r="BI39" s="60"/>
      <c r="BJ39" s="70">
        <f t="shared" ref="BJ39:BJ40" si="170">SUM(BC39:BI39)</f>
        <v>0</v>
      </c>
      <c r="BK39" s="60"/>
      <c r="BM39" s="67" t="s">
        <v>198</v>
      </c>
      <c r="BN39" s="60"/>
      <c r="BO39" s="60"/>
      <c r="BP39" s="60"/>
      <c r="BQ39" s="60"/>
      <c r="BR39" s="60"/>
      <c r="BS39" s="60"/>
      <c r="BT39" s="60"/>
      <c r="BU39" s="60"/>
      <c r="BV39" s="68">
        <f t="shared" si="120"/>
        <v>0</v>
      </c>
      <c r="BW39" s="69">
        <f t="shared" si="10"/>
        <v>0</v>
      </c>
      <c r="BX39" s="60"/>
      <c r="BY39" s="60"/>
      <c r="BZ39" s="60"/>
      <c r="CA39" s="60"/>
      <c r="CB39" s="60"/>
      <c r="CC39" s="60"/>
      <c r="CD39" s="60"/>
      <c r="CE39" s="70">
        <f t="shared" ref="CE39:CE40" si="171">SUM(BX39:CD39)</f>
        <v>0</v>
      </c>
      <c r="CF39" s="60"/>
      <c r="CH39" s="67" t="s">
        <v>198</v>
      </c>
      <c r="CI39" s="60"/>
      <c r="CJ39" s="60"/>
      <c r="CK39" s="60"/>
      <c r="CL39" s="60"/>
      <c r="CM39" s="60"/>
      <c r="CN39" s="60"/>
      <c r="CO39" s="60"/>
      <c r="CP39" s="60"/>
      <c r="CQ39" s="68">
        <f t="shared" si="122"/>
        <v>0</v>
      </c>
      <c r="CR39" s="69">
        <f t="shared" si="13"/>
        <v>0</v>
      </c>
      <c r="CS39" s="60"/>
      <c r="CT39" s="60"/>
      <c r="CU39" s="60"/>
      <c r="CV39" s="60"/>
      <c r="CW39" s="60"/>
      <c r="CX39" s="60"/>
      <c r="CY39" s="60"/>
      <c r="CZ39" s="70">
        <f t="shared" ref="CZ39:CZ40" si="172">SUM(CS39:CY39)</f>
        <v>0</v>
      </c>
      <c r="DA39" s="60"/>
      <c r="DC39" s="67" t="s">
        <v>198</v>
      </c>
      <c r="DD39" s="60"/>
      <c r="DE39" s="60"/>
      <c r="DF39" s="60"/>
      <c r="DG39" s="60"/>
      <c r="DH39" s="60"/>
      <c r="DI39" s="60"/>
      <c r="DJ39" s="60"/>
      <c r="DK39" s="60"/>
      <c r="DL39" s="68">
        <f t="shared" si="124"/>
        <v>0</v>
      </c>
      <c r="DM39" s="69">
        <f t="shared" si="16"/>
        <v>0</v>
      </c>
      <c r="DN39" s="60"/>
      <c r="DO39" s="60"/>
      <c r="DP39" s="60"/>
      <c r="DQ39" s="60"/>
      <c r="DR39" s="60"/>
      <c r="DS39" s="60"/>
      <c r="DT39" s="60"/>
      <c r="DU39" s="70">
        <f t="shared" ref="DU39:DU40" si="173">SUM(DN39:DT39)</f>
        <v>0</v>
      </c>
      <c r="DV39" s="60"/>
    </row>
    <row r="40" spans="1:126" ht="15">
      <c r="A40" s="61"/>
      <c r="B40" s="67" t="s">
        <v>53</v>
      </c>
      <c r="C40" s="60"/>
      <c r="D40" s="60"/>
      <c r="E40" s="60"/>
      <c r="F40" s="60"/>
      <c r="G40" s="60"/>
      <c r="H40" s="60"/>
      <c r="I40" s="60"/>
      <c r="J40" s="60"/>
      <c r="K40" s="68">
        <f t="shared" si="114"/>
        <v>0</v>
      </c>
      <c r="L40" s="69">
        <f t="shared" si="1"/>
        <v>0</v>
      </c>
      <c r="M40" s="60"/>
      <c r="N40" s="60"/>
      <c r="O40" s="60"/>
      <c r="P40" s="60"/>
      <c r="Q40" s="60"/>
      <c r="R40" s="60"/>
      <c r="S40" s="60"/>
      <c r="T40" s="70">
        <f t="shared" si="168"/>
        <v>0</v>
      </c>
      <c r="U40" s="60"/>
      <c r="V40" s="46"/>
      <c r="W40" s="67" t="s">
        <v>53</v>
      </c>
      <c r="X40" s="60"/>
      <c r="Y40" s="60"/>
      <c r="Z40" s="60"/>
      <c r="AA40" s="60"/>
      <c r="AB40" s="60"/>
      <c r="AC40" s="60"/>
      <c r="AD40" s="60"/>
      <c r="AE40" s="60"/>
      <c r="AF40" s="68">
        <f t="shared" si="116"/>
        <v>0</v>
      </c>
      <c r="AG40" s="69">
        <f t="shared" si="4"/>
        <v>0</v>
      </c>
      <c r="AH40" s="60"/>
      <c r="AI40" s="60"/>
      <c r="AJ40" s="60"/>
      <c r="AK40" s="60"/>
      <c r="AL40" s="60"/>
      <c r="AM40" s="60"/>
      <c r="AN40" s="60"/>
      <c r="AO40" s="70">
        <f t="shared" si="169"/>
        <v>0</v>
      </c>
      <c r="AP40" s="60"/>
      <c r="AR40" s="67" t="s">
        <v>53</v>
      </c>
      <c r="AS40" s="60"/>
      <c r="AT40" s="60"/>
      <c r="AU40" s="60"/>
      <c r="AV40" s="60"/>
      <c r="AW40" s="60"/>
      <c r="AX40" s="60"/>
      <c r="AY40" s="60"/>
      <c r="AZ40" s="60"/>
      <c r="BA40" s="68">
        <f t="shared" si="118"/>
        <v>0</v>
      </c>
      <c r="BB40" s="69">
        <f t="shared" si="7"/>
        <v>0</v>
      </c>
      <c r="BC40" s="60"/>
      <c r="BD40" s="60"/>
      <c r="BE40" s="60"/>
      <c r="BF40" s="60"/>
      <c r="BG40" s="60"/>
      <c r="BH40" s="60"/>
      <c r="BI40" s="60"/>
      <c r="BJ40" s="70">
        <f t="shared" si="170"/>
        <v>0</v>
      </c>
      <c r="BK40" s="60"/>
      <c r="BM40" s="67" t="s">
        <v>53</v>
      </c>
      <c r="BN40" s="60"/>
      <c r="BO40" s="60"/>
      <c r="BP40" s="60"/>
      <c r="BQ40" s="60"/>
      <c r="BR40" s="60"/>
      <c r="BS40" s="60"/>
      <c r="BT40" s="60"/>
      <c r="BU40" s="60"/>
      <c r="BV40" s="68">
        <f t="shared" si="120"/>
        <v>0</v>
      </c>
      <c r="BW40" s="69">
        <f t="shared" si="10"/>
        <v>0</v>
      </c>
      <c r="BX40" s="60"/>
      <c r="BY40" s="60"/>
      <c r="BZ40" s="60"/>
      <c r="CA40" s="60"/>
      <c r="CB40" s="60"/>
      <c r="CC40" s="60"/>
      <c r="CD40" s="60"/>
      <c r="CE40" s="70">
        <f t="shared" si="171"/>
        <v>0</v>
      </c>
      <c r="CF40" s="60"/>
      <c r="CH40" s="67" t="s">
        <v>53</v>
      </c>
      <c r="CI40" s="60"/>
      <c r="CJ40" s="60"/>
      <c r="CK40" s="60"/>
      <c r="CL40" s="60"/>
      <c r="CM40" s="60"/>
      <c r="CN40" s="60"/>
      <c r="CO40" s="60"/>
      <c r="CP40" s="60"/>
      <c r="CQ40" s="68">
        <f t="shared" si="122"/>
        <v>0</v>
      </c>
      <c r="CR40" s="69">
        <f t="shared" si="13"/>
        <v>0</v>
      </c>
      <c r="CS40" s="60"/>
      <c r="CT40" s="60"/>
      <c r="CU40" s="60"/>
      <c r="CV40" s="60"/>
      <c r="CW40" s="60"/>
      <c r="CX40" s="60"/>
      <c r="CY40" s="60"/>
      <c r="CZ40" s="70">
        <f t="shared" si="172"/>
        <v>0</v>
      </c>
      <c r="DA40" s="60"/>
      <c r="DC40" s="67" t="s">
        <v>53</v>
      </c>
      <c r="DD40" s="60"/>
      <c r="DE40" s="60"/>
      <c r="DF40" s="60"/>
      <c r="DG40" s="60"/>
      <c r="DH40" s="60"/>
      <c r="DI40" s="60"/>
      <c r="DJ40" s="60"/>
      <c r="DK40" s="60"/>
      <c r="DL40" s="68">
        <f t="shared" si="124"/>
        <v>0</v>
      </c>
      <c r="DM40" s="69">
        <f t="shared" si="16"/>
        <v>0</v>
      </c>
      <c r="DN40" s="60"/>
      <c r="DO40" s="60"/>
      <c r="DP40" s="60"/>
      <c r="DQ40" s="60"/>
      <c r="DR40" s="60"/>
      <c r="DS40" s="60"/>
      <c r="DT40" s="60"/>
      <c r="DU40" s="70">
        <f t="shared" si="173"/>
        <v>0</v>
      </c>
      <c r="DV40" s="60"/>
    </row>
    <row r="41" spans="1:126" ht="15">
      <c r="A41" s="61"/>
      <c r="B41" s="71" t="s">
        <v>54</v>
      </c>
      <c r="C41" s="63">
        <f>C42</f>
        <v>0</v>
      </c>
      <c r="D41" s="63">
        <f t="shared" ref="D41:J41" si="174">D42</f>
        <v>0</v>
      </c>
      <c r="E41" s="63">
        <f t="shared" si="174"/>
        <v>0</v>
      </c>
      <c r="F41" s="63">
        <f t="shared" si="174"/>
        <v>0</v>
      </c>
      <c r="G41" s="63">
        <f t="shared" si="174"/>
        <v>0</v>
      </c>
      <c r="H41" s="63">
        <f t="shared" si="174"/>
        <v>0</v>
      </c>
      <c r="I41" s="63">
        <f t="shared" si="174"/>
        <v>0</v>
      </c>
      <c r="J41" s="63">
        <f t="shared" si="174"/>
        <v>0</v>
      </c>
      <c r="K41" s="64">
        <f t="shared" si="114"/>
        <v>0</v>
      </c>
      <c r="L41" s="65">
        <f t="shared" si="1"/>
        <v>0</v>
      </c>
      <c r="M41" s="63">
        <f>M42</f>
        <v>0</v>
      </c>
      <c r="N41" s="63">
        <f>N42</f>
        <v>0</v>
      </c>
      <c r="O41" s="63">
        <f t="shared" ref="O41:S41" si="175">O42</f>
        <v>0</v>
      </c>
      <c r="P41" s="63">
        <f t="shared" si="175"/>
        <v>0</v>
      </c>
      <c r="Q41" s="63">
        <f t="shared" si="175"/>
        <v>0</v>
      </c>
      <c r="R41" s="63">
        <f t="shared" si="175"/>
        <v>0</v>
      </c>
      <c r="S41" s="63">
        <f t="shared" si="175"/>
        <v>0</v>
      </c>
      <c r="T41" s="66">
        <f>SUM(M41:S41)</f>
        <v>0</v>
      </c>
      <c r="U41" s="60"/>
      <c r="V41" s="46"/>
      <c r="W41" s="71" t="s">
        <v>54</v>
      </c>
      <c r="X41" s="63">
        <f>X42</f>
        <v>0</v>
      </c>
      <c r="Y41" s="63">
        <f t="shared" ref="Y41:AE41" si="176">Y42</f>
        <v>0</v>
      </c>
      <c r="Z41" s="63">
        <f t="shared" si="176"/>
        <v>0</v>
      </c>
      <c r="AA41" s="63">
        <f t="shared" si="176"/>
        <v>0</v>
      </c>
      <c r="AB41" s="63">
        <f t="shared" si="176"/>
        <v>0</v>
      </c>
      <c r="AC41" s="63">
        <f t="shared" si="176"/>
        <v>0</v>
      </c>
      <c r="AD41" s="63">
        <f t="shared" si="176"/>
        <v>0</v>
      </c>
      <c r="AE41" s="63">
        <f t="shared" si="176"/>
        <v>0</v>
      </c>
      <c r="AF41" s="64">
        <f t="shared" si="116"/>
        <v>0</v>
      </c>
      <c r="AG41" s="65">
        <f t="shared" si="4"/>
        <v>0</v>
      </c>
      <c r="AH41" s="63">
        <f>AH42</f>
        <v>0</v>
      </c>
      <c r="AI41" s="63">
        <f>AI42</f>
        <v>0</v>
      </c>
      <c r="AJ41" s="63">
        <f t="shared" ref="AJ41:AN41" si="177">AJ42</f>
        <v>0</v>
      </c>
      <c r="AK41" s="63">
        <f t="shared" si="177"/>
        <v>0</v>
      </c>
      <c r="AL41" s="63">
        <f t="shared" si="177"/>
        <v>0</v>
      </c>
      <c r="AM41" s="63">
        <f t="shared" si="177"/>
        <v>0</v>
      </c>
      <c r="AN41" s="63">
        <f t="shared" si="177"/>
        <v>0</v>
      </c>
      <c r="AO41" s="66">
        <f>SUM(AH41:AN41)</f>
        <v>0</v>
      </c>
      <c r="AP41" s="60"/>
      <c r="AR41" s="71" t="s">
        <v>54</v>
      </c>
      <c r="AS41" s="63">
        <f>AS42</f>
        <v>0</v>
      </c>
      <c r="AT41" s="63">
        <f t="shared" ref="AT41:AZ41" si="178">AT42</f>
        <v>0</v>
      </c>
      <c r="AU41" s="63">
        <f t="shared" si="178"/>
        <v>0</v>
      </c>
      <c r="AV41" s="63">
        <f t="shared" si="178"/>
        <v>0</v>
      </c>
      <c r="AW41" s="63">
        <f t="shared" si="178"/>
        <v>0</v>
      </c>
      <c r="AX41" s="63">
        <f t="shared" si="178"/>
        <v>0</v>
      </c>
      <c r="AY41" s="63">
        <f t="shared" si="178"/>
        <v>0</v>
      </c>
      <c r="AZ41" s="63">
        <f t="shared" si="178"/>
        <v>0</v>
      </c>
      <c r="BA41" s="64">
        <f t="shared" si="118"/>
        <v>0</v>
      </c>
      <c r="BB41" s="65">
        <f t="shared" si="7"/>
        <v>0</v>
      </c>
      <c r="BC41" s="63">
        <f>BC42</f>
        <v>0</v>
      </c>
      <c r="BD41" s="63">
        <f>BD42</f>
        <v>0</v>
      </c>
      <c r="BE41" s="63">
        <f t="shared" ref="BE41:BI41" si="179">BE42</f>
        <v>0</v>
      </c>
      <c r="BF41" s="63">
        <f t="shared" si="179"/>
        <v>0</v>
      </c>
      <c r="BG41" s="63">
        <f t="shared" si="179"/>
        <v>0</v>
      </c>
      <c r="BH41" s="63">
        <f t="shared" si="179"/>
        <v>0</v>
      </c>
      <c r="BI41" s="63">
        <f t="shared" si="179"/>
        <v>0</v>
      </c>
      <c r="BJ41" s="66">
        <f>SUM(BC41:BI41)</f>
        <v>0</v>
      </c>
      <c r="BK41" s="60"/>
      <c r="BM41" s="71" t="s">
        <v>54</v>
      </c>
      <c r="BN41" s="63">
        <f>BN42</f>
        <v>0</v>
      </c>
      <c r="BO41" s="63">
        <f t="shared" ref="BO41:BU41" si="180">BO42</f>
        <v>0</v>
      </c>
      <c r="BP41" s="63">
        <f t="shared" si="180"/>
        <v>0</v>
      </c>
      <c r="BQ41" s="63">
        <f t="shared" si="180"/>
        <v>0</v>
      </c>
      <c r="BR41" s="63">
        <f t="shared" si="180"/>
        <v>0</v>
      </c>
      <c r="BS41" s="63">
        <f t="shared" si="180"/>
        <v>0</v>
      </c>
      <c r="BT41" s="63">
        <f t="shared" si="180"/>
        <v>0</v>
      </c>
      <c r="BU41" s="63">
        <f t="shared" si="180"/>
        <v>0</v>
      </c>
      <c r="BV41" s="64">
        <f t="shared" si="120"/>
        <v>0</v>
      </c>
      <c r="BW41" s="65">
        <f t="shared" si="10"/>
        <v>0</v>
      </c>
      <c r="BX41" s="63">
        <f>BX42</f>
        <v>0</v>
      </c>
      <c r="BY41" s="63">
        <f>BY42</f>
        <v>0</v>
      </c>
      <c r="BZ41" s="63">
        <f t="shared" ref="BZ41:CD41" si="181">BZ42</f>
        <v>0</v>
      </c>
      <c r="CA41" s="63">
        <f t="shared" si="181"/>
        <v>0</v>
      </c>
      <c r="CB41" s="63">
        <f t="shared" si="181"/>
        <v>0</v>
      </c>
      <c r="CC41" s="63">
        <f t="shared" si="181"/>
        <v>0</v>
      </c>
      <c r="CD41" s="63">
        <f t="shared" si="181"/>
        <v>0</v>
      </c>
      <c r="CE41" s="66">
        <f>SUM(BX41:CD41)</f>
        <v>0</v>
      </c>
      <c r="CF41" s="60"/>
      <c r="CH41" s="71" t="s">
        <v>54</v>
      </c>
      <c r="CI41" s="63">
        <f>CI42</f>
        <v>0</v>
      </c>
      <c r="CJ41" s="63">
        <f t="shared" ref="CJ41:CP41" si="182">CJ42</f>
        <v>0</v>
      </c>
      <c r="CK41" s="63">
        <f t="shared" si="182"/>
        <v>0</v>
      </c>
      <c r="CL41" s="63">
        <f t="shared" si="182"/>
        <v>0</v>
      </c>
      <c r="CM41" s="63">
        <f t="shared" si="182"/>
        <v>0</v>
      </c>
      <c r="CN41" s="63">
        <f t="shared" si="182"/>
        <v>0</v>
      </c>
      <c r="CO41" s="63">
        <f t="shared" si="182"/>
        <v>0</v>
      </c>
      <c r="CP41" s="63">
        <f t="shared" si="182"/>
        <v>0</v>
      </c>
      <c r="CQ41" s="64">
        <f t="shared" si="122"/>
        <v>0</v>
      </c>
      <c r="CR41" s="65">
        <f t="shared" si="13"/>
        <v>0</v>
      </c>
      <c r="CS41" s="63">
        <f>CS42</f>
        <v>0</v>
      </c>
      <c r="CT41" s="63">
        <f>CT42</f>
        <v>0</v>
      </c>
      <c r="CU41" s="63">
        <f t="shared" ref="CU41:CY41" si="183">CU42</f>
        <v>0</v>
      </c>
      <c r="CV41" s="63">
        <f t="shared" si="183"/>
        <v>0</v>
      </c>
      <c r="CW41" s="63">
        <f t="shared" si="183"/>
        <v>0</v>
      </c>
      <c r="CX41" s="63">
        <f t="shared" si="183"/>
        <v>0</v>
      </c>
      <c r="CY41" s="63">
        <f t="shared" si="183"/>
        <v>0</v>
      </c>
      <c r="CZ41" s="66">
        <f>SUM(CS41:CY41)</f>
        <v>0</v>
      </c>
      <c r="DA41" s="60"/>
      <c r="DC41" s="71" t="s">
        <v>54</v>
      </c>
      <c r="DD41" s="63">
        <f>DD42</f>
        <v>0</v>
      </c>
      <c r="DE41" s="63">
        <f t="shared" ref="DE41:DK41" si="184">DE42</f>
        <v>0</v>
      </c>
      <c r="DF41" s="63">
        <f t="shared" si="184"/>
        <v>0</v>
      </c>
      <c r="DG41" s="63">
        <f t="shared" si="184"/>
        <v>0</v>
      </c>
      <c r="DH41" s="63">
        <f t="shared" si="184"/>
        <v>0</v>
      </c>
      <c r="DI41" s="63">
        <f t="shared" si="184"/>
        <v>0</v>
      </c>
      <c r="DJ41" s="63">
        <f t="shared" si="184"/>
        <v>0</v>
      </c>
      <c r="DK41" s="63">
        <f t="shared" si="184"/>
        <v>0</v>
      </c>
      <c r="DL41" s="64">
        <f t="shared" si="124"/>
        <v>0</v>
      </c>
      <c r="DM41" s="65">
        <f t="shared" si="16"/>
        <v>0</v>
      </c>
      <c r="DN41" s="63">
        <f>DN42</f>
        <v>0</v>
      </c>
      <c r="DO41" s="63">
        <f>DO42</f>
        <v>0</v>
      </c>
      <c r="DP41" s="63">
        <f t="shared" ref="DP41:DT41" si="185">DP42</f>
        <v>0</v>
      </c>
      <c r="DQ41" s="63">
        <f t="shared" si="185"/>
        <v>0</v>
      </c>
      <c r="DR41" s="63">
        <f t="shared" si="185"/>
        <v>0</v>
      </c>
      <c r="DS41" s="63">
        <f t="shared" si="185"/>
        <v>0</v>
      </c>
      <c r="DT41" s="63">
        <f t="shared" si="185"/>
        <v>0</v>
      </c>
      <c r="DU41" s="66">
        <f>SUM(DN41:DT41)</f>
        <v>0</v>
      </c>
      <c r="DV41" s="60"/>
    </row>
    <row r="42" spans="1:126" ht="15">
      <c r="A42" s="61"/>
      <c r="B42" s="67" t="s">
        <v>199</v>
      </c>
      <c r="C42" s="60"/>
      <c r="D42" s="60"/>
      <c r="E42" s="60"/>
      <c r="F42" s="60"/>
      <c r="G42" s="60"/>
      <c r="H42" s="60"/>
      <c r="I42" s="60"/>
      <c r="J42" s="60"/>
      <c r="K42" s="68">
        <f t="shared" si="114"/>
        <v>0</v>
      </c>
      <c r="L42" s="69">
        <f t="shared" si="1"/>
        <v>0</v>
      </c>
      <c r="M42" s="60"/>
      <c r="N42" s="60"/>
      <c r="O42" s="60"/>
      <c r="P42" s="60"/>
      <c r="Q42" s="60"/>
      <c r="R42" s="60"/>
      <c r="S42" s="60"/>
      <c r="T42" s="70">
        <f>SUM(M42:S42)</f>
        <v>0</v>
      </c>
      <c r="U42" s="60"/>
      <c r="V42" s="46"/>
      <c r="W42" s="67" t="s">
        <v>199</v>
      </c>
      <c r="X42" s="60"/>
      <c r="Y42" s="60"/>
      <c r="Z42" s="60"/>
      <c r="AA42" s="60"/>
      <c r="AB42" s="60"/>
      <c r="AC42" s="60"/>
      <c r="AD42" s="60"/>
      <c r="AE42" s="60"/>
      <c r="AF42" s="68">
        <f t="shared" si="116"/>
        <v>0</v>
      </c>
      <c r="AG42" s="69">
        <f t="shared" si="4"/>
        <v>0</v>
      </c>
      <c r="AH42" s="60"/>
      <c r="AI42" s="60"/>
      <c r="AJ42" s="60"/>
      <c r="AK42" s="60"/>
      <c r="AL42" s="60"/>
      <c r="AM42" s="60"/>
      <c r="AN42" s="60"/>
      <c r="AO42" s="70">
        <f>SUM(AH42:AN42)</f>
        <v>0</v>
      </c>
      <c r="AP42" s="60"/>
      <c r="AR42" s="67" t="s">
        <v>199</v>
      </c>
      <c r="AS42" s="60"/>
      <c r="AT42" s="60"/>
      <c r="AU42" s="60"/>
      <c r="AV42" s="60"/>
      <c r="AW42" s="60"/>
      <c r="AX42" s="60"/>
      <c r="AY42" s="60"/>
      <c r="AZ42" s="60"/>
      <c r="BA42" s="68">
        <f t="shared" si="118"/>
        <v>0</v>
      </c>
      <c r="BB42" s="69">
        <f t="shared" si="7"/>
        <v>0</v>
      </c>
      <c r="BC42" s="60"/>
      <c r="BD42" s="60"/>
      <c r="BE42" s="60"/>
      <c r="BF42" s="60"/>
      <c r="BG42" s="60"/>
      <c r="BH42" s="60"/>
      <c r="BI42" s="60"/>
      <c r="BJ42" s="70">
        <f>SUM(BC42:BI42)</f>
        <v>0</v>
      </c>
      <c r="BK42" s="60"/>
      <c r="BM42" s="67" t="s">
        <v>199</v>
      </c>
      <c r="BN42" s="60"/>
      <c r="BO42" s="60"/>
      <c r="BP42" s="60"/>
      <c r="BQ42" s="60"/>
      <c r="BR42" s="60"/>
      <c r="BS42" s="60"/>
      <c r="BT42" s="60"/>
      <c r="BU42" s="60"/>
      <c r="BV42" s="68">
        <f t="shared" si="120"/>
        <v>0</v>
      </c>
      <c r="BW42" s="69">
        <f t="shared" si="10"/>
        <v>0</v>
      </c>
      <c r="BX42" s="60"/>
      <c r="BY42" s="60"/>
      <c r="BZ42" s="60"/>
      <c r="CA42" s="60"/>
      <c r="CB42" s="60"/>
      <c r="CC42" s="60"/>
      <c r="CD42" s="60"/>
      <c r="CE42" s="70">
        <f>SUM(BX42:CD42)</f>
        <v>0</v>
      </c>
      <c r="CF42" s="60"/>
      <c r="CH42" s="67" t="s">
        <v>199</v>
      </c>
      <c r="CI42" s="60"/>
      <c r="CJ42" s="60"/>
      <c r="CK42" s="60"/>
      <c r="CL42" s="60"/>
      <c r="CM42" s="60"/>
      <c r="CN42" s="60"/>
      <c r="CO42" s="60"/>
      <c r="CP42" s="60"/>
      <c r="CQ42" s="68">
        <f t="shared" si="122"/>
        <v>0</v>
      </c>
      <c r="CR42" s="69">
        <f t="shared" si="13"/>
        <v>0</v>
      </c>
      <c r="CS42" s="60"/>
      <c r="CT42" s="60"/>
      <c r="CU42" s="60"/>
      <c r="CV42" s="60"/>
      <c r="CW42" s="60"/>
      <c r="CX42" s="60"/>
      <c r="CY42" s="60"/>
      <c r="CZ42" s="70">
        <f>SUM(CS42:CY42)</f>
        <v>0</v>
      </c>
      <c r="DA42" s="60"/>
      <c r="DC42" s="67" t="s">
        <v>199</v>
      </c>
      <c r="DD42" s="60"/>
      <c r="DE42" s="60"/>
      <c r="DF42" s="60"/>
      <c r="DG42" s="60"/>
      <c r="DH42" s="60"/>
      <c r="DI42" s="60"/>
      <c r="DJ42" s="60"/>
      <c r="DK42" s="60"/>
      <c r="DL42" s="68">
        <f t="shared" si="124"/>
        <v>0</v>
      </c>
      <c r="DM42" s="69">
        <f t="shared" si="16"/>
        <v>0</v>
      </c>
      <c r="DN42" s="60"/>
      <c r="DO42" s="60"/>
      <c r="DP42" s="60"/>
      <c r="DQ42" s="60"/>
      <c r="DR42" s="60"/>
      <c r="DS42" s="60"/>
      <c r="DT42" s="60"/>
      <c r="DU42" s="70">
        <f>SUM(DN42:DT42)</f>
        <v>0</v>
      </c>
      <c r="DV42" s="60"/>
    </row>
    <row r="43" spans="1:126" ht="15">
      <c r="A43" s="61"/>
      <c r="B43" s="71" t="s">
        <v>55</v>
      </c>
      <c r="C43" s="63">
        <f>C44</f>
        <v>0</v>
      </c>
      <c r="D43" s="63">
        <f>D44</f>
        <v>0</v>
      </c>
      <c r="E43" s="63">
        <f t="shared" ref="E43:J43" si="186">E44</f>
        <v>0</v>
      </c>
      <c r="F43" s="63">
        <f t="shared" si="186"/>
        <v>0</v>
      </c>
      <c r="G43" s="63">
        <f t="shared" si="186"/>
        <v>0</v>
      </c>
      <c r="H43" s="63">
        <f t="shared" si="186"/>
        <v>0</v>
      </c>
      <c r="I43" s="63">
        <f t="shared" si="186"/>
        <v>0</v>
      </c>
      <c r="J43" s="63">
        <f t="shared" si="186"/>
        <v>0</v>
      </c>
      <c r="K43" s="64">
        <f t="shared" si="114"/>
        <v>0</v>
      </c>
      <c r="L43" s="65">
        <f t="shared" si="1"/>
        <v>0</v>
      </c>
      <c r="M43" s="63">
        <f>M44</f>
        <v>0</v>
      </c>
      <c r="N43" s="63">
        <f t="shared" ref="N43:S43" si="187">N44</f>
        <v>0</v>
      </c>
      <c r="O43" s="63">
        <f t="shared" si="187"/>
        <v>0</v>
      </c>
      <c r="P43" s="63">
        <f t="shared" si="187"/>
        <v>0</v>
      </c>
      <c r="Q43" s="63">
        <f t="shared" si="187"/>
        <v>0</v>
      </c>
      <c r="R43" s="63">
        <f t="shared" si="187"/>
        <v>0</v>
      </c>
      <c r="S43" s="63">
        <f t="shared" si="187"/>
        <v>0</v>
      </c>
      <c r="T43" s="66">
        <f>SUM(M43:S43)</f>
        <v>0</v>
      </c>
      <c r="U43" s="60"/>
      <c r="V43" s="46"/>
      <c r="W43" s="71" t="s">
        <v>55</v>
      </c>
      <c r="X43" s="63">
        <f>X44</f>
        <v>0</v>
      </c>
      <c r="Y43" s="63">
        <f>Y44</f>
        <v>0</v>
      </c>
      <c r="Z43" s="63">
        <f t="shared" ref="Z43:AE43" si="188">Z44</f>
        <v>0</v>
      </c>
      <c r="AA43" s="63">
        <f t="shared" si="188"/>
        <v>0</v>
      </c>
      <c r="AB43" s="63">
        <f t="shared" si="188"/>
        <v>0</v>
      </c>
      <c r="AC43" s="63">
        <f t="shared" si="188"/>
        <v>0</v>
      </c>
      <c r="AD43" s="63">
        <f t="shared" si="188"/>
        <v>0</v>
      </c>
      <c r="AE43" s="63">
        <f t="shared" si="188"/>
        <v>0</v>
      </c>
      <c r="AF43" s="64">
        <f t="shared" si="116"/>
        <v>0</v>
      </c>
      <c r="AG43" s="65">
        <f t="shared" si="4"/>
        <v>0</v>
      </c>
      <c r="AH43" s="63">
        <f>AH44</f>
        <v>0</v>
      </c>
      <c r="AI43" s="63">
        <f t="shared" ref="AI43:AN43" si="189">AI44</f>
        <v>0</v>
      </c>
      <c r="AJ43" s="63">
        <f t="shared" si="189"/>
        <v>0</v>
      </c>
      <c r="AK43" s="63">
        <f t="shared" si="189"/>
        <v>0</v>
      </c>
      <c r="AL43" s="63">
        <f t="shared" si="189"/>
        <v>0</v>
      </c>
      <c r="AM43" s="63">
        <f t="shared" si="189"/>
        <v>0</v>
      </c>
      <c r="AN43" s="63">
        <f t="shared" si="189"/>
        <v>0</v>
      </c>
      <c r="AO43" s="66">
        <f>SUM(AH43:AN43)</f>
        <v>0</v>
      </c>
      <c r="AP43" s="60"/>
      <c r="AR43" s="71" t="s">
        <v>55</v>
      </c>
      <c r="AS43" s="63">
        <f>AS44</f>
        <v>0</v>
      </c>
      <c r="AT43" s="63">
        <f>AT44</f>
        <v>0</v>
      </c>
      <c r="AU43" s="63">
        <f t="shared" ref="AU43:AZ43" si="190">AU44</f>
        <v>0</v>
      </c>
      <c r="AV43" s="63">
        <f t="shared" si="190"/>
        <v>0</v>
      </c>
      <c r="AW43" s="63">
        <f t="shared" si="190"/>
        <v>0</v>
      </c>
      <c r="AX43" s="63">
        <f t="shared" si="190"/>
        <v>0</v>
      </c>
      <c r="AY43" s="63">
        <f t="shared" si="190"/>
        <v>0</v>
      </c>
      <c r="AZ43" s="63">
        <f t="shared" si="190"/>
        <v>0</v>
      </c>
      <c r="BA43" s="64">
        <f t="shared" si="118"/>
        <v>0</v>
      </c>
      <c r="BB43" s="65">
        <f t="shared" si="7"/>
        <v>0</v>
      </c>
      <c r="BC43" s="63">
        <f>BC44</f>
        <v>0</v>
      </c>
      <c r="BD43" s="63">
        <f t="shared" ref="BD43:BI43" si="191">BD44</f>
        <v>0</v>
      </c>
      <c r="BE43" s="63">
        <f t="shared" si="191"/>
        <v>0</v>
      </c>
      <c r="BF43" s="63">
        <f t="shared" si="191"/>
        <v>0</v>
      </c>
      <c r="BG43" s="63">
        <f t="shared" si="191"/>
        <v>0</v>
      </c>
      <c r="BH43" s="63">
        <f t="shared" si="191"/>
        <v>0</v>
      </c>
      <c r="BI43" s="63">
        <f t="shared" si="191"/>
        <v>0</v>
      </c>
      <c r="BJ43" s="66">
        <f>SUM(BC43:BI43)</f>
        <v>0</v>
      </c>
      <c r="BK43" s="60"/>
      <c r="BM43" s="71" t="s">
        <v>55</v>
      </c>
      <c r="BN43" s="63">
        <f>BN44</f>
        <v>0</v>
      </c>
      <c r="BO43" s="63">
        <f>BO44</f>
        <v>0</v>
      </c>
      <c r="BP43" s="63">
        <f t="shared" ref="BP43:BU43" si="192">BP44</f>
        <v>0</v>
      </c>
      <c r="BQ43" s="63">
        <f t="shared" si="192"/>
        <v>0</v>
      </c>
      <c r="BR43" s="63">
        <f t="shared" si="192"/>
        <v>0</v>
      </c>
      <c r="BS43" s="63">
        <f t="shared" si="192"/>
        <v>0</v>
      </c>
      <c r="BT43" s="63">
        <f t="shared" si="192"/>
        <v>0</v>
      </c>
      <c r="BU43" s="63">
        <f t="shared" si="192"/>
        <v>0</v>
      </c>
      <c r="BV43" s="64">
        <f t="shared" si="120"/>
        <v>0</v>
      </c>
      <c r="BW43" s="65">
        <f t="shared" si="10"/>
        <v>0</v>
      </c>
      <c r="BX43" s="63">
        <f>BX44</f>
        <v>0</v>
      </c>
      <c r="BY43" s="63">
        <f t="shared" ref="BY43:CD43" si="193">BY44</f>
        <v>0</v>
      </c>
      <c r="BZ43" s="63">
        <f t="shared" si="193"/>
        <v>0</v>
      </c>
      <c r="CA43" s="63">
        <f t="shared" si="193"/>
        <v>0</v>
      </c>
      <c r="CB43" s="63">
        <f t="shared" si="193"/>
        <v>0</v>
      </c>
      <c r="CC43" s="63">
        <f t="shared" si="193"/>
        <v>0</v>
      </c>
      <c r="CD43" s="63">
        <f t="shared" si="193"/>
        <v>0</v>
      </c>
      <c r="CE43" s="66">
        <f>SUM(BX43:CD43)</f>
        <v>0</v>
      </c>
      <c r="CF43" s="60"/>
      <c r="CH43" s="71" t="s">
        <v>55</v>
      </c>
      <c r="CI43" s="63">
        <f>CI44</f>
        <v>0</v>
      </c>
      <c r="CJ43" s="63">
        <f>CJ44</f>
        <v>0</v>
      </c>
      <c r="CK43" s="63">
        <f t="shared" ref="CK43:CP43" si="194">CK44</f>
        <v>0</v>
      </c>
      <c r="CL43" s="63">
        <f t="shared" si="194"/>
        <v>0</v>
      </c>
      <c r="CM43" s="63">
        <f t="shared" si="194"/>
        <v>0</v>
      </c>
      <c r="CN43" s="63">
        <f t="shared" si="194"/>
        <v>0</v>
      </c>
      <c r="CO43" s="63">
        <f t="shared" si="194"/>
        <v>0</v>
      </c>
      <c r="CP43" s="63">
        <f t="shared" si="194"/>
        <v>0</v>
      </c>
      <c r="CQ43" s="64">
        <f t="shared" si="122"/>
        <v>0</v>
      </c>
      <c r="CR43" s="65">
        <f t="shared" si="13"/>
        <v>0</v>
      </c>
      <c r="CS43" s="63">
        <f>CS44</f>
        <v>0</v>
      </c>
      <c r="CT43" s="63">
        <f t="shared" ref="CT43:CY43" si="195">CT44</f>
        <v>0</v>
      </c>
      <c r="CU43" s="63">
        <f t="shared" si="195"/>
        <v>0</v>
      </c>
      <c r="CV43" s="63">
        <f t="shared" si="195"/>
        <v>0</v>
      </c>
      <c r="CW43" s="63">
        <f t="shared" si="195"/>
        <v>0</v>
      </c>
      <c r="CX43" s="63">
        <f t="shared" si="195"/>
        <v>0</v>
      </c>
      <c r="CY43" s="63">
        <f t="shared" si="195"/>
        <v>0</v>
      </c>
      <c r="CZ43" s="66">
        <f>SUM(CS43:CY43)</f>
        <v>0</v>
      </c>
      <c r="DA43" s="60"/>
      <c r="DC43" s="71" t="s">
        <v>55</v>
      </c>
      <c r="DD43" s="63">
        <f>DD44</f>
        <v>0</v>
      </c>
      <c r="DE43" s="63">
        <f>DE44</f>
        <v>0</v>
      </c>
      <c r="DF43" s="63">
        <f t="shared" ref="DF43:DK43" si="196">DF44</f>
        <v>0</v>
      </c>
      <c r="DG43" s="63">
        <f t="shared" si="196"/>
        <v>0</v>
      </c>
      <c r="DH43" s="63">
        <f t="shared" si="196"/>
        <v>0</v>
      </c>
      <c r="DI43" s="63">
        <f t="shared" si="196"/>
        <v>0</v>
      </c>
      <c r="DJ43" s="63">
        <f t="shared" si="196"/>
        <v>0</v>
      </c>
      <c r="DK43" s="63">
        <f t="shared" si="196"/>
        <v>0</v>
      </c>
      <c r="DL43" s="64">
        <f t="shared" si="124"/>
        <v>0</v>
      </c>
      <c r="DM43" s="65">
        <f t="shared" si="16"/>
        <v>0</v>
      </c>
      <c r="DN43" s="63">
        <f>DN44</f>
        <v>0</v>
      </c>
      <c r="DO43" s="63">
        <f t="shared" ref="DO43:DT43" si="197">DO44</f>
        <v>0</v>
      </c>
      <c r="DP43" s="63">
        <f t="shared" si="197"/>
        <v>0</v>
      </c>
      <c r="DQ43" s="63">
        <f t="shared" si="197"/>
        <v>0</v>
      </c>
      <c r="DR43" s="63">
        <f t="shared" si="197"/>
        <v>0</v>
      </c>
      <c r="DS43" s="63">
        <f t="shared" si="197"/>
        <v>0</v>
      </c>
      <c r="DT43" s="63">
        <f t="shared" si="197"/>
        <v>0</v>
      </c>
      <c r="DU43" s="66">
        <f>SUM(DN43:DT43)</f>
        <v>0</v>
      </c>
      <c r="DV43" s="60"/>
    </row>
    <row r="44" spans="1:126" s="80" customFormat="1" ht="15">
      <c r="A44" s="76"/>
      <c r="B44" s="67" t="s">
        <v>55</v>
      </c>
      <c r="C44" s="60"/>
      <c r="D44" s="60"/>
      <c r="E44" s="60"/>
      <c r="F44" s="60"/>
      <c r="G44" s="60"/>
      <c r="H44" s="60"/>
      <c r="I44" s="60"/>
      <c r="J44" s="60"/>
      <c r="K44" s="68">
        <f t="shared" si="114"/>
        <v>0</v>
      </c>
      <c r="L44" s="69">
        <f t="shared" si="1"/>
        <v>0</v>
      </c>
      <c r="M44" s="60"/>
      <c r="N44" s="60"/>
      <c r="O44" s="60"/>
      <c r="P44" s="60"/>
      <c r="Q44" s="60"/>
      <c r="R44" s="60"/>
      <c r="S44" s="60"/>
      <c r="T44" s="70">
        <f>SUM(M44:S44)</f>
        <v>0</v>
      </c>
      <c r="U44" s="60"/>
      <c r="V44" s="79"/>
      <c r="W44" s="67" t="s">
        <v>55</v>
      </c>
      <c r="X44" s="60"/>
      <c r="Y44" s="60"/>
      <c r="Z44" s="60"/>
      <c r="AA44" s="60"/>
      <c r="AB44" s="60"/>
      <c r="AC44" s="60"/>
      <c r="AD44" s="60"/>
      <c r="AE44" s="60"/>
      <c r="AF44" s="68">
        <f t="shared" si="116"/>
        <v>0</v>
      </c>
      <c r="AG44" s="69">
        <f t="shared" si="4"/>
        <v>0</v>
      </c>
      <c r="AH44" s="60"/>
      <c r="AI44" s="60"/>
      <c r="AJ44" s="60"/>
      <c r="AK44" s="60"/>
      <c r="AL44" s="60"/>
      <c r="AM44" s="60"/>
      <c r="AN44" s="60"/>
      <c r="AO44" s="70">
        <f>SUM(AH44:AN44)</f>
        <v>0</v>
      </c>
      <c r="AP44" s="60"/>
      <c r="AR44" s="67" t="s">
        <v>55</v>
      </c>
      <c r="AS44" s="60"/>
      <c r="AT44" s="60"/>
      <c r="AU44" s="60"/>
      <c r="AV44" s="60"/>
      <c r="AW44" s="60"/>
      <c r="AX44" s="60"/>
      <c r="AY44" s="60"/>
      <c r="AZ44" s="60"/>
      <c r="BA44" s="68">
        <f t="shared" si="118"/>
        <v>0</v>
      </c>
      <c r="BB44" s="69">
        <f t="shared" si="7"/>
        <v>0</v>
      </c>
      <c r="BC44" s="60"/>
      <c r="BD44" s="60"/>
      <c r="BE44" s="60"/>
      <c r="BF44" s="60"/>
      <c r="BG44" s="60"/>
      <c r="BH44" s="60"/>
      <c r="BI44" s="60"/>
      <c r="BJ44" s="70">
        <f>SUM(BC44:BI44)</f>
        <v>0</v>
      </c>
      <c r="BK44" s="60"/>
      <c r="BM44" s="67" t="s">
        <v>55</v>
      </c>
      <c r="BN44" s="60"/>
      <c r="BO44" s="60"/>
      <c r="BP44" s="60"/>
      <c r="BQ44" s="60"/>
      <c r="BR44" s="60"/>
      <c r="BS44" s="60"/>
      <c r="BT44" s="60"/>
      <c r="BU44" s="60"/>
      <c r="BV44" s="68">
        <f t="shared" si="120"/>
        <v>0</v>
      </c>
      <c r="BW44" s="69">
        <f t="shared" si="10"/>
        <v>0</v>
      </c>
      <c r="BX44" s="60"/>
      <c r="BY44" s="60"/>
      <c r="BZ44" s="60"/>
      <c r="CA44" s="60"/>
      <c r="CB44" s="60"/>
      <c r="CC44" s="60"/>
      <c r="CD44" s="60"/>
      <c r="CE44" s="70">
        <f>SUM(BX44:CD44)</f>
        <v>0</v>
      </c>
      <c r="CF44" s="60"/>
      <c r="CH44" s="67" t="s">
        <v>55</v>
      </c>
      <c r="CI44" s="60"/>
      <c r="CJ44" s="60"/>
      <c r="CK44" s="60"/>
      <c r="CL44" s="60"/>
      <c r="CM44" s="60"/>
      <c r="CN44" s="60"/>
      <c r="CO44" s="60"/>
      <c r="CP44" s="60"/>
      <c r="CQ44" s="68">
        <f t="shared" si="122"/>
        <v>0</v>
      </c>
      <c r="CR44" s="69">
        <f t="shared" si="13"/>
        <v>0</v>
      </c>
      <c r="CS44" s="60"/>
      <c r="CT44" s="60"/>
      <c r="CU44" s="60"/>
      <c r="CV44" s="60"/>
      <c r="CW44" s="60"/>
      <c r="CX44" s="60"/>
      <c r="CY44" s="60"/>
      <c r="CZ44" s="70">
        <f>SUM(CS44:CY44)</f>
        <v>0</v>
      </c>
      <c r="DA44" s="60"/>
      <c r="DC44" s="67" t="s">
        <v>55</v>
      </c>
      <c r="DD44" s="60"/>
      <c r="DE44" s="60"/>
      <c r="DF44" s="60"/>
      <c r="DG44" s="60"/>
      <c r="DH44" s="60"/>
      <c r="DI44" s="60"/>
      <c r="DJ44" s="60"/>
      <c r="DK44" s="60"/>
      <c r="DL44" s="68">
        <f t="shared" si="124"/>
        <v>0</v>
      </c>
      <c r="DM44" s="69">
        <f t="shared" si="16"/>
        <v>0</v>
      </c>
      <c r="DN44" s="60"/>
      <c r="DO44" s="60"/>
      <c r="DP44" s="60"/>
      <c r="DQ44" s="60"/>
      <c r="DR44" s="60"/>
      <c r="DS44" s="60"/>
      <c r="DT44" s="60"/>
      <c r="DU44" s="70">
        <f>SUM(DN44:DT44)</f>
        <v>0</v>
      </c>
      <c r="DV44" s="60"/>
    </row>
    <row r="45" spans="1:126" s="79" customFormat="1" ht="45">
      <c r="A45" s="81"/>
      <c r="B45" s="71" t="s">
        <v>201</v>
      </c>
      <c r="C45" s="63">
        <f>SUM(C46:C48)</f>
        <v>0</v>
      </c>
      <c r="D45" s="63">
        <f t="shared" ref="D45:J45" si="198">SUM(D46:D48)</f>
        <v>0</v>
      </c>
      <c r="E45" s="63">
        <f t="shared" si="198"/>
        <v>0</v>
      </c>
      <c r="F45" s="63">
        <f t="shared" si="198"/>
        <v>0</v>
      </c>
      <c r="G45" s="63">
        <f t="shared" si="198"/>
        <v>0</v>
      </c>
      <c r="H45" s="63">
        <f t="shared" si="198"/>
        <v>0</v>
      </c>
      <c r="I45" s="63">
        <f t="shared" si="198"/>
        <v>0</v>
      </c>
      <c r="J45" s="63">
        <f t="shared" si="198"/>
        <v>0</v>
      </c>
      <c r="K45" s="64">
        <f>SUM(C45:J45)</f>
        <v>0</v>
      </c>
      <c r="L45" s="65">
        <f>SUMPRODUCT(C45:J45,$C$8:$J$8)</f>
        <v>0</v>
      </c>
      <c r="M45" s="63">
        <f>SUM(M46:M48)</f>
        <v>0</v>
      </c>
      <c r="N45" s="63">
        <f t="shared" ref="N45:S45" si="199">SUM(N46:N48)</f>
        <v>0</v>
      </c>
      <c r="O45" s="63">
        <f t="shared" si="199"/>
        <v>0</v>
      </c>
      <c r="P45" s="63">
        <f t="shared" si="199"/>
        <v>0</v>
      </c>
      <c r="Q45" s="63">
        <f t="shared" si="199"/>
        <v>0</v>
      </c>
      <c r="R45" s="63">
        <f t="shared" si="199"/>
        <v>0</v>
      </c>
      <c r="S45" s="63">
        <f t="shared" si="199"/>
        <v>0</v>
      </c>
      <c r="T45" s="66">
        <f>SUM(M45:S45)</f>
        <v>0</v>
      </c>
      <c r="U45" s="60"/>
      <c r="W45" s="71" t="s">
        <v>201</v>
      </c>
      <c r="X45" s="63">
        <f>SUM(X46:X48)</f>
        <v>0</v>
      </c>
      <c r="Y45" s="63">
        <f t="shared" ref="Y45:AE45" si="200">SUM(Y46:Y48)</f>
        <v>0</v>
      </c>
      <c r="Z45" s="63">
        <f t="shared" si="200"/>
        <v>0</v>
      </c>
      <c r="AA45" s="63">
        <f t="shared" si="200"/>
        <v>0</v>
      </c>
      <c r="AB45" s="63">
        <f t="shared" si="200"/>
        <v>0</v>
      </c>
      <c r="AC45" s="63">
        <f t="shared" si="200"/>
        <v>0</v>
      </c>
      <c r="AD45" s="63">
        <f t="shared" si="200"/>
        <v>0</v>
      </c>
      <c r="AE45" s="63">
        <f t="shared" si="200"/>
        <v>0</v>
      </c>
      <c r="AF45" s="64">
        <f>SUM(X45:AE45)</f>
        <v>0</v>
      </c>
      <c r="AG45" s="65">
        <f>SUMPRODUCT(X45:AE45,$C$8:$J$8)</f>
        <v>0</v>
      </c>
      <c r="AH45" s="63">
        <f>SUM(AH46:AH48)</f>
        <v>0</v>
      </c>
      <c r="AI45" s="63">
        <f t="shared" ref="AI45:AN45" si="201">SUM(AI46:AI48)</f>
        <v>0</v>
      </c>
      <c r="AJ45" s="63">
        <f t="shared" si="201"/>
        <v>0</v>
      </c>
      <c r="AK45" s="63">
        <f t="shared" si="201"/>
        <v>0</v>
      </c>
      <c r="AL45" s="63">
        <f t="shared" si="201"/>
        <v>0</v>
      </c>
      <c r="AM45" s="63">
        <f t="shared" si="201"/>
        <v>0</v>
      </c>
      <c r="AN45" s="63">
        <f t="shared" si="201"/>
        <v>0</v>
      </c>
      <c r="AO45" s="66">
        <f>SUM(AH45:AN45)</f>
        <v>0</v>
      </c>
      <c r="AP45" s="60"/>
      <c r="AR45" s="71" t="s">
        <v>201</v>
      </c>
      <c r="AS45" s="63">
        <f>SUM(AS46:AS48)</f>
        <v>0</v>
      </c>
      <c r="AT45" s="63">
        <f t="shared" ref="AT45:AZ45" si="202">SUM(AT46:AT48)</f>
        <v>0</v>
      </c>
      <c r="AU45" s="63">
        <f t="shared" si="202"/>
        <v>0</v>
      </c>
      <c r="AV45" s="63">
        <f t="shared" si="202"/>
        <v>0</v>
      </c>
      <c r="AW45" s="63">
        <f t="shared" si="202"/>
        <v>0</v>
      </c>
      <c r="AX45" s="63">
        <f t="shared" si="202"/>
        <v>0</v>
      </c>
      <c r="AY45" s="63">
        <f t="shared" si="202"/>
        <v>0</v>
      </c>
      <c r="AZ45" s="63">
        <f t="shared" si="202"/>
        <v>0</v>
      </c>
      <c r="BA45" s="64">
        <f>SUM(AS45:AZ45)</f>
        <v>0</v>
      </c>
      <c r="BB45" s="65">
        <f>SUMPRODUCT(AS45:AZ45,$C$8:$J$8)</f>
        <v>0</v>
      </c>
      <c r="BC45" s="63">
        <f>SUM(BC46:BC48)</f>
        <v>0</v>
      </c>
      <c r="BD45" s="63">
        <f t="shared" ref="BD45:BI45" si="203">SUM(BD46:BD48)</f>
        <v>0</v>
      </c>
      <c r="BE45" s="63">
        <f t="shared" si="203"/>
        <v>0</v>
      </c>
      <c r="BF45" s="63">
        <f t="shared" si="203"/>
        <v>0</v>
      </c>
      <c r="BG45" s="63">
        <f t="shared" si="203"/>
        <v>0</v>
      </c>
      <c r="BH45" s="63">
        <f t="shared" si="203"/>
        <v>0</v>
      </c>
      <c r="BI45" s="63">
        <f t="shared" si="203"/>
        <v>0</v>
      </c>
      <c r="BJ45" s="66">
        <f>SUM(BC45:BI45)</f>
        <v>0</v>
      </c>
      <c r="BK45" s="60"/>
      <c r="BM45" s="71" t="s">
        <v>201</v>
      </c>
      <c r="BN45" s="63">
        <f>SUM(BN46:BN48)</f>
        <v>0</v>
      </c>
      <c r="BO45" s="63">
        <f t="shared" ref="BO45:BU45" si="204">SUM(BO46:BO48)</f>
        <v>0</v>
      </c>
      <c r="BP45" s="63">
        <f t="shared" si="204"/>
        <v>0</v>
      </c>
      <c r="BQ45" s="63">
        <f t="shared" si="204"/>
        <v>0</v>
      </c>
      <c r="BR45" s="63">
        <f t="shared" si="204"/>
        <v>0</v>
      </c>
      <c r="BS45" s="63">
        <f t="shared" si="204"/>
        <v>0</v>
      </c>
      <c r="BT45" s="63">
        <f t="shared" si="204"/>
        <v>0</v>
      </c>
      <c r="BU45" s="63">
        <f t="shared" si="204"/>
        <v>0</v>
      </c>
      <c r="BV45" s="64">
        <f>SUM(BN45:BU45)</f>
        <v>0</v>
      </c>
      <c r="BW45" s="65">
        <f>SUMPRODUCT(BN45:BU45,$C$8:$J$8)</f>
        <v>0</v>
      </c>
      <c r="BX45" s="63">
        <f>SUM(BX46:BX48)</f>
        <v>0</v>
      </c>
      <c r="BY45" s="63">
        <f t="shared" ref="BY45:CD45" si="205">SUM(BY46:BY48)</f>
        <v>0</v>
      </c>
      <c r="BZ45" s="63">
        <f t="shared" si="205"/>
        <v>0</v>
      </c>
      <c r="CA45" s="63">
        <f t="shared" si="205"/>
        <v>0</v>
      </c>
      <c r="CB45" s="63">
        <f t="shared" si="205"/>
        <v>0</v>
      </c>
      <c r="CC45" s="63">
        <f t="shared" si="205"/>
        <v>0</v>
      </c>
      <c r="CD45" s="63">
        <f t="shared" si="205"/>
        <v>0</v>
      </c>
      <c r="CE45" s="66">
        <f>SUM(BX45:CD45)</f>
        <v>0</v>
      </c>
      <c r="CF45" s="60"/>
      <c r="CH45" s="71" t="s">
        <v>201</v>
      </c>
      <c r="CI45" s="63">
        <f>SUM(CI46:CI48)</f>
        <v>0</v>
      </c>
      <c r="CJ45" s="63">
        <f t="shared" ref="CJ45:CP45" si="206">SUM(CJ46:CJ48)</f>
        <v>0</v>
      </c>
      <c r="CK45" s="63">
        <f t="shared" si="206"/>
        <v>0</v>
      </c>
      <c r="CL45" s="63">
        <f t="shared" si="206"/>
        <v>0</v>
      </c>
      <c r="CM45" s="63">
        <f t="shared" si="206"/>
        <v>0</v>
      </c>
      <c r="CN45" s="63">
        <f t="shared" si="206"/>
        <v>0</v>
      </c>
      <c r="CO45" s="63">
        <f t="shared" si="206"/>
        <v>0</v>
      </c>
      <c r="CP45" s="63">
        <f t="shared" si="206"/>
        <v>0</v>
      </c>
      <c r="CQ45" s="64">
        <f>SUM(CI45:CP45)</f>
        <v>0</v>
      </c>
      <c r="CR45" s="65">
        <f>SUMPRODUCT(CI45:CP45,$C$8:$J$8)</f>
        <v>0</v>
      </c>
      <c r="CS45" s="63">
        <f>SUM(CS46:CS48)</f>
        <v>0</v>
      </c>
      <c r="CT45" s="63">
        <f t="shared" ref="CT45:CY45" si="207">SUM(CT46:CT48)</f>
        <v>0</v>
      </c>
      <c r="CU45" s="63">
        <f t="shared" si="207"/>
        <v>0</v>
      </c>
      <c r="CV45" s="63">
        <f t="shared" si="207"/>
        <v>0</v>
      </c>
      <c r="CW45" s="63">
        <f t="shared" si="207"/>
        <v>0</v>
      </c>
      <c r="CX45" s="63">
        <f t="shared" si="207"/>
        <v>0</v>
      </c>
      <c r="CY45" s="63">
        <f t="shared" si="207"/>
        <v>0</v>
      </c>
      <c r="CZ45" s="66">
        <f>SUM(CS45:CY45)</f>
        <v>0</v>
      </c>
      <c r="DA45" s="60"/>
      <c r="DC45" s="71" t="s">
        <v>201</v>
      </c>
      <c r="DD45" s="63">
        <f>SUM(DD46:DD48)</f>
        <v>0</v>
      </c>
      <c r="DE45" s="63">
        <f t="shared" ref="DE45:DK45" si="208">SUM(DE46:DE48)</f>
        <v>0</v>
      </c>
      <c r="DF45" s="63">
        <f t="shared" si="208"/>
        <v>0</v>
      </c>
      <c r="DG45" s="63">
        <f t="shared" si="208"/>
        <v>0</v>
      </c>
      <c r="DH45" s="63">
        <f t="shared" si="208"/>
        <v>0</v>
      </c>
      <c r="DI45" s="63">
        <f t="shared" si="208"/>
        <v>0</v>
      </c>
      <c r="DJ45" s="63">
        <f t="shared" si="208"/>
        <v>0</v>
      </c>
      <c r="DK45" s="63">
        <f t="shared" si="208"/>
        <v>0</v>
      </c>
      <c r="DL45" s="64">
        <f>SUM(DD45:DK45)</f>
        <v>0</v>
      </c>
      <c r="DM45" s="65">
        <f>SUMPRODUCT(DD45:DK45,$C$8:$J$8)</f>
        <v>0</v>
      </c>
      <c r="DN45" s="63">
        <f>SUM(DN46:DN48)</f>
        <v>0</v>
      </c>
      <c r="DO45" s="63">
        <f t="shared" ref="DO45:DT45" si="209">SUM(DO46:DO48)</f>
        <v>0</v>
      </c>
      <c r="DP45" s="63">
        <f t="shared" si="209"/>
        <v>0</v>
      </c>
      <c r="DQ45" s="63">
        <f t="shared" si="209"/>
        <v>0</v>
      </c>
      <c r="DR45" s="63">
        <f t="shared" si="209"/>
        <v>0</v>
      </c>
      <c r="DS45" s="63">
        <f t="shared" si="209"/>
        <v>0</v>
      </c>
      <c r="DT45" s="63">
        <f t="shared" si="209"/>
        <v>0</v>
      </c>
      <c r="DU45" s="66">
        <f>SUM(DN45:DT45)</f>
        <v>0</v>
      </c>
      <c r="DV45" s="60"/>
    </row>
    <row r="46" spans="1:126" ht="15">
      <c r="A46" s="61"/>
      <c r="B46" s="67" t="s">
        <v>296</v>
      </c>
      <c r="C46" s="60"/>
      <c r="D46" s="60"/>
      <c r="E46" s="60"/>
      <c r="F46" s="60"/>
      <c r="G46" s="60"/>
      <c r="H46" s="60"/>
      <c r="I46" s="60"/>
      <c r="J46" s="60"/>
      <c r="K46" s="68">
        <f t="shared" si="114"/>
        <v>0</v>
      </c>
      <c r="L46" s="69">
        <f t="shared" si="1"/>
        <v>0</v>
      </c>
      <c r="M46" s="60"/>
      <c r="N46" s="60"/>
      <c r="O46" s="60"/>
      <c r="P46" s="60"/>
      <c r="Q46" s="60"/>
      <c r="R46" s="60"/>
      <c r="S46" s="60"/>
      <c r="T46" s="70">
        <f t="shared" ref="T46:T48" si="210">SUM(M46:S46)</f>
        <v>0</v>
      </c>
      <c r="U46" s="60"/>
      <c r="V46" s="46"/>
      <c r="W46" s="67" t="s">
        <v>296</v>
      </c>
      <c r="X46" s="60"/>
      <c r="Y46" s="60"/>
      <c r="Z46" s="60"/>
      <c r="AA46" s="60"/>
      <c r="AB46" s="60"/>
      <c r="AC46" s="60"/>
      <c r="AD46" s="60"/>
      <c r="AE46" s="60"/>
      <c r="AF46" s="68">
        <f t="shared" si="116"/>
        <v>0</v>
      </c>
      <c r="AG46" s="69">
        <f t="shared" si="4"/>
        <v>0</v>
      </c>
      <c r="AH46" s="60"/>
      <c r="AI46" s="60"/>
      <c r="AJ46" s="60"/>
      <c r="AK46" s="60"/>
      <c r="AL46" s="60"/>
      <c r="AM46" s="60"/>
      <c r="AN46" s="60"/>
      <c r="AO46" s="70">
        <f t="shared" ref="AO46:AO48" si="211">SUM(AH46:AN46)</f>
        <v>0</v>
      </c>
      <c r="AP46" s="60"/>
      <c r="AR46" s="67" t="s">
        <v>296</v>
      </c>
      <c r="AS46" s="60"/>
      <c r="AT46" s="60"/>
      <c r="AU46" s="60"/>
      <c r="AV46" s="60"/>
      <c r="AW46" s="60"/>
      <c r="AX46" s="60"/>
      <c r="AY46" s="60"/>
      <c r="AZ46" s="60"/>
      <c r="BA46" s="68">
        <f t="shared" si="118"/>
        <v>0</v>
      </c>
      <c r="BB46" s="69">
        <f t="shared" si="7"/>
        <v>0</v>
      </c>
      <c r="BC46" s="60"/>
      <c r="BD46" s="60"/>
      <c r="BE46" s="60"/>
      <c r="BF46" s="60"/>
      <c r="BG46" s="60"/>
      <c r="BH46" s="60"/>
      <c r="BI46" s="60"/>
      <c r="BJ46" s="70">
        <f t="shared" ref="BJ46:BJ48" si="212">SUM(BC46:BI46)</f>
        <v>0</v>
      </c>
      <c r="BK46" s="60"/>
      <c r="BM46" s="67" t="s">
        <v>296</v>
      </c>
      <c r="BN46" s="60"/>
      <c r="BO46" s="60"/>
      <c r="BP46" s="60"/>
      <c r="BQ46" s="60"/>
      <c r="BR46" s="60"/>
      <c r="BS46" s="60"/>
      <c r="BT46" s="60"/>
      <c r="BU46" s="60"/>
      <c r="BV46" s="68">
        <f t="shared" si="120"/>
        <v>0</v>
      </c>
      <c r="BW46" s="69">
        <f t="shared" si="10"/>
        <v>0</v>
      </c>
      <c r="BX46" s="60"/>
      <c r="BY46" s="60"/>
      <c r="BZ46" s="60"/>
      <c r="CA46" s="60"/>
      <c r="CB46" s="60"/>
      <c r="CC46" s="60"/>
      <c r="CD46" s="60"/>
      <c r="CE46" s="70">
        <f t="shared" ref="CE46:CE48" si="213">SUM(BX46:CD46)</f>
        <v>0</v>
      </c>
      <c r="CF46" s="60"/>
      <c r="CH46" s="67" t="s">
        <v>296</v>
      </c>
      <c r="CI46" s="60"/>
      <c r="CJ46" s="60"/>
      <c r="CK46" s="60"/>
      <c r="CL46" s="60"/>
      <c r="CM46" s="60"/>
      <c r="CN46" s="60"/>
      <c r="CO46" s="60"/>
      <c r="CP46" s="60"/>
      <c r="CQ46" s="68">
        <f t="shared" si="122"/>
        <v>0</v>
      </c>
      <c r="CR46" s="69">
        <f t="shared" si="13"/>
        <v>0</v>
      </c>
      <c r="CS46" s="60"/>
      <c r="CT46" s="60"/>
      <c r="CU46" s="60"/>
      <c r="CV46" s="60"/>
      <c r="CW46" s="60"/>
      <c r="CX46" s="60"/>
      <c r="CY46" s="60"/>
      <c r="CZ46" s="70">
        <f t="shared" ref="CZ46:CZ48" si="214">SUM(CS46:CY46)</f>
        <v>0</v>
      </c>
      <c r="DA46" s="60"/>
      <c r="DC46" s="67" t="s">
        <v>296</v>
      </c>
      <c r="DD46" s="60"/>
      <c r="DE46" s="60"/>
      <c r="DF46" s="60"/>
      <c r="DG46" s="60"/>
      <c r="DH46" s="60"/>
      <c r="DI46" s="60"/>
      <c r="DJ46" s="60"/>
      <c r="DK46" s="60"/>
      <c r="DL46" s="68">
        <f t="shared" si="124"/>
        <v>0</v>
      </c>
      <c r="DM46" s="69">
        <f t="shared" si="16"/>
        <v>0</v>
      </c>
      <c r="DN46" s="60"/>
      <c r="DO46" s="60"/>
      <c r="DP46" s="60"/>
      <c r="DQ46" s="60"/>
      <c r="DR46" s="60"/>
      <c r="DS46" s="60"/>
      <c r="DT46" s="60"/>
      <c r="DU46" s="70">
        <f t="shared" ref="DU46:DU48" si="215">SUM(DN46:DT46)</f>
        <v>0</v>
      </c>
      <c r="DV46" s="60"/>
    </row>
    <row r="47" spans="1:126" s="46" customFormat="1" ht="15">
      <c r="A47" s="96"/>
      <c r="B47" s="67" t="s">
        <v>297</v>
      </c>
      <c r="C47" s="60"/>
      <c r="D47" s="60"/>
      <c r="E47" s="60"/>
      <c r="F47" s="60"/>
      <c r="G47" s="60"/>
      <c r="H47" s="60"/>
      <c r="I47" s="60"/>
      <c r="J47" s="60"/>
      <c r="K47" s="68">
        <f t="shared" si="114"/>
        <v>0</v>
      </c>
      <c r="L47" s="69">
        <f t="shared" si="1"/>
        <v>0</v>
      </c>
      <c r="M47" s="60"/>
      <c r="N47" s="60"/>
      <c r="O47" s="60"/>
      <c r="P47" s="60"/>
      <c r="Q47" s="60"/>
      <c r="R47" s="60"/>
      <c r="S47" s="60"/>
      <c r="T47" s="70">
        <f t="shared" si="210"/>
        <v>0</v>
      </c>
      <c r="U47" s="60"/>
      <c r="W47" s="67" t="s">
        <v>297</v>
      </c>
      <c r="X47" s="60"/>
      <c r="Y47" s="60"/>
      <c r="Z47" s="60"/>
      <c r="AA47" s="60"/>
      <c r="AB47" s="60"/>
      <c r="AC47" s="60"/>
      <c r="AD47" s="60"/>
      <c r="AE47" s="60"/>
      <c r="AF47" s="68">
        <f t="shared" si="116"/>
        <v>0</v>
      </c>
      <c r="AG47" s="69">
        <f t="shared" si="4"/>
        <v>0</v>
      </c>
      <c r="AH47" s="60"/>
      <c r="AI47" s="60"/>
      <c r="AJ47" s="60"/>
      <c r="AK47" s="60"/>
      <c r="AL47" s="60"/>
      <c r="AM47" s="60"/>
      <c r="AN47" s="60"/>
      <c r="AO47" s="70">
        <f t="shared" si="211"/>
        <v>0</v>
      </c>
      <c r="AP47" s="60"/>
      <c r="AR47" s="67" t="s">
        <v>297</v>
      </c>
      <c r="AS47" s="60"/>
      <c r="AT47" s="60"/>
      <c r="AU47" s="60"/>
      <c r="AV47" s="60"/>
      <c r="AW47" s="60"/>
      <c r="AX47" s="60"/>
      <c r="AY47" s="60"/>
      <c r="AZ47" s="60"/>
      <c r="BA47" s="68">
        <f t="shared" si="118"/>
        <v>0</v>
      </c>
      <c r="BB47" s="69">
        <f t="shared" si="7"/>
        <v>0</v>
      </c>
      <c r="BC47" s="60"/>
      <c r="BD47" s="60"/>
      <c r="BE47" s="60"/>
      <c r="BF47" s="60"/>
      <c r="BG47" s="60"/>
      <c r="BH47" s="60"/>
      <c r="BI47" s="60"/>
      <c r="BJ47" s="70">
        <f t="shared" si="212"/>
        <v>0</v>
      </c>
      <c r="BK47" s="60"/>
      <c r="BM47" s="67" t="s">
        <v>297</v>
      </c>
      <c r="BN47" s="60"/>
      <c r="BO47" s="60"/>
      <c r="BP47" s="60"/>
      <c r="BQ47" s="60"/>
      <c r="BR47" s="60"/>
      <c r="BS47" s="60"/>
      <c r="BT47" s="60"/>
      <c r="BU47" s="60"/>
      <c r="BV47" s="68">
        <f t="shared" si="120"/>
        <v>0</v>
      </c>
      <c r="BW47" s="69">
        <f t="shared" si="10"/>
        <v>0</v>
      </c>
      <c r="BX47" s="60"/>
      <c r="BY47" s="60"/>
      <c r="BZ47" s="60"/>
      <c r="CA47" s="60"/>
      <c r="CB47" s="60"/>
      <c r="CC47" s="60"/>
      <c r="CD47" s="60"/>
      <c r="CE47" s="70">
        <f t="shared" si="213"/>
        <v>0</v>
      </c>
      <c r="CF47" s="60"/>
      <c r="CH47" s="67" t="s">
        <v>297</v>
      </c>
      <c r="CI47" s="60"/>
      <c r="CJ47" s="60"/>
      <c r="CK47" s="60"/>
      <c r="CL47" s="60"/>
      <c r="CM47" s="60"/>
      <c r="CN47" s="60"/>
      <c r="CO47" s="60"/>
      <c r="CP47" s="60"/>
      <c r="CQ47" s="68">
        <f t="shared" si="122"/>
        <v>0</v>
      </c>
      <c r="CR47" s="69">
        <f t="shared" si="13"/>
        <v>0</v>
      </c>
      <c r="CS47" s="60"/>
      <c r="CT47" s="60"/>
      <c r="CU47" s="60"/>
      <c r="CV47" s="60"/>
      <c r="CW47" s="60"/>
      <c r="CX47" s="60"/>
      <c r="CY47" s="60"/>
      <c r="CZ47" s="70">
        <f t="shared" si="214"/>
        <v>0</v>
      </c>
      <c r="DA47" s="60"/>
      <c r="DC47" s="67" t="s">
        <v>297</v>
      </c>
      <c r="DD47" s="60"/>
      <c r="DE47" s="60"/>
      <c r="DF47" s="60"/>
      <c r="DG47" s="60"/>
      <c r="DH47" s="60"/>
      <c r="DI47" s="60"/>
      <c r="DJ47" s="60"/>
      <c r="DK47" s="60"/>
      <c r="DL47" s="68">
        <f t="shared" si="124"/>
        <v>0</v>
      </c>
      <c r="DM47" s="69">
        <f t="shared" si="16"/>
        <v>0</v>
      </c>
      <c r="DN47" s="60"/>
      <c r="DO47" s="60"/>
      <c r="DP47" s="60"/>
      <c r="DQ47" s="60"/>
      <c r="DR47" s="60"/>
      <c r="DS47" s="60"/>
      <c r="DT47" s="60"/>
      <c r="DU47" s="70">
        <f t="shared" si="215"/>
        <v>0</v>
      </c>
      <c r="DV47" s="60"/>
    </row>
    <row r="48" spans="1:126" s="107" customFormat="1" ht="15">
      <c r="A48" s="103"/>
      <c r="B48" s="67" t="s">
        <v>205</v>
      </c>
      <c r="C48" s="60"/>
      <c r="D48" s="60"/>
      <c r="E48" s="60"/>
      <c r="F48" s="60"/>
      <c r="G48" s="60"/>
      <c r="H48" s="60"/>
      <c r="I48" s="60"/>
      <c r="J48" s="60"/>
      <c r="K48" s="68">
        <f t="shared" si="114"/>
        <v>0</v>
      </c>
      <c r="L48" s="69">
        <f t="shared" si="1"/>
        <v>0</v>
      </c>
      <c r="M48" s="60"/>
      <c r="N48" s="60"/>
      <c r="O48" s="60"/>
      <c r="P48" s="60"/>
      <c r="Q48" s="60"/>
      <c r="R48" s="60"/>
      <c r="S48" s="60"/>
      <c r="T48" s="70">
        <f t="shared" si="210"/>
        <v>0</v>
      </c>
      <c r="U48" s="60"/>
      <c r="V48" s="106"/>
      <c r="W48" s="67" t="s">
        <v>205</v>
      </c>
      <c r="X48" s="60"/>
      <c r="Y48" s="60"/>
      <c r="Z48" s="60"/>
      <c r="AA48" s="60"/>
      <c r="AB48" s="60"/>
      <c r="AC48" s="60"/>
      <c r="AD48" s="60"/>
      <c r="AE48" s="60"/>
      <c r="AF48" s="68">
        <f t="shared" si="116"/>
        <v>0</v>
      </c>
      <c r="AG48" s="69">
        <f t="shared" si="4"/>
        <v>0</v>
      </c>
      <c r="AH48" s="60"/>
      <c r="AI48" s="60"/>
      <c r="AJ48" s="60"/>
      <c r="AK48" s="60"/>
      <c r="AL48" s="60"/>
      <c r="AM48" s="60"/>
      <c r="AN48" s="60"/>
      <c r="AO48" s="70">
        <f t="shared" si="211"/>
        <v>0</v>
      </c>
      <c r="AP48" s="60"/>
      <c r="AR48" s="67" t="s">
        <v>205</v>
      </c>
      <c r="AS48" s="60"/>
      <c r="AT48" s="60"/>
      <c r="AU48" s="60"/>
      <c r="AV48" s="60"/>
      <c r="AW48" s="60"/>
      <c r="AX48" s="60"/>
      <c r="AY48" s="60"/>
      <c r="AZ48" s="60"/>
      <c r="BA48" s="68">
        <f t="shared" si="118"/>
        <v>0</v>
      </c>
      <c r="BB48" s="69">
        <f t="shared" si="7"/>
        <v>0</v>
      </c>
      <c r="BC48" s="60"/>
      <c r="BD48" s="60"/>
      <c r="BE48" s="60"/>
      <c r="BF48" s="60"/>
      <c r="BG48" s="60"/>
      <c r="BH48" s="60"/>
      <c r="BI48" s="60"/>
      <c r="BJ48" s="70">
        <f t="shared" si="212"/>
        <v>0</v>
      </c>
      <c r="BK48" s="60"/>
      <c r="BM48" s="67" t="s">
        <v>205</v>
      </c>
      <c r="BN48" s="60"/>
      <c r="BO48" s="60"/>
      <c r="BP48" s="60"/>
      <c r="BQ48" s="60"/>
      <c r="BR48" s="60"/>
      <c r="BS48" s="60"/>
      <c r="BT48" s="60"/>
      <c r="BU48" s="60"/>
      <c r="BV48" s="68">
        <f t="shared" si="120"/>
        <v>0</v>
      </c>
      <c r="BW48" s="69">
        <f t="shared" si="10"/>
        <v>0</v>
      </c>
      <c r="BX48" s="60"/>
      <c r="BY48" s="60"/>
      <c r="BZ48" s="60"/>
      <c r="CA48" s="60"/>
      <c r="CB48" s="60"/>
      <c r="CC48" s="60"/>
      <c r="CD48" s="60"/>
      <c r="CE48" s="70">
        <f t="shared" si="213"/>
        <v>0</v>
      </c>
      <c r="CF48" s="60"/>
      <c r="CH48" s="67" t="s">
        <v>205</v>
      </c>
      <c r="CI48" s="60"/>
      <c r="CJ48" s="60"/>
      <c r="CK48" s="60"/>
      <c r="CL48" s="60"/>
      <c r="CM48" s="60"/>
      <c r="CN48" s="60"/>
      <c r="CO48" s="60"/>
      <c r="CP48" s="60"/>
      <c r="CQ48" s="68">
        <f t="shared" si="122"/>
        <v>0</v>
      </c>
      <c r="CR48" s="69">
        <f t="shared" si="13"/>
        <v>0</v>
      </c>
      <c r="CS48" s="60"/>
      <c r="CT48" s="60"/>
      <c r="CU48" s="60"/>
      <c r="CV48" s="60"/>
      <c r="CW48" s="60"/>
      <c r="CX48" s="60"/>
      <c r="CY48" s="60"/>
      <c r="CZ48" s="70">
        <f t="shared" si="214"/>
        <v>0</v>
      </c>
      <c r="DA48" s="60"/>
      <c r="DC48" s="67" t="s">
        <v>205</v>
      </c>
      <c r="DD48" s="60"/>
      <c r="DE48" s="60"/>
      <c r="DF48" s="60"/>
      <c r="DG48" s="60"/>
      <c r="DH48" s="60"/>
      <c r="DI48" s="60"/>
      <c r="DJ48" s="60"/>
      <c r="DK48" s="60"/>
      <c r="DL48" s="68">
        <f t="shared" si="124"/>
        <v>0</v>
      </c>
      <c r="DM48" s="69">
        <f t="shared" si="16"/>
        <v>0</v>
      </c>
      <c r="DN48" s="60"/>
      <c r="DO48" s="60"/>
      <c r="DP48" s="60"/>
      <c r="DQ48" s="60"/>
      <c r="DR48" s="60"/>
      <c r="DS48" s="60"/>
      <c r="DT48" s="60"/>
      <c r="DU48" s="70">
        <f t="shared" si="215"/>
        <v>0</v>
      </c>
      <c r="DV48" s="60"/>
    </row>
    <row r="49" spans="1:126" ht="15">
      <c r="A49" s="96"/>
      <c r="B49" s="77" t="s">
        <v>206</v>
      </c>
      <c r="C49" s="23">
        <f>C10+C12+C18+C22+C29+C33+C35+C38+C41+C43+C45</f>
        <v>0</v>
      </c>
      <c r="D49" s="23">
        <f t="shared" ref="D49:J49" si="216">D10+D12+D18+D22+D29+D33+D35+D38+D41+D43+D45</f>
        <v>0</v>
      </c>
      <c r="E49" s="23">
        <f t="shared" si="216"/>
        <v>0</v>
      </c>
      <c r="F49" s="23">
        <f t="shared" si="216"/>
        <v>0</v>
      </c>
      <c r="G49" s="23">
        <f t="shared" si="216"/>
        <v>0</v>
      </c>
      <c r="H49" s="23">
        <f t="shared" si="216"/>
        <v>0</v>
      </c>
      <c r="I49" s="23">
        <f t="shared" si="216"/>
        <v>0</v>
      </c>
      <c r="J49" s="23">
        <f t="shared" si="216"/>
        <v>0</v>
      </c>
      <c r="K49" s="22">
        <f>K10+K12+K18+K22+K29+K33+K35+K38+K41+K43+K45</f>
        <v>0</v>
      </c>
      <c r="L49" s="21">
        <f>L10+L12+L18+L22+L29+L33+L35+L38+L41+L43+L45</f>
        <v>0</v>
      </c>
      <c r="M49" s="23">
        <f>M10+M12+M18+M22+M29+M33+M35+M38+M41+M43+M45</f>
        <v>0</v>
      </c>
      <c r="N49" s="23">
        <f t="shared" ref="N49:T49" si="217">N10+N12+N18+N22+N29+N33+N35+N38+N41+N43+N45</f>
        <v>0</v>
      </c>
      <c r="O49" s="23">
        <f t="shared" si="217"/>
        <v>0</v>
      </c>
      <c r="P49" s="23">
        <f t="shared" si="217"/>
        <v>0</v>
      </c>
      <c r="Q49" s="23">
        <f t="shared" si="217"/>
        <v>0</v>
      </c>
      <c r="R49" s="23">
        <f t="shared" si="217"/>
        <v>0</v>
      </c>
      <c r="S49" s="23">
        <f t="shared" si="217"/>
        <v>0</v>
      </c>
      <c r="T49" s="23">
        <f t="shared" si="217"/>
        <v>0</v>
      </c>
      <c r="U49" s="78"/>
      <c r="V49" s="46"/>
      <c r="W49" s="77" t="s">
        <v>206</v>
      </c>
      <c r="X49" s="23">
        <f>X10+X12+X18+X22+X29+X33+X35+X38+X41+X43+X45</f>
        <v>0</v>
      </c>
      <c r="Y49" s="23">
        <f t="shared" ref="Y49:AE49" si="218">Y10+Y12+Y18+Y22+Y29+Y33+Y35+Y38+Y41+Y43+Y45</f>
        <v>0</v>
      </c>
      <c r="Z49" s="23">
        <f t="shared" si="218"/>
        <v>0</v>
      </c>
      <c r="AA49" s="23">
        <f t="shared" si="218"/>
        <v>0</v>
      </c>
      <c r="AB49" s="23">
        <f t="shared" si="218"/>
        <v>0</v>
      </c>
      <c r="AC49" s="23">
        <f t="shared" si="218"/>
        <v>0</v>
      </c>
      <c r="AD49" s="23">
        <f t="shared" si="218"/>
        <v>0</v>
      </c>
      <c r="AE49" s="23">
        <f t="shared" si="218"/>
        <v>0</v>
      </c>
      <c r="AF49" s="22">
        <f>AF10+AF12+AF18+AF22+AF29+AF33+AF35+AF38+AF41+AF43+AF45</f>
        <v>0</v>
      </c>
      <c r="AG49" s="21">
        <f>AG10+AG12+AG18+AG22+AG29+AG33+AG35+AG38+AG41+AG43+AG45</f>
        <v>0</v>
      </c>
      <c r="AH49" s="23">
        <f>AH10+AH12+AH18+AH22+AH29+AH33+AH35+AH38+AH41+AH43+AH45</f>
        <v>0</v>
      </c>
      <c r="AI49" s="23">
        <f t="shared" ref="AI49:AO49" si="219">AI10+AI12+AI18+AI22+AI29+AI33+AI35+AI38+AI41+AI43+AI45</f>
        <v>0</v>
      </c>
      <c r="AJ49" s="23">
        <f t="shared" si="219"/>
        <v>0</v>
      </c>
      <c r="AK49" s="23">
        <f t="shared" si="219"/>
        <v>0</v>
      </c>
      <c r="AL49" s="23">
        <f t="shared" si="219"/>
        <v>0</v>
      </c>
      <c r="AM49" s="23">
        <f t="shared" si="219"/>
        <v>0</v>
      </c>
      <c r="AN49" s="23">
        <f t="shared" si="219"/>
        <v>0</v>
      </c>
      <c r="AO49" s="23">
        <f t="shared" si="219"/>
        <v>0</v>
      </c>
      <c r="AP49" s="78"/>
      <c r="AR49" s="77" t="s">
        <v>206</v>
      </c>
      <c r="AS49" s="23">
        <f>AS10+AS12+AS18+AS22+AS29+AS33+AS35+AS38+AS41+AS43+AS45</f>
        <v>0</v>
      </c>
      <c r="AT49" s="23">
        <f t="shared" ref="AT49:AZ49" si="220">AT10+AT12+AT18+AT22+AT29+AT33+AT35+AT38+AT41+AT43+AT45</f>
        <v>0</v>
      </c>
      <c r="AU49" s="23">
        <f t="shared" si="220"/>
        <v>0</v>
      </c>
      <c r="AV49" s="23">
        <f t="shared" si="220"/>
        <v>0</v>
      </c>
      <c r="AW49" s="23">
        <f t="shared" si="220"/>
        <v>0</v>
      </c>
      <c r="AX49" s="23">
        <f t="shared" si="220"/>
        <v>0</v>
      </c>
      <c r="AY49" s="23">
        <f t="shared" si="220"/>
        <v>0</v>
      </c>
      <c r="AZ49" s="23">
        <f t="shared" si="220"/>
        <v>0</v>
      </c>
      <c r="BA49" s="22">
        <f>BA10+BA12+BA18+BA22+BA29+BA33+BA35+BA38+BA41+BA43+BA45</f>
        <v>0</v>
      </c>
      <c r="BB49" s="21">
        <f>BB10+BB12+BB18+BB22+BB29+BB33+BB35+BB38+BB41+BB43+BB45</f>
        <v>0</v>
      </c>
      <c r="BC49" s="23">
        <f>BC10+BC12+BC18+BC22+BC29+BC33+BC35+BC38+BC41+BC43+BC45</f>
        <v>0</v>
      </c>
      <c r="BD49" s="23">
        <f t="shared" ref="BD49:BJ49" si="221">BD10+BD12+BD18+BD22+BD29+BD33+BD35+BD38+BD41+BD43+BD45</f>
        <v>0</v>
      </c>
      <c r="BE49" s="23">
        <f t="shared" si="221"/>
        <v>0</v>
      </c>
      <c r="BF49" s="23">
        <f t="shared" si="221"/>
        <v>0</v>
      </c>
      <c r="BG49" s="23">
        <f t="shared" si="221"/>
        <v>0</v>
      </c>
      <c r="BH49" s="23">
        <f t="shared" si="221"/>
        <v>0</v>
      </c>
      <c r="BI49" s="23">
        <f t="shared" si="221"/>
        <v>0</v>
      </c>
      <c r="BJ49" s="23">
        <f t="shared" si="221"/>
        <v>0</v>
      </c>
      <c r="BK49" s="78"/>
      <c r="BM49" s="77" t="s">
        <v>206</v>
      </c>
      <c r="BN49" s="23">
        <f>BN10+BN12+BN18+BN22+BN29+BN33+BN35+BN38+BN41+BN43+BN45</f>
        <v>0</v>
      </c>
      <c r="BO49" s="23">
        <f t="shared" ref="BO49:BU49" si="222">BO10+BO12+BO18+BO22+BO29+BO33+BO35+BO38+BO41+BO43+BO45</f>
        <v>0</v>
      </c>
      <c r="BP49" s="23">
        <f t="shared" si="222"/>
        <v>0</v>
      </c>
      <c r="BQ49" s="23">
        <f t="shared" si="222"/>
        <v>0</v>
      </c>
      <c r="BR49" s="23">
        <f t="shared" si="222"/>
        <v>0</v>
      </c>
      <c r="BS49" s="23">
        <f t="shared" si="222"/>
        <v>0</v>
      </c>
      <c r="BT49" s="23">
        <f t="shared" si="222"/>
        <v>0</v>
      </c>
      <c r="BU49" s="23">
        <f t="shared" si="222"/>
        <v>0</v>
      </c>
      <c r="BV49" s="22">
        <f>BV10+BV12+BV18+BV22+BV29+BV33+BV35+BV38+BV41+BV43+BV45</f>
        <v>0</v>
      </c>
      <c r="BW49" s="21">
        <f>BW10+BW12+BW18+BW22+BW29+BW33+BW35+BW38+BW41+BW43+BW45</f>
        <v>0</v>
      </c>
      <c r="BX49" s="23">
        <f>BX10+BX12+BX18+BX22+BX29+BX33+BX35+BX38+BX41+BX43+BX45</f>
        <v>0</v>
      </c>
      <c r="BY49" s="23">
        <f t="shared" ref="BY49:CE49" si="223">BY10+BY12+BY18+BY22+BY29+BY33+BY35+BY38+BY41+BY43+BY45</f>
        <v>0</v>
      </c>
      <c r="BZ49" s="23">
        <f t="shared" si="223"/>
        <v>0</v>
      </c>
      <c r="CA49" s="23">
        <f t="shared" si="223"/>
        <v>0</v>
      </c>
      <c r="CB49" s="23">
        <f t="shared" si="223"/>
        <v>0</v>
      </c>
      <c r="CC49" s="23">
        <f t="shared" si="223"/>
        <v>0</v>
      </c>
      <c r="CD49" s="23">
        <f t="shared" si="223"/>
        <v>0</v>
      </c>
      <c r="CE49" s="23">
        <f t="shared" si="223"/>
        <v>0</v>
      </c>
      <c r="CF49" s="78"/>
      <c r="CH49" s="77" t="s">
        <v>206</v>
      </c>
      <c r="CI49" s="23">
        <f>CI10+CI12+CI18+CI22+CI29+CI33+CI35+CI38+CI41+CI43+CI45</f>
        <v>0</v>
      </c>
      <c r="CJ49" s="23">
        <f t="shared" ref="CJ49:CP49" si="224">CJ10+CJ12+CJ18+CJ22+CJ29+CJ33+CJ35+CJ38+CJ41+CJ43+CJ45</f>
        <v>0</v>
      </c>
      <c r="CK49" s="23">
        <f t="shared" si="224"/>
        <v>0</v>
      </c>
      <c r="CL49" s="23">
        <f t="shared" si="224"/>
        <v>0</v>
      </c>
      <c r="CM49" s="23">
        <f t="shared" si="224"/>
        <v>0</v>
      </c>
      <c r="CN49" s="23">
        <f t="shared" si="224"/>
        <v>0</v>
      </c>
      <c r="CO49" s="23">
        <f t="shared" si="224"/>
        <v>0</v>
      </c>
      <c r="CP49" s="23">
        <f t="shared" si="224"/>
        <v>0</v>
      </c>
      <c r="CQ49" s="22">
        <f>CQ10+CQ12+CQ18+CQ22+CQ29+CQ33+CQ35+CQ38+CQ41+CQ43+CQ45</f>
        <v>0</v>
      </c>
      <c r="CR49" s="21">
        <f>CR10+CR12+CR18+CR22+CR29+CR33+CR35+CR38+CR41+CR43+CR45</f>
        <v>0</v>
      </c>
      <c r="CS49" s="23">
        <f>CS10+CS12+CS18+CS22+CS29+CS33+CS35+CS38+CS41+CS43+CS45</f>
        <v>0</v>
      </c>
      <c r="CT49" s="23">
        <f t="shared" ref="CT49:CZ49" si="225">CT10+CT12+CT18+CT22+CT29+CT33+CT35+CT38+CT41+CT43+CT45</f>
        <v>0</v>
      </c>
      <c r="CU49" s="23">
        <f t="shared" si="225"/>
        <v>0</v>
      </c>
      <c r="CV49" s="23">
        <f t="shared" si="225"/>
        <v>0</v>
      </c>
      <c r="CW49" s="23">
        <f t="shared" si="225"/>
        <v>0</v>
      </c>
      <c r="CX49" s="23">
        <f t="shared" si="225"/>
        <v>0</v>
      </c>
      <c r="CY49" s="23">
        <f t="shared" si="225"/>
        <v>0</v>
      </c>
      <c r="CZ49" s="23">
        <f t="shared" si="225"/>
        <v>0</v>
      </c>
      <c r="DA49" s="78"/>
      <c r="DC49" s="77" t="s">
        <v>206</v>
      </c>
      <c r="DD49" s="23">
        <f>DD10+DD12+DD18+DD22+DD29+DD33+DD35+DD38+DD41+DD43+DD45</f>
        <v>0</v>
      </c>
      <c r="DE49" s="23">
        <f t="shared" ref="DE49:DK49" si="226">DE10+DE12+DE18+DE22+DE29+DE33+DE35+DE38+DE41+DE43+DE45</f>
        <v>0</v>
      </c>
      <c r="DF49" s="23">
        <f t="shared" si="226"/>
        <v>0</v>
      </c>
      <c r="DG49" s="23">
        <f t="shared" si="226"/>
        <v>0</v>
      </c>
      <c r="DH49" s="23">
        <f t="shared" si="226"/>
        <v>0</v>
      </c>
      <c r="DI49" s="23">
        <f t="shared" si="226"/>
        <v>0</v>
      </c>
      <c r="DJ49" s="23">
        <f t="shared" si="226"/>
        <v>0</v>
      </c>
      <c r="DK49" s="23">
        <f t="shared" si="226"/>
        <v>0</v>
      </c>
      <c r="DL49" s="22">
        <f>DL10+DL12+DL18+DL22+DL29+DL33+DL35+DL38+DL41+DL43+DL45</f>
        <v>0</v>
      </c>
      <c r="DM49" s="21">
        <f>DM10+DM12+DM18+DM22+DM29+DM33+DM35+DM38+DM41+DM43+DM45</f>
        <v>0</v>
      </c>
      <c r="DN49" s="23">
        <f>DN10+DN12+DN18+DN22+DN29+DN33+DN35+DN38+DN41+DN43+DN45</f>
        <v>0</v>
      </c>
      <c r="DO49" s="23">
        <f t="shared" ref="DO49:DU49" si="227">DO10+DO12+DO18+DO22+DO29+DO33+DO35+DO38+DO41+DO43+DO45</f>
        <v>0</v>
      </c>
      <c r="DP49" s="23">
        <f t="shared" si="227"/>
        <v>0</v>
      </c>
      <c r="DQ49" s="23">
        <f t="shared" si="227"/>
        <v>0</v>
      </c>
      <c r="DR49" s="23">
        <f t="shared" si="227"/>
        <v>0</v>
      </c>
      <c r="DS49" s="23">
        <f t="shared" si="227"/>
        <v>0</v>
      </c>
      <c r="DT49" s="23">
        <f t="shared" si="227"/>
        <v>0</v>
      </c>
      <c r="DU49" s="23">
        <f t="shared" si="227"/>
        <v>0</v>
      </c>
      <c r="DV49" s="78"/>
    </row>
    <row r="50" spans="1:126" ht="15.75" thickBot="1">
      <c r="A50" s="61"/>
      <c r="B50" s="82"/>
      <c r="C50" s="83"/>
      <c r="D50" s="84"/>
      <c r="E50" s="84"/>
      <c r="F50" s="84"/>
      <c r="G50" s="84"/>
      <c r="H50" s="84"/>
      <c r="I50" s="84"/>
      <c r="J50" s="84"/>
      <c r="K50" s="85"/>
      <c r="L50" s="86"/>
      <c r="M50" s="87"/>
      <c r="N50" s="84"/>
      <c r="O50" s="84"/>
      <c r="P50" s="84"/>
      <c r="Q50" s="84"/>
      <c r="R50" s="84"/>
      <c r="S50" s="84"/>
      <c r="T50" s="88"/>
      <c r="U50" s="89"/>
      <c r="V50" s="46"/>
      <c r="W50" s="82"/>
      <c r="X50" s="83"/>
      <c r="Y50" s="84"/>
      <c r="Z50" s="84"/>
      <c r="AA50" s="84"/>
      <c r="AB50" s="84"/>
      <c r="AC50" s="84"/>
      <c r="AD50" s="84"/>
      <c r="AE50" s="84"/>
      <c r="AF50" s="85"/>
      <c r="AG50" s="86"/>
      <c r="AH50" s="87"/>
      <c r="AI50" s="84"/>
      <c r="AJ50" s="84"/>
      <c r="AK50" s="84"/>
      <c r="AL50" s="84"/>
      <c r="AM50" s="84"/>
      <c r="AN50" s="84"/>
      <c r="AO50" s="88"/>
      <c r="AP50" s="89"/>
      <c r="AR50" s="82"/>
      <c r="AS50" s="83"/>
      <c r="AT50" s="84"/>
      <c r="AU50" s="84"/>
      <c r="AV50" s="84"/>
      <c r="AW50" s="84"/>
      <c r="AX50" s="84"/>
      <c r="AY50" s="84"/>
      <c r="AZ50" s="84"/>
      <c r="BA50" s="85"/>
      <c r="BB50" s="86"/>
      <c r="BC50" s="87"/>
      <c r="BD50" s="84"/>
      <c r="BE50" s="84"/>
      <c r="BF50" s="84"/>
      <c r="BG50" s="84"/>
      <c r="BH50" s="84"/>
      <c r="BI50" s="84"/>
      <c r="BJ50" s="88"/>
      <c r="BK50" s="89"/>
      <c r="BM50" s="82"/>
      <c r="BN50" s="83"/>
      <c r="BO50" s="84"/>
      <c r="BP50" s="84"/>
      <c r="BQ50" s="84"/>
      <c r="BR50" s="84"/>
      <c r="BS50" s="84"/>
      <c r="BT50" s="84"/>
      <c r="BU50" s="84"/>
      <c r="BV50" s="85"/>
      <c r="BW50" s="86"/>
      <c r="BX50" s="87"/>
      <c r="BY50" s="84"/>
      <c r="BZ50" s="84"/>
      <c r="CA50" s="84"/>
      <c r="CB50" s="84"/>
      <c r="CC50" s="84"/>
      <c r="CD50" s="84"/>
      <c r="CE50" s="88"/>
      <c r="CF50" s="89"/>
      <c r="CH50" s="82"/>
      <c r="CI50" s="83"/>
      <c r="CJ50" s="84"/>
      <c r="CK50" s="84"/>
      <c r="CL50" s="84"/>
      <c r="CM50" s="84"/>
      <c r="CN50" s="84"/>
      <c r="CO50" s="84"/>
      <c r="CP50" s="84"/>
      <c r="CQ50" s="85"/>
      <c r="CR50" s="86"/>
      <c r="CS50" s="87"/>
      <c r="CT50" s="84"/>
      <c r="CU50" s="84"/>
      <c r="CV50" s="84"/>
      <c r="CW50" s="84"/>
      <c r="CX50" s="84"/>
      <c r="CY50" s="84"/>
      <c r="CZ50" s="88"/>
      <c r="DA50" s="89"/>
      <c r="DC50" s="82"/>
      <c r="DD50" s="83"/>
      <c r="DE50" s="84"/>
      <c r="DF50" s="84"/>
      <c r="DG50" s="84"/>
      <c r="DH50" s="84"/>
      <c r="DI50" s="84"/>
      <c r="DJ50" s="84"/>
      <c r="DK50" s="84"/>
      <c r="DL50" s="85"/>
      <c r="DM50" s="86"/>
      <c r="DN50" s="87"/>
      <c r="DO50" s="84"/>
      <c r="DP50" s="84"/>
      <c r="DQ50" s="84"/>
      <c r="DR50" s="84"/>
      <c r="DS50" s="84"/>
      <c r="DT50" s="84"/>
      <c r="DU50" s="88"/>
      <c r="DV50" s="89"/>
    </row>
    <row r="51" spans="1:126" ht="16.5" thickTop="1" thickBot="1">
      <c r="A51" s="96"/>
      <c r="B51" s="90" t="s">
        <v>57</v>
      </c>
      <c r="C51" s="124"/>
      <c r="D51" s="92"/>
      <c r="E51" s="93"/>
      <c r="F51" s="93"/>
      <c r="G51" s="93"/>
      <c r="H51" s="93"/>
      <c r="I51" s="93"/>
      <c r="J51" s="93"/>
      <c r="K51" s="94"/>
      <c r="L51" s="95"/>
      <c r="M51" s="46"/>
      <c r="N51" s="46"/>
      <c r="O51" s="46"/>
      <c r="P51" s="46"/>
      <c r="Q51" s="46"/>
      <c r="R51" s="46"/>
      <c r="S51" s="46"/>
      <c r="T51" s="46"/>
      <c r="U51" s="46"/>
      <c r="V51" s="46"/>
      <c r="W51" s="90" t="s">
        <v>57</v>
      </c>
      <c r="X51" s="124"/>
      <c r="Y51" s="92"/>
      <c r="Z51" s="93"/>
      <c r="AA51" s="93"/>
      <c r="AB51" s="93"/>
      <c r="AC51" s="93"/>
      <c r="AD51" s="93"/>
      <c r="AE51" s="93"/>
      <c r="AF51" s="94"/>
      <c r="AG51" s="95"/>
      <c r="AH51" s="46"/>
      <c r="AI51" s="46"/>
      <c r="AJ51" s="46"/>
      <c r="AK51" s="46"/>
      <c r="AL51" s="46"/>
      <c r="AM51" s="46"/>
      <c r="AN51" s="46"/>
      <c r="AO51" s="46"/>
      <c r="AP51" s="46"/>
      <c r="AR51" s="90" t="s">
        <v>57</v>
      </c>
      <c r="AS51" s="124"/>
      <c r="AT51" s="92"/>
      <c r="AU51" s="93"/>
      <c r="AV51" s="93"/>
      <c r="AW51" s="93"/>
      <c r="AX51" s="93"/>
      <c r="AY51" s="93"/>
      <c r="AZ51" s="93"/>
      <c r="BA51" s="94"/>
      <c r="BB51" s="95"/>
      <c r="BC51" s="46"/>
      <c r="BD51" s="46"/>
      <c r="BE51" s="46"/>
      <c r="BF51" s="46"/>
      <c r="BG51" s="46"/>
      <c r="BH51" s="46"/>
      <c r="BI51" s="46"/>
      <c r="BJ51" s="46"/>
      <c r="BK51" s="46"/>
      <c r="BM51" s="90" t="s">
        <v>57</v>
      </c>
      <c r="BN51" s="124"/>
      <c r="BO51" s="92"/>
      <c r="BP51" s="93"/>
      <c r="BQ51" s="93"/>
      <c r="BR51" s="93"/>
      <c r="BS51" s="93"/>
      <c r="BT51" s="93"/>
      <c r="BU51" s="93"/>
      <c r="BV51" s="94"/>
      <c r="BW51" s="95"/>
      <c r="BX51" s="46"/>
      <c r="BY51" s="46"/>
      <c r="BZ51" s="46"/>
      <c r="CA51" s="46"/>
      <c r="CB51" s="46"/>
      <c r="CC51" s="46"/>
      <c r="CD51" s="46"/>
      <c r="CE51" s="46"/>
      <c r="CF51" s="46"/>
      <c r="CH51" s="90" t="s">
        <v>57</v>
      </c>
      <c r="CI51" s="124"/>
      <c r="CJ51" s="92"/>
      <c r="CK51" s="93"/>
      <c r="CL51" s="93"/>
      <c r="CM51" s="93"/>
      <c r="CN51" s="93"/>
      <c r="CO51" s="93"/>
      <c r="CP51" s="93"/>
      <c r="CQ51" s="94"/>
      <c r="CR51" s="95"/>
      <c r="CS51" s="46"/>
      <c r="CT51" s="46"/>
      <c r="CU51" s="46"/>
      <c r="CV51" s="46"/>
      <c r="CW51" s="46"/>
      <c r="CX51" s="46"/>
      <c r="CY51" s="46"/>
      <c r="CZ51" s="46"/>
      <c r="DA51" s="46"/>
      <c r="DC51" s="90" t="s">
        <v>57</v>
      </c>
      <c r="DD51" s="124"/>
      <c r="DE51" s="92"/>
      <c r="DF51" s="93"/>
      <c r="DG51" s="93"/>
      <c r="DH51" s="93"/>
      <c r="DI51" s="93"/>
      <c r="DJ51" s="93"/>
      <c r="DK51" s="93"/>
      <c r="DL51" s="94"/>
      <c r="DM51" s="95"/>
      <c r="DN51" s="46"/>
      <c r="DO51" s="46"/>
      <c r="DP51" s="46"/>
      <c r="DQ51" s="46"/>
      <c r="DR51" s="46"/>
      <c r="DS51" s="46"/>
      <c r="DT51" s="46"/>
      <c r="DU51" s="46"/>
      <c r="DV51" s="46"/>
    </row>
    <row r="52" spans="1:126" ht="16.5" thickTop="1" thickBot="1">
      <c r="A52" s="61"/>
      <c r="B52" s="97"/>
      <c r="C52" s="98"/>
      <c r="D52" s="99"/>
      <c r="E52" s="99"/>
      <c r="F52" s="99"/>
      <c r="G52" s="99"/>
      <c r="H52" s="99"/>
      <c r="I52" s="99"/>
      <c r="J52" s="99"/>
      <c r="K52" s="100"/>
      <c r="L52" s="101"/>
      <c r="M52" s="46"/>
      <c r="N52" s="46"/>
      <c r="O52" s="46"/>
      <c r="P52" s="46"/>
      <c r="Q52" s="46"/>
      <c r="R52" s="46"/>
      <c r="S52" s="46"/>
      <c r="T52" s="46"/>
      <c r="U52" s="102"/>
      <c r="V52" s="46"/>
      <c r="W52" s="97"/>
      <c r="X52" s="98"/>
      <c r="Y52" s="99"/>
      <c r="Z52" s="99"/>
      <c r="AA52" s="99"/>
      <c r="AB52" s="99"/>
      <c r="AC52" s="99"/>
      <c r="AD52" s="99"/>
      <c r="AE52" s="99"/>
      <c r="AF52" s="100"/>
      <c r="AG52" s="101"/>
      <c r="AH52" s="46"/>
      <c r="AI52" s="46"/>
      <c r="AJ52" s="46"/>
      <c r="AK52" s="46"/>
      <c r="AL52" s="46"/>
      <c r="AM52" s="46"/>
      <c r="AN52" s="46"/>
      <c r="AO52" s="46"/>
      <c r="AP52" s="102"/>
      <c r="AR52" s="97"/>
      <c r="AS52" s="98"/>
      <c r="AT52" s="99"/>
      <c r="AU52" s="99"/>
      <c r="AV52" s="99"/>
      <c r="AW52" s="99"/>
      <c r="AX52" s="99"/>
      <c r="AY52" s="99"/>
      <c r="AZ52" s="99"/>
      <c r="BA52" s="100"/>
      <c r="BB52" s="101"/>
      <c r="BC52" s="46"/>
      <c r="BD52" s="46"/>
      <c r="BE52" s="46"/>
      <c r="BF52" s="46"/>
      <c r="BG52" s="46"/>
      <c r="BH52" s="46"/>
      <c r="BI52" s="46"/>
      <c r="BJ52" s="46"/>
      <c r="BK52" s="102"/>
      <c r="BM52" s="97"/>
      <c r="BN52" s="98"/>
      <c r="BO52" s="99"/>
      <c r="BP52" s="99"/>
      <c r="BQ52" s="99"/>
      <c r="BR52" s="99"/>
      <c r="BS52" s="99"/>
      <c r="BT52" s="99"/>
      <c r="BU52" s="99"/>
      <c r="BV52" s="100"/>
      <c r="BW52" s="101"/>
      <c r="BX52" s="46"/>
      <c r="BY52" s="46"/>
      <c r="BZ52" s="46"/>
      <c r="CA52" s="46"/>
      <c r="CB52" s="46"/>
      <c r="CC52" s="46"/>
      <c r="CD52" s="46"/>
      <c r="CE52" s="46"/>
      <c r="CF52" s="102"/>
      <c r="CH52" s="97"/>
      <c r="CI52" s="98"/>
      <c r="CJ52" s="99"/>
      <c r="CK52" s="99"/>
      <c r="CL52" s="99"/>
      <c r="CM52" s="99"/>
      <c r="CN52" s="99"/>
      <c r="CO52" s="99"/>
      <c r="CP52" s="99"/>
      <c r="CQ52" s="100"/>
      <c r="CR52" s="101"/>
      <c r="CS52" s="46"/>
      <c r="CT52" s="46"/>
      <c r="CU52" s="46"/>
      <c r="CV52" s="46"/>
      <c r="CW52" s="46"/>
      <c r="CX52" s="46"/>
      <c r="CY52" s="46"/>
      <c r="CZ52" s="46"/>
      <c r="DA52" s="102"/>
      <c r="DC52" s="97"/>
      <c r="DD52" s="98"/>
      <c r="DE52" s="99"/>
      <c r="DF52" s="99"/>
      <c r="DG52" s="99"/>
      <c r="DH52" s="99"/>
      <c r="DI52" s="99"/>
      <c r="DJ52" s="99"/>
      <c r="DK52" s="99"/>
      <c r="DL52" s="100"/>
      <c r="DM52" s="101"/>
      <c r="DN52" s="46"/>
      <c r="DO52" s="46"/>
      <c r="DP52" s="46"/>
      <c r="DQ52" s="46"/>
      <c r="DR52" s="46"/>
      <c r="DS52" s="46"/>
      <c r="DT52" s="46"/>
      <c r="DU52" s="46"/>
      <c r="DV52" s="102"/>
    </row>
    <row r="53" spans="1:126" ht="31.5" thickTop="1" thickBot="1">
      <c r="A53" s="46"/>
      <c r="B53" s="104" t="s">
        <v>207</v>
      </c>
      <c r="C53" s="146">
        <f>C49*C8</f>
        <v>0</v>
      </c>
      <c r="D53" s="146">
        <f>D49*D8</f>
        <v>0</v>
      </c>
      <c r="E53" s="146">
        <f>E49*E8</f>
        <v>0</v>
      </c>
      <c r="F53" s="146">
        <f t="shared" ref="F53:H53" si="228">F49*F8</f>
        <v>0</v>
      </c>
      <c r="G53" s="146">
        <f t="shared" si="228"/>
        <v>0</v>
      </c>
      <c r="H53" s="146">
        <f t="shared" si="228"/>
        <v>0</v>
      </c>
      <c r="I53" s="146">
        <f>I49*I8</f>
        <v>0</v>
      </c>
      <c r="J53" s="146">
        <f>J49*J8</f>
        <v>0</v>
      </c>
      <c r="K53" s="105"/>
      <c r="L53" s="101"/>
      <c r="M53" s="106"/>
      <c r="N53" s="106"/>
      <c r="O53" s="106"/>
      <c r="P53" s="106"/>
      <c r="Q53" s="106"/>
      <c r="R53" s="106"/>
      <c r="S53" s="106"/>
      <c r="T53" s="106"/>
      <c r="U53" s="102"/>
      <c r="V53" s="46"/>
      <c r="W53" s="104" t="s">
        <v>207</v>
      </c>
      <c r="X53" s="146">
        <f>X49*X8</f>
        <v>0</v>
      </c>
      <c r="Y53" s="146">
        <f>Y49*Y8</f>
        <v>0</v>
      </c>
      <c r="Z53" s="146">
        <f>Z49*Z8</f>
        <v>0</v>
      </c>
      <c r="AA53" s="146">
        <f t="shared" ref="AA53:AC53" si="229">AA49*AA8</f>
        <v>0</v>
      </c>
      <c r="AB53" s="146">
        <f t="shared" si="229"/>
        <v>0</v>
      </c>
      <c r="AC53" s="146">
        <f t="shared" si="229"/>
        <v>0</v>
      </c>
      <c r="AD53" s="146">
        <f>AD49*AD8</f>
        <v>0</v>
      </c>
      <c r="AE53" s="146">
        <f>AE49*AE8</f>
        <v>0</v>
      </c>
      <c r="AF53" s="105"/>
      <c r="AG53" s="101"/>
      <c r="AH53" s="106"/>
      <c r="AI53" s="106"/>
      <c r="AJ53" s="106"/>
      <c r="AK53" s="106"/>
      <c r="AL53" s="106"/>
      <c r="AM53" s="106"/>
      <c r="AN53" s="106"/>
      <c r="AO53" s="106"/>
      <c r="AP53" s="102"/>
      <c r="AR53" s="104" t="s">
        <v>207</v>
      </c>
      <c r="AS53" s="146">
        <f>AS49*AS8</f>
        <v>0</v>
      </c>
      <c r="AT53" s="146">
        <f>AT49*AT8</f>
        <v>0</v>
      </c>
      <c r="AU53" s="146">
        <f>AU49*AU8</f>
        <v>0</v>
      </c>
      <c r="AV53" s="146">
        <f t="shared" ref="AV53:AX53" si="230">AV49*AV8</f>
        <v>0</v>
      </c>
      <c r="AW53" s="146">
        <f t="shared" si="230"/>
        <v>0</v>
      </c>
      <c r="AX53" s="146">
        <f t="shared" si="230"/>
        <v>0</v>
      </c>
      <c r="AY53" s="146">
        <f>AY49*AY8</f>
        <v>0</v>
      </c>
      <c r="AZ53" s="146">
        <f>AZ49*AZ8</f>
        <v>0</v>
      </c>
      <c r="BA53" s="105"/>
      <c r="BB53" s="101"/>
      <c r="BC53" s="106"/>
      <c r="BD53" s="106"/>
      <c r="BE53" s="106"/>
      <c r="BF53" s="106"/>
      <c r="BG53" s="106"/>
      <c r="BH53" s="106"/>
      <c r="BI53" s="106"/>
      <c r="BJ53" s="106"/>
      <c r="BK53" s="102"/>
      <c r="BM53" s="104" t="s">
        <v>207</v>
      </c>
      <c r="BN53" s="146">
        <f>BN49*BN8</f>
        <v>0</v>
      </c>
      <c r="BO53" s="146">
        <f>BO49*BO8</f>
        <v>0</v>
      </c>
      <c r="BP53" s="146">
        <f>BP49*BP8</f>
        <v>0</v>
      </c>
      <c r="BQ53" s="146">
        <f t="shared" ref="BQ53:BS53" si="231">BQ49*BQ8</f>
        <v>0</v>
      </c>
      <c r="BR53" s="146">
        <f t="shared" si="231"/>
        <v>0</v>
      </c>
      <c r="BS53" s="146">
        <f t="shared" si="231"/>
        <v>0</v>
      </c>
      <c r="BT53" s="146">
        <f>BT49*BT8</f>
        <v>0</v>
      </c>
      <c r="BU53" s="146">
        <f>BU49*BU8</f>
        <v>0</v>
      </c>
      <c r="BV53" s="105"/>
      <c r="BW53" s="101"/>
      <c r="BX53" s="106"/>
      <c r="BY53" s="106"/>
      <c r="BZ53" s="106"/>
      <c r="CA53" s="106"/>
      <c r="CB53" s="106"/>
      <c r="CC53" s="106"/>
      <c r="CD53" s="106"/>
      <c r="CE53" s="106"/>
      <c r="CF53" s="102"/>
      <c r="CH53" s="104" t="s">
        <v>207</v>
      </c>
      <c r="CI53" s="146">
        <f>CI49*CI8</f>
        <v>0</v>
      </c>
      <c r="CJ53" s="146">
        <f>CJ49*CJ8</f>
        <v>0</v>
      </c>
      <c r="CK53" s="146">
        <f>CK49*CK8</f>
        <v>0</v>
      </c>
      <c r="CL53" s="146">
        <f t="shared" ref="CL53:CN53" si="232">CL49*CL8</f>
        <v>0</v>
      </c>
      <c r="CM53" s="146">
        <f t="shared" si="232"/>
        <v>0</v>
      </c>
      <c r="CN53" s="146">
        <f t="shared" si="232"/>
        <v>0</v>
      </c>
      <c r="CO53" s="146">
        <f>CO49*CO8</f>
        <v>0</v>
      </c>
      <c r="CP53" s="146">
        <f>CP49*CP8</f>
        <v>0</v>
      </c>
      <c r="CQ53" s="105"/>
      <c r="CR53" s="101"/>
      <c r="CS53" s="106"/>
      <c r="CT53" s="106"/>
      <c r="CU53" s="106"/>
      <c r="CV53" s="106"/>
      <c r="CW53" s="106"/>
      <c r="CX53" s="106"/>
      <c r="CY53" s="106"/>
      <c r="CZ53" s="106"/>
      <c r="DA53" s="102"/>
      <c r="DC53" s="104" t="s">
        <v>207</v>
      </c>
      <c r="DD53" s="146">
        <f>DD49*DD8</f>
        <v>0</v>
      </c>
      <c r="DE53" s="146">
        <f>DE49*DE8</f>
        <v>0</v>
      </c>
      <c r="DF53" s="146">
        <f>DF49*DF8</f>
        <v>0</v>
      </c>
      <c r="DG53" s="146">
        <f t="shared" ref="DG53:DI53" si="233">DG49*DG8</f>
        <v>0</v>
      </c>
      <c r="DH53" s="146">
        <f t="shared" si="233"/>
        <v>0</v>
      </c>
      <c r="DI53" s="146">
        <f t="shared" si="233"/>
        <v>0</v>
      </c>
      <c r="DJ53" s="146">
        <f>DJ49*DJ8</f>
        <v>0</v>
      </c>
      <c r="DK53" s="146">
        <f>DK49*DK8</f>
        <v>0</v>
      </c>
      <c r="DL53" s="105"/>
      <c r="DM53" s="101"/>
      <c r="DN53" s="106"/>
      <c r="DO53" s="106"/>
      <c r="DP53" s="106"/>
      <c r="DQ53" s="106"/>
      <c r="DR53" s="106"/>
      <c r="DS53" s="106"/>
      <c r="DT53" s="106"/>
      <c r="DU53" s="106"/>
      <c r="DV53" s="102"/>
    </row>
    <row r="54" spans="1:126" ht="15.75" thickTop="1" thickBot="1">
      <c r="A54" s="46"/>
      <c r="B54" s="108"/>
      <c r="C54" s="109"/>
      <c r="D54" s="110"/>
      <c r="E54" s="110"/>
      <c r="F54" s="110"/>
      <c r="G54" s="111"/>
      <c r="H54" s="112"/>
      <c r="I54" s="110"/>
      <c r="J54" s="110"/>
      <c r="K54" s="100"/>
      <c r="L54" s="101"/>
      <c r="M54" s="46"/>
      <c r="N54" s="46"/>
      <c r="O54" s="46"/>
      <c r="P54" s="46"/>
      <c r="Q54" s="46"/>
      <c r="R54" s="46"/>
      <c r="S54" s="46"/>
      <c r="T54" s="46"/>
      <c r="U54" s="46"/>
      <c r="V54" s="46"/>
      <c r="W54" s="108"/>
      <c r="X54" s="109"/>
      <c r="Y54" s="110"/>
      <c r="Z54" s="110"/>
      <c r="AA54" s="110"/>
      <c r="AB54" s="111"/>
      <c r="AC54" s="112"/>
      <c r="AD54" s="110"/>
      <c r="AE54" s="110"/>
      <c r="AF54" s="100"/>
      <c r="AG54" s="101"/>
      <c r="AH54" s="46"/>
      <c r="AI54" s="46"/>
      <c r="AJ54" s="46"/>
      <c r="AK54" s="46"/>
      <c r="AL54" s="46"/>
      <c r="AM54" s="46"/>
      <c r="AN54" s="46"/>
      <c r="AO54" s="46"/>
      <c r="AP54" s="46"/>
      <c r="AR54" s="108"/>
      <c r="AS54" s="109"/>
      <c r="AT54" s="110"/>
      <c r="AU54" s="110"/>
      <c r="AV54" s="110"/>
      <c r="AW54" s="111"/>
      <c r="AX54" s="112"/>
      <c r="AY54" s="110"/>
      <c r="AZ54" s="110"/>
      <c r="BA54" s="100"/>
      <c r="BB54" s="101"/>
      <c r="BC54" s="46"/>
      <c r="BD54" s="46"/>
      <c r="BE54" s="46"/>
      <c r="BF54" s="46"/>
      <c r="BG54" s="46"/>
      <c r="BH54" s="46"/>
      <c r="BI54" s="46"/>
      <c r="BJ54" s="46"/>
      <c r="BK54" s="46"/>
      <c r="BM54" s="108"/>
      <c r="BN54" s="109"/>
      <c r="BO54" s="110"/>
      <c r="BP54" s="110"/>
      <c r="BQ54" s="110"/>
      <c r="BR54" s="111"/>
      <c r="BS54" s="112"/>
      <c r="BT54" s="110"/>
      <c r="BU54" s="110"/>
      <c r="BV54" s="100"/>
      <c r="BW54" s="101"/>
      <c r="BX54" s="46"/>
      <c r="BY54" s="46"/>
      <c r="BZ54" s="46"/>
      <c r="CA54" s="46"/>
      <c r="CB54" s="46"/>
      <c r="CC54" s="46"/>
      <c r="CD54" s="46"/>
      <c r="CE54" s="46"/>
      <c r="CF54" s="46"/>
      <c r="CH54" s="108"/>
      <c r="CI54" s="109"/>
      <c r="CJ54" s="110"/>
      <c r="CK54" s="110"/>
      <c r="CL54" s="110"/>
      <c r="CM54" s="111"/>
      <c r="CN54" s="112"/>
      <c r="CO54" s="110"/>
      <c r="CP54" s="110"/>
      <c r="CQ54" s="100"/>
      <c r="CR54" s="101"/>
      <c r="CS54" s="46"/>
      <c r="CT54" s="46"/>
      <c r="CU54" s="46"/>
      <c r="CV54" s="46"/>
      <c r="CW54" s="46"/>
      <c r="CX54" s="46"/>
      <c r="CY54" s="46"/>
      <c r="CZ54" s="46"/>
      <c r="DA54" s="46"/>
      <c r="DC54" s="108"/>
      <c r="DD54" s="109"/>
      <c r="DE54" s="110"/>
      <c r="DF54" s="110"/>
      <c r="DG54" s="110"/>
      <c r="DH54" s="111"/>
      <c r="DI54" s="112"/>
      <c r="DJ54" s="110"/>
      <c r="DK54" s="110"/>
      <c r="DL54" s="100"/>
      <c r="DM54" s="101"/>
      <c r="DN54" s="46"/>
      <c r="DO54" s="46"/>
      <c r="DP54" s="46"/>
      <c r="DQ54" s="46"/>
      <c r="DR54" s="46"/>
      <c r="DS54" s="46"/>
      <c r="DT54" s="46"/>
      <c r="DU54" s="46"/>
      <c r="DV54" s="46"/>
    </row>
    <row r="55" spans="1:126" ht="16.5" thickTop="1" thickBot="1">
      <c r="A55" s="46"/>
      <c r="B55" s="104" t="s">
        <v>208</v>
      </c>
      <c r="C55" s="147">
        <f>SUM(C53:J53)+C51</f>
        <v>0</v>
      </c>
      <c r="D55" s="113"/>
      <c r="E55" s="114"/>
      <c r="F55" s="115"/>
      <c r="G55" s="116"/>
      <c r="H55" s="114"/>
      <c r="I55" s="114"/>
      <c r="J55" s="114"/>
      <c r="K55" s="117"/>
      <c r="L55" s="101"/>
      <c r="M55" s="46"/>
      <c r="N55" s="46"/>
      <c r="O55" s="46"/>
      <c r="P55" s="46"/>
      <c r="Q55" s="46"/>
      <c r="R55" s="46"/>
      <c r="S55" s="46"/>
      <c r="T55" s="46"/>
      <c r="U55" s="46"/>
      <c r="V55" s="46"/>
      <c r="W55" s="104" t="s">
        <v>208</v>
      </c>
      <c r="X55" s="147">
        <f>SUM(X53:AE53)+X51</f>
        <v>0</v>
      </c>
      <c r="Y55" s="113"/>
      <c r="Z55" s="114"/>
      <c r="AA55" s="115"/>
      <c r="AB55" s="116"/>
      <c r="AC55" s="114"/>
      <c r="AD55" s="114"/>
      <c r="AE55" s="114"/>
      <c r="AF55" s="117"/>
      <c r="AG55" s="101"/>
      <c r="AH55" s="46"/>
      <c r="AI55" s="46"/>
      <c r="AJ55" s="46"/>
      <c r="AK55" s="46"/>
      <c r="AL55" s="46"/>
      <c r="AM55" s="46"/>
      <c r="AN55" s="46"/>
      <c r="AO55" s="46"/>
      <c r="AP55" s="46"/>
      <c r="AR55" s="104" t="s">
        <v>208</v>
      </c>
      <c r="AS55" s="147">
        <f>SUM(AS53:AZ53)+AS51</f>
        <v>0</v>
      </c>
      <c r="AT55" s="113"/>
      <c r="AU55" s="114"/>
      <c r="AV55" s="115"/>
      <c r="AW55" s="116"/>
      <c r="AX55" s="114"/>
      <c r="AY55" s="114"/>
      <c r="AZ55" s="114"/>
      <c r="BA55" s="117"/>
      <c r="BB55" s="101"/>
      <c r="BC55" s="46"/>
      <c r="BD55" s="46"/>
      <c r="BE55" s="46"/>
      <c r="BF55" s="46"/>
      <c r="BG55" s="46"/>
      <c r="BH55" s="46"/>
      <c r="BI55" s="46"/>
      <c r="BJ55" s="46"/>
      <c r="BK55" s="46"/>
      <c r="BM55" s="104" t="s">
        <v>208</v>
      </c>
      <c r="BN55" s="147">
        <f>SUM(BN53:BU53)+BN51</f>
        <v>0</v>
      </c>
      <c r="BO55" s="113"/>
      <c r="BP55" s="114"/>
      <c r="BQ55" s="115"/>
      <c r="BR55" s="116"/>
      <c r="BS55" s="114"/>
      <c r="BT55" s="114"/>
      <c r="BU55" s="114"/>
      <c r="BV55" s="117"/>
      <c r="BW55" s="101"/>
      <c r="BX55" s="46"/>
      <c r="BY55" s="46"/>
      <c r="BZ55" s="46"/>
      <c r="CA55" s="46"/>
      <c r="CB55" s="46"/>
      <c r="CC55" s="46"/>
      <c r="CD55" s="46"/>
      <c r="CE55" s="46"/>
      <c r="CF55" s="46"/>
      <c r="CH55" s="104" t="s">
        <v>208</v>
      </c>
      <c r="CI55" s="147">
        <f>SUM(CI53:CP53)+CI51</f>
        <v>0</v>
      </c>
      <c r="CJ55" s="113"/>
      <c r="CK55" s="114"/>
      <c r="CL55" s="115"/>
      <c r="CM55" s="116"/>
      <c r="CN55" s="114"/>
      <c r="CO55" s="114"/>
      <c r="CP55" s="114"/>
      <c r="CQ55" s="117"/>
      <c r="CR55" s="101"/>
      <c r="CS55" s="46"/>
      <c r="CT55" s="46"/>
      <c r="CU55" s="46"/>
      <c r="CV55" s="46"/>
      <c r="CW55" s="46"/>
      <c r="CX55" s="46"/>
      <c r="CY55" s="46"/>
      <c r="CZ55" s="46"/>
      <c r="DA55" s="46"/>
      <c r="DC55" s="104" t="s">
        <v>208</v>
      </c>
      <c r="DD55" s="147">
        <f>SUM(DD53:DK53)+DD51</f>
        <v>0</v>
      </c>
      <c r="DE55" s="113"/>
      <c r="DF55" s="114"/>
      <c r="DG55" s="115"/>
      <c r="DH55" s="116"/>
      <c r="DI55" s="114"/>
      <c r="DJ55" s="114"/>
      <c r="DK55" s="114"/>
      <c r="DL55" s="117"/>
      <c r="DM55" s="101"/>
      <c r="DN55" s="46"/>
      <c r="DO55" s="46"/>
      <c r="DP55" s="46"/>
      <c r="DQ55" s="46"/>
      <c r="DR55" s="46"/>
      <c r="DS55" s="46"/>
      <c r="DT55" s="46"/>
      <c r="DU55" s="46"/>
      <c r="DV55" s="46"/>
    </row>
    <row r="56" spans="1:126" ht="15.75" thickTop="1" thickBot="1">
      <c r="A56" s="46"/>
      <c r="B56" s="108"/>
      <c r="C56" s="109"/>
      <c r="D56" s="114"/>
      <c r="E56" s="114"/>
      <c r="F56" s="115"/>
      <c r="G56" s="116"/>
      <c r="H56" s="114"/>
      <c r="I56" s="114"/>
      <c r="J56" s="114"/>
      <c r="K56" s="117"/>
      <c r="L56" s="101"/>
      <c r="M56" s="46"/>
      <c r="N56" s="46"/>
      <c r="O56" s="46"/>
      <c r="P56" s="46"/>
      <c r="Q56" s="46"/>
      <c r="R56" s="46"/>
      <c r="S56" s="46"/>
      <c r="T56" s="46"/>
      <c r="U56" s="46"/>
      <c r="V56" s="46"/>
      <c r="W56" s="108"/>
      <c r="X56" s="109"/>
      <c r="Y56" s="114"/>
      <c r="Z56" s="114"/>
      <c r="AA56" s="115"/>
      <c r="AB56" s="116"/>
      <c r="AC56" s="114"/>
      <c r="AD56" s="114"/>
      <c r="AE56" s="114"/>
      <c r="AF56" s="117"/>
      <c r="AG56" s="101"/>
      <c r="AH56" s="46"/>
      <c r="AI56" s="46"/>
      <c r="AJ56" s="46"/>
      <c r="AK56" s="46"/>
      <c r="AL56" s="46"/>
      <c r="AM56" s="46"/>
      <c r="AN56" s="46"/>
      <c r="AO56" s="46"/>
      <c r="AP56" s="46"/>
      <c r="AR56" s="108"/>
      <c r="AS56" s="109"/>
      <c r="AT56" s="114"/>
      <c r="AU56" s="114"/>
      <c r="AV56" s="115"/>
      <c r="AW56" s="116"/>
      <c r="AX56" s="114"/>
      <c r="AY56" s="114"/>
      <c r="AZ56" s="114"/>
      <c r="BA56" s="117"/>
      <c r="BB56" s="101"/>
      <c r="BC56" s="46"/>
      <c r="BD56" s="46"/>
      <c r="BE56" s="46"/>
      <c r="BF56" s="46"/>
      <c r="BG56" s="46"/>
      <c r="BH56" s="46"/>
      <c r="BI56" s="46"/>
      <c r="BJ56" s="46"/>
      <c r="BK56" s="46"/>
      <c r="BM56" s="108"/>
      <c r="BN56" s="109"/>
      <c r="BO56" s="114"/>
      <c r="BP56" s="114"/>
      <c r="BQ56" s="115"/>
      <c r="BR56" s="116"/>
      <c r="BS56" s="114"/>
      <c r="BT56" s="114"/>
      <c r="BU56" s="114"/>
      <c r="BV56" s="117"/>
      <c r="BW56" s="101"/>
      <c r="BX56" s="46"/>
      <c r="BY56" s="46"/>
      <c r="BZ56" s="46"/>
      <c r="CA56" s="46"/>
      <c r="CB56" s="46"/>
      <c r="CC56" s="46"/>
      <c r="CD56" s="46"/>
      <c r="CE56" s="46"/>
      <c r="CF56" s="46"/>
      <c r="CH56" s="108"/>
      <c r="CI56" s="109"/>
      <c r="CJ56" s="114"/>
      <c r="CK56" s="114"/>
      <c r="CL56" s="115"/>
      <c r="CM56" s="116"/>
      <c r="CN56" s="114"/>
      <c r="CO56" s="114"/>
      <c r="CP56" s="114"/>
      <c r="CQ56" s="117"/>
      <c r="CR56" s="101"/>
      <c r="CS56" s="46"/>
      <c r="CT56" s="46"/>
      <c r="CU56" s="46"/>
      <c r="CV56" s="46"/>
      <c r="CW56" s="46"/>
      <c r="CX56" s="46"/>
      <c r="CY56" s="46"/>
      <c r="CZ56" s="46"/>
      <c r="DA56" s="46"/>
      <c r="DC56" s="108"/>
      <c r="DD56" s="109"/>
      <c r="DE56" s="114"/>
      <c r="DF56" s="114"/>
      <c r="DG56" s="115"/>
      <c r="DH56" s="116"/>
      <c r="DI56" s="114"/>
      <c r="DJ56" s="114"/>
      <c r="DK56" s="114"/>
      <c r="DL56" s="117"/>
      <c r="DM56" s="101"/>
      <c r="DN56" s="46"/>
      <c r="DO56" s="46"/>
      <c r="DP56" s="46"/>
      <c r="DQ56" s="46"/>
      <c r="DR56" s="46"/>
      <c r="DS56" s="46"/>
      <c r="DT56" s="46"/>
      <c r="DU56" s="46"/>
      <c r="DV56" s="46"/>
    </row>
    <row r="57" spans="1:126" ht="15.75" thickTop="1">
      <c r="A57" s="46"/>
      <c r="B57" s="118" t="s">
        <v>209</v>
      </c>
      <c r="C57" s="147">
        <f>IFERROR(L49/K49,)</f>
        <v>0</v>
      </c>
      <c r="D57" s="46"/>
      <c r="E57" s="46"/>
      <c r="F57" s="46"/>
      <c r="G57" s="119"/>
      <c r="H57" s="46"/>
      <c r="I57" s="46"/>
      <c r="J57" s="46"/>
      <c r="K57" s="120"/>
      <c r="L57" s="121"/>
      <c r="M57" s="46"/>
      <c r="N57" s="46"/>
      <c r="O57" s="46"/>
      <c r="P57" s="46"/>
      <c r="Q57" s="46"/>
      <c r="R57" s="46"/>
      <c r="S57" s="46"/>
      <c r="T57" s="46"/>
      <c r="U57" s="46"/>
      <c r="V57" s="46"/>
      <c r="W57" s="118" t="s">
        <v>209</v>
      </c>
      <c r="X57" s="147">
        <f>IFERROR(AG49/AF49,)</f>
        <v>0</v>
      </c>
      <c r="Y57" s="46"/>
      <c r="Z57" s="46"/>
      <c r="AA57" s="46"/>
      <c r="AB57" s="119"/>
      <c r="AC57" s="46"/>
      <c r="AD57" s="46"/>
      <c r="AE57" s="46"/>
      <c r="AF57" s="120"/>
      <c r="AG57" s="121"/>
      <c r="AH57" s="46"/>
      <c r="AI57" s="46"/>
      <c r="AJ57" s="46"/>
      <c r="AK57" s="46"/>
      <c r="AL57" s="46"/>
      <c r="AM57" s="46"/>
      <c r="AN57" s="46"/>
      <c r="AO57" s="46"/>
      <c r="AP57" s="46"/>
      <c r="AR57" s="118" t="s">
        <v>209</v>
      </c>
      <c r="AS57" s="147">
        <f>IFERROR(BB49/BA49,)</f>
        <v>0</v>
      </c>
      <c r="AT57" s="46"/>
      <c r="AU57" s="46"/>
      <c r="AV57" s="46"/>
      <c r="AW57" s="119"/>
      <c r="AX57" s="46"/>
      <c r="AY57" s="46"/>
      <c r="AZ57" s="46"/>
      <c r="BA57" s="120"/>
      <c r="BB57" s="121"/>
      <c r="BC57" s="46"/>
      <c r="BD57" s="46"/>
      <c r="BE57" s="46"/>
      <c r="BF57" s="46"/>
      <c r="BG57" s="46"/>
      <c r="BH57" s="46"/>
      <c r="BI57" s="46"/>
      <c r="BJ57" s="46"/>
      <c r="BK57" s="46"/>
      <c r="BM57" s="118" t="s">
        <v>209</v>
      </c>
      <c r="BN57" s="147">
        <f>IFERROR(BW49/BV49,)</f>
        <v>0</v>
      </c>
      <c r="BO57" s="46"/>
      <c r="BP57" s="46"/>
      <c r="BQ57" s="46"/>
      <c r="BR57" s="119"/>
      <c r="BS57" s="46"/>
      <c r="BT57" s="46"/>
      <c r="BU57" s="46"/>
      <c r="BV57" s="120"/>
      <c r="BW57" s="121"/>
      <c r="BX57" s="46"/>
      <c r="BY57" s="46"/>
      <c r="BZ57" s="46"/>
      <c r="CA57" s="46"/>
      <c r="CB57" s="46"/>
      <c r="CC57" s="46"/>
      <c r="CD57" s="46"/>
      <c r="CE57" s="46"/>
      <c r="CF57" s="46"/>
      <c r="CH57" s="118" t="s">
        <v>209</v>
      </c>
      <c r="CI57" s="147">
        <f>IFERROR(CR49/CQ49,)</f>
        <v>0</v>
      </c>
      <c r="CJ57" s="46"/>
      <c r="CK57" s="46"/>
      <c r="CL57" s="46"/>
      <c r="CM57" s="119"/>
      <c r="CN57" s="46"/>
      <c r="CO57" s="46"/>
      <c r="CP57" s="46"/>
      <c r="CQ57" s="120"/>
      <c r="CR57" s="121"/>
      <c r="CS57" s="46"/>
      <c r="CT57" s="46"/>
      <c r="CU57" s="46"/>
      <c r="CV57" s="46"/>
      <c r="CW57" s="46"/>
      <c r="CX57" s="46"/>
      <c r="CY57" s="46"/>
      <c r="CZ57" s="46"/>
      <c r="DA57" s="46"/>
      <c r="DC57" s="118" t="s">
        <v>209</v>
      </c>
      <c r="DD57" s="147">
        <f>IFERROR(DM49/DL49,)</f>
        <v>0</v>
      </c>
      <c r="DE57" s="46"/>
      <c r="DF57" s="46"/>
      <c r="DG57" s="46"/>
      <c r="DH57" s="119"/>
      <c r="DI57" s="46"/>
      <c r="DJ57" s="46"/>
      <c r="DK57" s="46"/>
      <c r="DL57" s="120"/>
      <c r="DM57" s="121"/>
      <c r="DN57" s="46"/>
      <c r="DO57" s="46"/>
      <c r="DP57" s="46"/>
      <c r="DQ57" s="46"/>
      <c r="DR57" s="46"/>
      <c r="DS57" s="46"/>
      <c r="DT57" s="46"/>
      <c r="DU57" s="46"/>
      <c r="DV57" s="46"/>
    </row>
    <row r="58" spans="1:126">
      <c r="A58" s="46"/>
      <c r="B58" s="46"/>
      <c r="C58" s="46"/>
      <c r="D58" s="46"/>
      <c r="E58" s="46"/>
      <c r="F58" s="46"/>
      <c r="G58" s="119"/>
      <c r="H58" s="46"/>
      <c r="I58" s="46"/>
      <c r="J58" s="46"/>
      <c r="K58" s="120"/>
      <c r="L58" s="121"/>
      <c r="M58" s="46"/>
      <c r="N58" s="46"/>
      <c r="O58" s="46"/>
      <c r="P58" s="46"/>
      <c r="Q58" s="46"/>
      <c r="R58" s="46"/>
      <c r="S58" s="46"/>
      <c r="T58" s="46"/>
      <c r="U58" s="46"/>
      <c r="V58" s="46"/>
    </row>
    <row r="59" spans="1:126">
      <c r="A59" s="46"/>
      <c r="B59" s="46"/>
      <c r="C59" s="46"/>
      <c r="D59" s="46"/>
      <c r="E59" s="46"/>
      <c r="F59" s="46"/>
      <c r="G59" s="119"/>
      <c r="H59" s="46"/>
      <c r="I59" s="46"/>
      <c r="J59" s="46"/>
      <c r="K59" s="120"/>
      <c r="L59" s="121"/>
      <c r="M59" s="46"/>
      <c r="N59" s="46"/>
      <c r="O59" s="46"/>
      <c r="P59" s="46"/>
      <c r="Q59" s="46"/>
      <c r="R59" s="46"/>
      <c r="S59" s="46"/>
      <c r="T59" s="46"/>
      <c r="U59" s="46"/>
      <c r="V59" s="46"/>
    </row>
    <row r="60" spans="1:126">
      <c r="A60" s="46"/>
      <c r="B60" s="46"/>
      <c r="C60" s="46"/>
      <c r="D60" s="46"/>
      <c r="E60" s="46"/>
      <c r="F60" s="46"/>
      <c r="G60" s="119"/>
      <c r="H60" s="46"/>
      <c r="I60" s="46"/>
      <c r="J60" s="46"/>
      <c r="K60" s="120"/>
      <c r="L60" s="121"/>
      <c r="M60" s="46"/>
      <c r="N60" s="46"/>
      <c r="O60" s="46"/>
      <c r="P60" s="46"/>
      <c r="Q60" s="46"/>
      <c r="R60" s="46"/>
      <c r="S60" s="46"/>
      <c r="T60" s="46"/>
      <c r="U60" s="46"/>
      <c r="V60" s="46"/>
    </row>
    <row r="61" spans="1:126">
      <c r="A61" s="46"/>
      <c r="B61" s="46"/>
      <c r="C61" s="46"/>
      <c r="D61" s="46"/>
      <c r="E61" s="46"/>
      <c r="F61" s="46"/>
      <c r="G61" s="119"/>
      <c r="H61" s="46"/>
      <c r="I61" s="46"/>
      <c r="J61" s="46"/>
      <c r="K61" s="120"/>
      <c r="L61" s="121"/>
      <c r="M61" s="46"/>
      <c r="N61" s="46"/>
      <c r="O61" s="46"/>
      <c r="P61" s="46"/>
      <c r="Q61" s="46"/>
      <c r="R61" s="46"/>
      <c r="S61" s="46"/>
      <c r="T61" s="46"/>
      <c r="U61" s="46"/>
      <c r="V61" s="46"/>
    </row>
    <row r="62" spans="1:126">
      <c r="A62" s="46"/>
      <c r="B62" s="46"/>
      <c r="C62" s="46"/>
      <c r="D62" s="46"/>
      <c r="E62" s="46"/>
      <c r="F62" s="46"/>
      <c r="G62" s="119"/>
      <c r="H62" s="46"/>
      <c r="I62" s="46"/>
      <c r="J62" s="46"/>
      <c r="K62" s="120"/>
      <c r="L62" s="121"/>
      <c r="M62" s="46"/>
      <c r="N62" s="46"/>
      <c r="O62" s="46"/>
      <c r="P62" s="46"/>
      <c r="Q62" s="46"/>
      <c r="R62" s="46"/>
      <c r="S62" s="46"/>
      <c r="T62" s="46"/>
      <c r="U62" s="46"/>
      <c r="V62" s="46"/>
    </row>
    <row r="63" spans="1:126">
      <c r="A63" s="46"/>
      <c r="B63" s="46"/>
      <c r="C63" s="46"/>
      <c r="D63" s="46"/>
      <c r="E63" s="46"/>
      <c r="F63" s="46"/>
      <c r="G63" s="119"/>
      <c r="H63" s="46"/>
      <c r="I63" s="46"/>
      <c r="J63" s="46"/>
      <c r="K63" s="120"/>
      <c r="L63" s="121"/>
      <c r="M63" s="46"/>
      <c r="N63" s="46"/>
      <c r="O63" s="46"/>
      <c r="P63" s="46"/>
      <c r="Q63" s="46"/>
      <c r="R63" s="46"/>
      <c r="S63" s="46"/>
      <c r="T63" s="46"/>
      <c r="U63" s="46"/>
      <c r="V63" s="46"/>
    </row>
    <row r="64" spans="1:126">
      <c r="A64" s="46"/>
      <c r="B64" s="46"/>
      <c r="C64" s="46"/>
      <c r="D64" s="46"/>
      <c r="E64" s="46"/>
      <c r="F64" s="46"/>
      <c r="G64" s="119"/>
      <c r="H64" s="46"/>
      <c r="I64" s="46"/>
      <c r="J64" s="46"/>
      <c r="K64" s="120"/>
      <c r="L64" s="121"/>
      <c r="M64" s="46"/>
      <c r="N64" s="46"/>
      <c r="O64" s="46"/>
      <c r="P64" s="46"/>
      <c r="Q64" s="46"/>
      <c r="R64" s="46"/>
      <c r="S64" s="46"/>
      <c r="T64" s="46"/>
      <c r="U64" s="46"/>
      <c r="V64" s="46"/>
    </row>
    <row r="65" spans="1:22">
      <c r="A65" s="46"/>
      <c r="B65" s="46"/>
      <c r="C65" s="46"/>
      <c r="D65" s="46"/>
      <c r="E65" s="46"/>
      <c r="F65" s="46"/>
      <c r="G65" s="119"/>
      <c r="H65" s="46"/>
      <c r="I65" s="46"/>
      <c r="J65" s="46"/>
      <c r="K65" s="120"/>
      <c r="L65" s="121"/>
      <c r="M65" s="46"/>
      <c r="N65" s="46"/>
      <c r="O65" s="46"/>
      <c r="P65" s="46"/>
      <c r="Q65" s="46"/>
      <c r="R65" s="46"/>
      <c r="S65" s="46"/>
      <c r="T65" s="46"/>
      <c r="U65" s="46"/>
      <c r="V65" s="46"/>
    </row>
    <row r="66" spans="1:22">
      <c r="A66" s="46"/>
      <c r="B66" s="46"/>
      <c r="C66" s="46"/>
      <c r="D66" s="46"/>
      <c r="E66" s="46"/>
      <c r="F66" s="46"/>
      <c r="G66" s="119"/>
      <c r="H66" s="46"/>
      <c r="I66" s="46"/>
      <c r="J66" s="46"/>
      <c r="K66" s="120"/>
      <c r="L66" s="121"/>
      <c r="M66" s="46"/>
      <c r="N66" s="46"/>
      <c r="O66" s="46"/>
      <c r="P66" s="46"/>
      <c r="Q66" s="46"/>
      <c r="R66" s="46"/>
      <c r="S66" s="46"/>
      <c r="T66" s="46"/>
      <c r="U66" s="46"/>
      <c r="V66" s="46"/>
    </row>
    <row r="67" spans="1:22">
      <c r="A67" s="46"/>
      <c r="H67" s="53"/>
    </row>
    <row r="68" spans="1:22">
      <c r="H68" s="53"/>
    </row>
    <row r="69" spans="1:22">
      <c r="H69" s="53"/>
    </row>
    <row r="70" spans="1:22">
      <c r="H70" s="53"/>
    </row>
    <row r="71" spans="1:22">
      <c r="H71" s="53"/>
    </row>
    <row r="72" spans="1:22">
      <c r="H72" s="53"/>
    </row>
    <row r="73" spans="1:22">
      <c r="H73" s="53"/>
    </row>
    <row r="74" spans="1:22">
      <c r="H74" s="53"/>
    </row>
    <row r="75" spans="1:22">
      <c r="H75" s="53"/>
    </row>
    <row r="76" spans="1:22">
      <c r="H76" s="53"/>
    </row>
    <row r="77" spans="1:22">
      <c r="H77" s="53"/>
    </row>
    <row r="78" spans="1:22">
      <c r="H78" s="53"/>
    </row>
    <row r="79" spans="1:22">
      <c r="H79" s="53"/>
    </row>
    <row r="80" spans="1:22">
      <c r="H80" s="53"/>
    </row>
    <row r="81" spans="8:8">
      <c r="H81" s="53"/>
    </row>
    <row r="82" spans="8:8">
      <c r="H82" s="53"/>
    </row>
    <row r="83" spans="8:8">
      <c r="H83" s="53"/>
    </row>
    <row r="84" spans="8:8">
      <c r="H84" s="53"/>
    </row>
    <row r="85" spans="8:8">
      <c r="H85" s="53"/>
    </row>
    <row r="86" spans="8:8">
      <c r="H86" s="53"/>
    </row>
    <row r="87" spans="8:8">
      <c r="H87" s="53"/>
    </row>
    <row r="88" spans="8:8">
      <c r="H88" s="53"/>
    </row>
    <row r="89" spans="8:8">
      <c r="H89" s="53"/>
    </row>
    <row r="90" spans="8:8">
      <c r="H90" s="53"/>
    </row>
    <row r="91" spans="8:8">
      <c r="H91" s="53"/>
    </row>
    <row r="92" spans="8:8">
      <c r="H92" s="53"/>
    </row>
    <row r="93" spans="8:8">
      <c r="H93" s="53"/>
    </row>
    <row r="94" spans="8:8">
      <c r="H94" s="53"/>
    </row>
    <row r="95" spans="8:8">
      <c r="H95" s="53"/>
    </row>
    <row r="96" spans="8:8">
      <c r="H96" s="53"/>
    </row>
    <row r="97" spans="8:8">
      <c r="H97" s="53"/>
    </row>
    <row r="98" spans="8:8">
      <c r="H98" s="53"/>
    </row>
    <row r="99" spans="8:8">
      <c r="H99" s="53"/>
    </row>
    <row r="100" spans="8:8">
      <c r="H100" s="53"/>
    </row>
    <row r="101" spans="8:8">
      <c r="H101" s="53"/>
    </row>
    <row r="102" spans="8:8">
      <c r="H102" s="53"/>
    </row>
    <row r="103" spans="8:8">
      <c r="H103" s="53"/>
    </row>
    <row r="104" spans="8:8">
      <c r="H104" s="53"/>
    </row>
    <row r="105" spans="8:8">
      <c r="H105" s="53"/>
    </row>
    <row r="106" spans="8:8">
      <c r="H106" s="53"/>
    </row>
    <row r="107" spans="8:8">
      <c r="H107" s="53"/>
    </row>
    <row r="108" spans="8:8">
      <c r="H108" s="53"/>
    </row>
    <row r="109" spans="8:8">
      <c r="H109" s="53"/>
    </row>
    <row r="110" spans="8:8">
      <c r="H110" s="53"/>
    </row>
    <row r="111" spans="8:8">
      <c r="H111" s="53"/>
    </row>
    <row r="112" spans="8:8">
      <c r="H112" s="53"/>
    </row>
    <row r="113" spans="8:8">
      <c r="H113" s="53"/>
    </row>
    <row r="114" spans="8:8">
      <c r="H114" s="53"/>
    </row>
    <row r="115" spans="8:8">
      <c r="H115" s="53"/>
    </row>
    <row r="116" spans="8:8">
      <c r="H116" s="53"/>
    </row>
    <row r="117" spans="8:8">
      <c r="H117" s="53"/>
    </row>
    <row r="118" spans="8:8">
      <c r="H118" s="53"/>
    </row>
    <row r="119" spans="8:8">
      <c r="H119" s="53"/>
    </row>
    <row r="120" spans="8:8">
      <c r="H120" s="53"/>
    </row>
    <row r="121" spans="8:8">
      <c r="H121" s="53"/>
    </row>
    <row r="122" spans="8:8">
      <c r="H122" s="53"/>
    </row>
    <row r="123" spans="8:8">
      <c r="H123" s="53"/>
    </row>
    <row r="124" spans="8:8">
      <c r="H124" s="53"/>
    </row>
    <row r="125" spans="8:8">
      <c r="H125" s="53"/>
    </row>
    <row r="126" spans="8:8">
      <c r="H126" s="53"/>
    </row>
    <row r="127" spans="8:8">
      <c r="H127" s="53"/>
    </row>
    <row r="128" spans="8:8">
      <c r="H128" s="53"/>
    </row>
    <row r="129" spans="8:8">
      <c r="H129" s="53"/>
    </row>
    <row r="130" spans="8:8">
      <c r="H130" s="53"/>
    </row>
    <row r="131" spans="8:8">
      <c r="H131" s="53"/>
    </row>
    <row r="132" spans="8:8">
      <c r="H132" s="53"/>
    </row>
    <row r="133" spans="8:8">
      <c r="H133" s="53"/>
    </row>
    <row r="134" spans="8:8">
      <c r="H134" s="53"/>
    </row>
    <row r="135" spans="8:8">
      <c r="H135" s="53"/>
    </row>
    <row r="136" spans="8:8">
      <c r="H136" s="53"/>
    </row>
    <row r="137" spans="8:8">
      <c r="H137" s="53"/>
    </row>
    <row r="138" spans="8:8">
      <c r="H138" s="53"/>
    </row>
    <row r="139" spans="8:8">
      <c r="H139" s="53"/>
    </row>
    <row r="140" spans="8:8">
      <c r="H140" s="53"/>
    </row>
    <row r="141" spans="8:8">
      <c r="H141" s="53"/>
    </row>
    <row r="142" spans="8:8">
      <c r="H142" s="53"/>
    </row>
    <row r="143" spans="8:8">
      <c r="H143" s="53"/>
    </row>
    <row r="144" spans="8:8">
      <c r="H144" s="53"/>
    </row>
    <row r="145" spans="8:8">
      <c r="H145" s="53"/>
    </row>
    <row r="146" spans="8:8">
      <c r="H146" s="53"/>
    </row>
    <row r="147" spans="8:8">
      <c r="H147" s="53"/>
    </row>
    <row r="148" spans="8:8">
      <c r="H148" s="53"/>
    </row>
    <row r="149" spans="8:8">
      <c r="H149" s="53"/>
    </row>
    <row r="150" spans="8:8">
      <c r="H150" s="53"/>
    </row>
    <row r="151" spans="8:8">
      <c r="H151" s="53"/>
    </row>
    <row r="152" spans="8:8">
      <c r="H152" s="53"/>
    </row>
    <row r="153" spans="8:8">
      <c r="H153" s="53"/>
    </row>
    <row r="154" spans="8:8">
      <c r="H154" s="53"/>
    </row>
    <row r="155" spans="8:8">
      <c r="H155" s="53"/>
    </row>
    <row r="156" spans="8:8">
      <c r="H156" s="53"/>
    </row>
    <row r="157" spans="8:8">
      <c r="H157" s="53"/>
    </row>
    <row r="158" spans="8:8">
      <c r="H158" s="53"/>
    </row>
    <row r="159" spans="8:8">
      <c r="H159" s="53"/>
    </row>
    <row r="160" spans="8:8">
      <c r="H160" s="53"/>
    </row>
    <row r="161" spans="8:8">
      <c r="H161" s="53"/>
    </row>
    <row r="162" spans="8:8">
      <c r="H162" s="53"/>
    </row>
    <row r="163" spans="8:8">
      <c r="H163" s="53"/>
    </row>
    <row r="164" spans="8:8">
      <c r="H164" s="53"/>
    </row>
    <row r="165" spans="8:8">
      <c r="H165" s="53"/>
    </row>
    <row r="166" spans="8:8">
      <c r="H166" s="53"/>
    </row>
    <row r="167" spans="8:8">
      <c r="H167" s="53"/>
    </row>
    <row r="168" spans="8:8">
      <c r="H168" s="53"/>
    </row>
    <row r="169" spans="8:8">
      <c r="H169" s="53"/>
    </row>
    <row r="170" spans="8:8">
      <c r="H170" s="53"/>
    </row>
    <row r="171" spans="8:8">
      <c r="H171" s="53"/>
    </row>
    <row r="172" spans="8:8">
      <c r="H172" s="53"/>
    </row>
    <row r="173" spans="8:8">
      <c r="H173" s="53"/>
    </row>
    <row r="174" spans="8:8">
      <c r="H174" s="53"/>
    </row>
    <row r="175" spans="8:8">
      <c r="H175" s="53"/>
    </row>
    <row r="176" spans="8:8">
      <c r="H176" s="53"/>
    </row>
    <row r="177" spans="8:8">
      <c r="H177" s="53"/>
    </row>
    <row r="178" spans="8:8">
      <c r="H178" s="53"/>
    </row>
    <row r="179" spans="8:8">
      <c r="H179" s="53"/>
    </row>
    <row r="180" spans="8:8">
      <c r="H180" s="53"/>
    </row>
    <row r="181" spans="8:8">
      <c r="H181" s="53"/>
    </row>
    <row r="182" spans="8:8">
      <c r="H182" s="53"/>
    </row>
    <row r="183" spans="8:8">
      <c r="H183" s="53"/>
    </row>
    <row r="184" spans="8:8">
      <c r="H184" s="53"/>
    </row>
    <row r="185" spans="8:8">
      <c r="H185" s="53"/>
    </row>
    <row r="186" spans="8:8">
      <c r="H186" s="53"/>
    </row>
    <row r="187" spans="8:8">
      <c r="H187" s="53"/>
    </row>
    <row r="188" spans="8:8">
      <c r="H188" s="53"/>
    </row>
    <row r="189" spans="8:8">
      <c r="H189" s="53"/>
    </row>
    <row r="190" spans="8:8">
      <c r="H190" s="53"/>
    </row>
    <row r="191" spans="8:8">
      <c r="H191" s="53"/>
    </row>
    <row r="192" spans="8:8">
      <c r="H192" s="53"/>
    </row>
    <row r="193" spans="8:8">
      <c r="H193" s="53"/>
    </row>
    <row r="194" spans="8:8">
      <c r="H194" s="53"/>
    </row>
    <row r="195" spans="8:8">
      <c r="H195" s="53"/>
    </row>
    <row r="196" spans="8:8">
      <c r="H196" s="53"/>
    </row>
  </sheetData>
  <mergeCells count="61">
    <mergeCell ref="AP7:AP9"/>
    <mergeCell ref="DU7:DU9"/>
    <mergeCell ref="CH5:CI5"/>
    <mergeCell ref="CE7:CE9"/>
    <mergeCell ref="CZ7:CZ9"/>
    <mergeCell ref="CR7:CR9"/>
    <mergeCell ref="CH6:CH7"/>
    <mergeCell ref="CI6:CP6"/>
    <mergeCell ref="CS6:CY6"/>
    <mergeCell ref="CQ7:CQ9"/>
    <mergeCell ref="CI9:CP9"/>
    <mergeCell ref="CS9:CY9"/>
    <mergeCell ref="DC5:DD5"/>
    <mergeCell ref="DC6:DC7"/>
    <mergeCell ref="DD6:DK6"/>
    <mergeCell ref="DN6:DT6"/>
    <mergeCell ref="AO7:AO9"/>
    <mergeCell ref="AG7:AG9"/>
    <mergeCell ref="AF7:AF9"/>
    <mergeCell ref="X9:AE9"/>
    <mergeCell ref="AH9:AN9"/>
    <mergeCell ref="BB7:BB9"/>
    <mergeCell ref="AR5:AS5"/>
    <mergeCell ref="AR6:AR7"/>
    <mergeCell ref="AS6:AZ6"/>
    <mergeCell ref="BA7:BA9"/>
    <mergeCell ref="AS9:AZ9"/>
    <mergeCell ref="CF7:CF9"/>
    <mergeCell ref="B1:U3"/>
    <mergeCell ref="B6:B7"/>
    <mergeCell ref="C6:J6"/>
    <mergeCell ref="M6:S6"/>
    <mergeCell ref="K7:K9"/>
    <mergeCell ref="T7:T9"/>
    <mergeCell ref="C9:J9"/>
    <mergeCell ref="M9:S9"/>
    <mergeCell ref="B5:C5"/>
    <mergeCell ref="L7:L9"/>
    <mergeCell ref="U7:U9"/>
    <mergeCell ref="W5:X5"/>
    <mergeCell ref="W6:W7"/>
    <mergeCell ref="X6:AE6"/>
    <mergeCell ref="AH6:AN6"/>
    <mergeCell ref="BC9:BI9"/>
    <mergeCell ref="BM5:BN5"/>
    <mergeCell ref="BM6:BM7"/>
    <mergeCell ref="BN6:BU6"/>
    <mergeCell ref="BX6:CD6"/>
    <mergeCell ref="BV7:BV9"/>
    <mergeCell ref="BN9:BU9"/>
    <mergeCell ref="BX9:CD9"/>
    <mergeCell ref="BJ7:BJ9"/>
    <mergeCell ref="BC6:BI6"/>
    <mergeCell ref="BW7:BW9"/>
    <mergeCell ref="BK7:BK9"/>
    <mergeCell ref="DA7:DA9"/>
    <mergeCell ref="DV7:DV9"/>
    <mergeCell ref="DD9:DK9"/>
    <mergeCell ref="DN9:DT9"/>
    <mergeCell ref="DM7:DM9"/>
    <mergeCell ref="DL7:DL9"/>
  </mergeCells>
  <pageMargins left="0.7" right="0.7" top="0.75" bottom="0.75" header="0.3" footer="0.3"/>
  <pageSetup paperSize="9"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AE463A34C58B48BE33A14B0FA1E653" ma:contentTypeVersion="11" ma:contentTypeDescription="Create a new document." ma:contentTypeScope="" ma:versionID="74603d0dc0b4edf2429df7069483f5ca">
  <xsd:schema xmlns:xsd="http://www.w3.org/2001/XMLSchema" xmlns:xs="http://www.w3.org/2001/XMLSchema" xmlns:p="http://schemas.microsoft.com/office/2006/metadata/properties" xmlns:ns2="38f7e399-e057-480d-bf58-a131d3470fe8" xmlns:ns3="f253e506-aea2-40df-8810-09f86a3d725d" targetNamespace="http://schemas.microsoft.com/office/2006/metadata/properties" ma:root="true" ma:fieldsID="15f78840a7f0e6bf64ecea17a85adc23" ns2:_="" ns3:_="">
    <xsd:import namespace="38f7e399-e057-480d-bf58-a131d3470fe8"/>
    <xsd:import namespace="f253e506-aea2-40df-8810-09f86a3d72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f7e399-e057-480d-bf58-a131d3470f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4e72897-25bb-4cd1-b9ab-f1a8d4e29f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253e506-aea2-40df-8810-09f86a3d72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955704-7c2c-4e3f-9de3-52e40fe2617c}" ma:internalName="TaxCatchAll" ma:showField="CatchAllData" ma:web="f253e506-aea2-40df-8810-09f86a3d72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53e506-aea2-40df-8810-09f86a3d725d" xsi:nil="true"/>
    <lcf76f155ced4ddcb4097134ff3c332f xmlns="38f7e399-e057-480d-bf58-a131d3470fe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401C90-E41F-487F-BA30-E09D4D305AED}"/>
</file>

<file path=customXml/itemProps2.xml><?xml version="1.0" encoding="utf-8"?>
<ds:datastoreItem xmlns:ds="http://schemas.openxmlformats.org/officeDocument/2006/customXml" ds:itemID="{8DCFE2DA-1507-43FF-AF8D-03925A1B1A25}"/>
</file>

<file path=customXml/itemProps3.xml><?xml version="1.0" encoding="utf-8"?>
<ds:datastoreItem xmlns:ds="http://schemas.openxmlformats.org/officeDocument/2006/customXml" ds:itemID="{4C2ADAE7-B771-4C5F-97A3-C940245095CD}"/>
</file>

<file path=docMetadata/LabelInfo.xml><?xml version="1.0" encoding="utf-8"?>
<clbl:labelList xmlns:clbl="http://schemas.microsoft.com/office/2020/mipLabelMetadata">
  <clbl:label id="{72e75921-e052-431a-9f04-8e73f35cf990}" enabled="1" method="Privilege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KPMG</dc:creator>
  <cp:keywords/>
  <dc:description/>
  <cp:lastModifiedBy/>
  <cp:revision/>
  <dcterms:created xsi:type="dcterms:W3CDTF">2021-04-29T15:44:01Z</dcterms:created>
  <dcterms:modified xsi:type="dcterms:W3CDTF">2026-02-24T16:10:18Z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0x01010053AE463A34C58B48BE33A14B0FA1E653</vt:lpwstr>
  </property>
  <property fmtid="{D5CDD505-2E9C-101B-9397-08002B2CF9AE}" pid="3" name="MSIP_Label_72e75921-e052-431a-9f04-8e73f35cf990_Enabled">
    <vt:lpwstr>true</vt:lpwstr>
  </property>
  <property fmtid="{D5CDD505-2E9C-101B-9397-08002B2CF9AE}" pid="4" name="MSIP_Label_72e75921-e052-431a-9f04-8e73f35cf990_SetDate">
    <vt:lpwstr>2021-11-29T18:57:40Z</vt:lpwstr>
  </property>
  <property fmtid="{D5CDD505-2E9C-101B-9397-08002B2CF9AE}" pid="5" name="MSIP_Label_72e75921-e052-431a-9f04-8e73f35cf990_Method">
    <vt:lpwstr>Privileged</vt:lpwstr>
  </property>
  <property fmtid="{D5CDD505-2E9C-101B-9397-08002B2CF9AE}" pid="6" name="MSIP_Label_72e75921-e052-431a-9f04-8e73f35cf990_Name">
    <vt:lpwstr>Non-Business</vt:lpwstr>
  </property>
  <property fmtid="{D5CDD505-2E9C-101B-9397-08002B2CF9AE}" pid="7" name="MSIP_Label_72e75921-e052-431a-9f04-8e73f35cf990_SiteId">
    <vt:lpwstr>deff24bb-2089-4400-8c8e-f71e680378b2</vt:lpwstr>
  </property>
  <property fmtid="{D5CDD505-2E9C-101B-9397-08002B2CF9AE}" pid="8" name="MSIP_Label_72e75921-e052-431a-9f04-8e73f35cf990_ActionId">
    <vt:lpwstr>7d2b2a3e-158d-4553-a962-26fd576d49bb</vt:lpwstr>
  </property>
  <property fmtid="{D5CDD505-2E9C-101B-9397-08002B2CF9AE}" pid="9" name="MSIP_Label_72e75921-e052-431a-9f04-8e73f35cf990_ContentBits">
    <vt:lpwstr>0</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